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36d4d9aa2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асшы жуўмағы" sheetId="1" r:id="R0c3ee1174c6d4c84"/>
    <x:sheet xmlns:r="http://schemas.openxmlformats.org/officeDocument/2006/relationships" name="Күнлик есабат" sheetId="2" r:id="Rd2e8f482acb84d05"/>
    <x:sheet xmlns:r="http://schemas.openxmlformats.org/officeDocument/2006/relationships" name="Күнлик реже" sheetId="3" r:id="R5f39c6e7fee34754"/>
    <x:sheet xmlns:r="http://schemas.openxmlformats.org/officeDocument/2006/relationships" name="Ҳәптелик реже" sheetId="4" r:id="R10aea1986a9e43f8"/>
    <x:sheet xmlns:r="http://schemas.openxmlformats.org/officeDocument/2006/relationships" name="Айлық реже" sheetId="5" r:id="Re504333ed7ce4e77"/>
    <x:sheet xmlns:r="http://schemas.openxmlformats.org/officeDocument/2006/relationships" name="Кварталлық реже" sheetId="6" r:id="R04171a385f654609"/>
    <x:sheet xmlns:r="http://schemas.openxmlformats.org/officeDocument/2006/relationships" name="Жыллық реже" sheetId="7" r:id="R20c2a522f4c04ea8"/>
    <x:sheet xmlns:r="http://schemas.openxmlformats.org/officeDocument/2006/relationships" name="Салық календары" sheetId="8" r:id="Rd280f1939fc44a86"/>
    <x:sheet xmlns:r="http://schemas.openxmlformats.org/officeDocument/2006/relationships" name="Клиентлер" sheetId="9" r:id="R3c4c1e460f504310"/>
    <x:sheet xmlns:r="http://schemas.openxmlformats.org/officeDocument/2006/relationships" name="Салық есаплаў" sheetId="10" r:id="Rfcefb7af17da4587"/>
    <x:sheet xmlns:r="http://schemas.openxmlformats.org/officeDocument/2006/relationships" name="Салық қағыйдалары" sheetId="11" r:id="R259292c1ba5e48c1"/>
    <x:sheet xmlns:r="http://schemas.openxmlformats.org/officeDocument/2006/relationships" name="Сөзлик" sheetId="12" r:id="R4be1332906db439d"/>
    <x:sheet xmlns:r="http://schemas.openxmlformats.org/officeDocument/2006/relationships" name="Қолланыў тәртиби" sheetId="13" r:id="R804b2ece2338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0%"/>
    <x:numFmt numFmtId="203" formatCode="0.0"/>
    <x:numFmt numFmtId="204" formatCode="#,##0.00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b/>
      <x:sz val="11"/>
      <x:color rgb="FFFFFFFF"/>
      <x:name val="Arial"/>
    </x:font>
    <x:font>
      <x:sz val="11"/>
      <x:color rgb="FF225E9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5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52323"/>
      </x:font>
      <x:fill>
        <x:patternFill patternType="solid">
          <x:bgColor rgb="FFFA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743eccb924a58" /><Relationship Type="http://schemas.openxmlformats.org/officeDocument/2006/relationships/theme" Target="/xl/theme/theme1.xml" Id="Rc28d59b5237f4f58" /><Relationship Type="http://schemas.openxmlformats.org/officeDocument/2006/relationships/sharedStrings" Target="/xl/sharedStrings.xml" Id="R5291c00e73464c36" /><Relationship Type="http://schemas.openxmlformats.org/officeDocument/2006/relationships/worksheet" Target="/xl/worksheets/sheet1.xml" Id="R0c3ee1174c6d4c84" /><Relationship Type="http://schemas.openxmlformats.org/officeDocument/2006/relationships/worksheet" Target="/xl/worksheets/sheet2.xml" Id="Rd2e8f482acb84d05" /><Relationship Type="http://schemas.openxmlformats.org/officeDocument/2006/relationships/worksheet" Target="/xl/worksheets/sheet3.xml" Id="R5f39c6e7fee34754" /><Relationship Type="http://schemas.openxmlformats.org/officeDocument/2006/relationships/worksheet" Target="/xl/worksheets/sheet4.xml" Id="R10aea1986a9e43f8" /><Relationship Type="http://schemas.openxmlformats.org/officeDocument/2006/relationships/worksheet" Target="/xl/worksheets/sheet5.xml" Id="Re504333ed7ce4e77" /><Relationship Type="http://schemas.openxmlformats.org/officeDocument/2006/relationships/worksheet" Target="/xl/worksheets/sheet6.xml" Id="R04171a385f654609" /><Relationship Type="http://schemas.openxmlformats.org/officeDocument/2006/relationships/worksheet" Target="/xl/worksheets/sheet7.xml" Id="R20c2a522f4c04ea8" /><Relationship Type="http://schemas.openxmlformats.org/officeDocument/2006/relationships/worksheet" Target="/xl/worksheets/sheet8.xml" Id="Rd280f1939fc44a86" /><Relationship Type="http://schemas.openxmlformats.org/officeDocument/2006/relationships/worksheet" Target="/xl/worksheets/sheet9.xml" Id="R3c4c1e460f504310" /><Relationship Type="http://schemas.openxmlformats.org/officeDocument/2006/relationships/worksheet" Target="/xl/worksheets/sheet10.xml" Id="Rfcefb7af17da4587" /><Relationship Type="http://schemas.openxmlformats.org/officeDocument/2006/relationships/worksheet" Target="/xl/worksheets/sheet11.xml" Id="R259292c1ba5e48c1" /><Relationship Type="http://schemas.openxmlformats.org/officeDocument/2006/relationships/worksheet" Target="/xl/worksheets/sheet12.xml" Id="R4be1332906db439d" /><Relationship Type="http://schemas.openxmlformats.org/officeDocument/2006/relationships/worksheet" Target="/xl/worksheets/sheet13.xml" Id="R804b2ece2338426e" /></Relationships>
</file>

<file path=xl/tables/table1.xml><?xml version="1.0" encoding="utf-8"?>
<x:table xmlns:x="http://schemas.openxmlformats.org/spreadsheetml/2006/main" id="2" name="DailyActuals" displayName="DailyActuals" ref="A7:N507" headerRowCount="1" totalsRowCount="0" totalsRowShown="0">
  <x:tableColumns count="14">
    <x:tableColumn id="1" name="Сәне"/>
    <x:tableColumn id="2" name="Клиент коды"/>
    <x:tableColumn id="3" name="Тапсырма коды"/>
    <x:tableColumn id="4" name="Жумыс / тапсырма"/>
    <x:tableColumn id="5" name="Куратор"/>
    <x:tableColumn id="6" name="Питкен саны"/>
    <x:tableColumn id="7" name="Ўақыт (мин)"/>
    <x:tableColumn id="8" name="Қосымша саны"/>
    <x:tableColumn id="9" name="Жумыстан тыс (мин)"/>
    <x:tableColumn id="10" name="Себеп коды"/>
    <x:tableColumn id="11" name="Нәтийже / ҳүжжет"/>
    <x:tableColumn id="12" name="Толық емес (0/1)"/>
    <x:tableColumn id="13" name="Қәте (0/1)"/>
    <x:tableColumn id="14" name="Клиент ат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askPlan" displayName="TaskPlan" ref="A7:R390" headerRowCount="1" totalsRowCount="0" totalsRowShown="0">
  <x:tableColumns count="18">
    <x:tableColumn id="1" name="Тапсырма коды"/>
    <x:tableColumn id="2" name="Календарь коды"/>
    <x:tableColumn id="3" name="Реже күни"/>
    <x:tableColumn id="4" name="Жумыс / тапсырма"/>
    <x:tableColumn id="5" name="Кодекс күни"/>
    <x:tableColumn id="6" name="Рәсмий мүддет"/>
    <x:tableColumn id="7" name="Есабат дәўири"/>
    <x:tableColumn id="8" name="Профиль"/>
    <x:tableColumn id="9" name="Реже саны"/>
    <x:tableColumn id="10" name="Реже (мин)"/>
    <x:tableColumn id="11" name="Питкен саны"/>
    <x:tableColumn id="12" name="Нақты (мин)"/>
    <x:tableColumn id="13" name="Қалған саны"/>
    <x:tableColumn id="14" name="Орынланыўы"/>
    <x:tableColumn id="15" name="Расталмаған клиент"/>
    <x:tableColumn id="16" name="Мүддет тексерилди"/>
    <x:tableColumn id="17" name="Бағыт"/>
    <x:tableColumn id="18" name="Ескертп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WeeklyPlan" displayName="WeeklyPlan" ref="A7:J72" headerRowCount="1" totalsRowCount="0" totalsRowShown="0">
  <x:tableColumns count="10">
    <x:tableColumn id="1" name="Дәўир"/>
    <x:tableColumn id="2" name="Басланыў"/>
    <x:tableColumn id="3" name="Аяқланыў"/>
    <x:tableColumn id="4" name="Тапсырма саны"/>
    <x:tableColumn id="5" name="Саны анықланбаған"/>
    <x:tableColumn id="6" name="Тийисли емес (0)"/>
    <x:tableColumn id="7" name="Толық питкен"/>
    <x:tableColumn id="8" name="Қалған тапсырма"/>
    <x:tableColumn id="9" name="Реже саат"/>
    <x:tableColumn id="10" name="Нақты саа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MonthlyPlan" displayName="MonthlyPlan" ref="A7:J22" headerRowCount="1" totalsRowCount="0" totalsRowShown="0">
  <x:tableColumns count="10">
    <x:tableColumn id="1" name="Дәўир"/>
    <x:tableColumn id="2" name="Басланыў"/>
    <x:tableColumn id="3" name="Аяқланыў"/>
    <x:tableColumn id="4" name="Тапсырма саны"/>
    <x:tableColumn id="5" name="Саны анықланбаған"/>
    <x:tableColumn id="6" name="Тийисли емес (0)"/>
    <x:tableColumn id="7" name="Толық питкен"/>
    <x:tableColumn id="8" name="Қалған тапсырма"/>
    <x:tableColumn id="9" name="Реже саат"/>
    <x:tableColumn id="10" name="Нақты саа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QuarterPlan" displayName="QuarterPlan" ref="A7:J12" headerRowCount="1" totalsRowCount="0" totalsRowShown="0">
  <x:tableColumns count="10">
    <x:tableColumn id="1" name="Дәўир"/>
    <x:tableColumn id="2" name="Басланыў"/>
    <x:tableColumn id="3" name="Аяқланыў"/>
    <x:tableColumn id="4" name="Тапсырма саны"/>
    <x:tableColumn id="5" name="Саны анықланбаған"/>
    <x:tableColumn id="6" name="Тийисли емес (0)"/>
    <x:tableColumn id="7" name="Толық питкен"/>
    <x:tableColumn id="8" name="Қалған тапсырма"/>
    <x:tableColumn id="9" name="Реже саат"/>
    <x:tableColumn id="10" name="Нақты саа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YearPlan" displayName="YearPlan" ref="A7:J10" headerRowCount="1" totalsRowCount="0" totalsRowShown="0">
  <x:tableColumns count="10">
    <x:tableColumn id="1" name="Дәўир"/>
    <x:tableColumn id="2" name="Басланыў"/>
    <x:tableColumn id="3" name="Аяқланыў"/>
    <x:tableColumn id="4" name="Тапсырма саны"/>
    <x:tableColumn id="5" name="Саны анықланбаған"/>
    <x:tableColumn id="6" name="Тийисли емес (0)"/>
    <x:tableColumn id="7" name="Толық питкен"/>
    <x:tableColumn id="8" name="Қалған тапсырма"/>
    <x:tableColumn id="9" name="Реже саат"/>
    <x:tableColumn id="10" name="Нақты саат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TaxCalendar" displayName="TaxCalendar" ref="A7:K255" headerRowCount="1" totalsRowCount="0" totalsRowShown="0">
  <x:tableColumns count="11">
    <x:tableColumn id="1" name="Календарь коды"/>
    <x:tableColumn id="2" name="Есабат дәўири"/>
    <x:tableColumn id="3" name="Қағыйда коды"/>
    <x:tableColumn id="4" name="Мәжбүрият"/>
    <x:tableColumn id="5" name="Кодекс бойынша күн"/>
    <x:tableColumn id="6" name="Рәсмий күн"/>
    <x:tableColumn id="7" name="Расталды (0/1)"/>
    <x:tableColumn id="8" name="Қолланылыў шарты"/>
    <x:tableColumn id="9" name="Профиль бағаны"/>
    <x:tableColumn id="10" name="Ишки таярлаў күни"/>
    <x:tableColumn id="11" name="Мүддет ҳал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dd6e40bca1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b3c67f85ae43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ade6b9926b44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600671937240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81a6d3fe9b48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b218576e3142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c1329e416a4b67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6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БУХГАЛТЕРИЯ ЖУМЫСЫ ҲӘМ САЛЫҚ РЕЖЕЛЕРИ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Есабат сәнеси</x:v>
      </x:c>
      <x:c r="B4" s="12" t="n">
        <x:v>46303</x:v>
      </x:c>
      <x:c r="C4" s="2"/>
      <x:c r="D4" s="2" t="str">
        <x:v>2026-жылдың қалған дәўири ҳәм 2027-жыл. 2027 жылды жуўмақлаў: 2028-жылдын 1-мартына шекем.</x:v>
      </x:c>
      <x:c r="E4" s="2"/>
      <x:c r="F4" s="2"/>
      <x:c r="G4" s="2"/>
      <x:c r="H4" s="2"/>
      <x:c r="I4" s="2"/>
      <x:c r="J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2" t="str">
        <x:v>Алдын ала күн</x:v>
      </x:c>
      <x:c r="B6" s="11" t="n">
        <x:v>3</x:v>
      </x:c>
      <x:c r="C6" s="2"/>
      <x:c r="D6" s="2"/>
      <x:c r="E6" s="2"/>
      <x:c r="F6" s="2"/>
      <x:c r="G6" s="2"/>
      <x:c r="H6" s="2"/>
      <x:c r="I6" s="2"/>
      <x:c r="J6" s="2"/>
    </x:row>
    <x:row r="7" ht="2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8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50" customHeight="1">
      <x:c r="A9" s="8" t="str">
        <x:v>Көрсеткіш</x:v>
      </x:c>
      <x:c r="B9" s="8" t="str">
        <x:v>Саны</x:v>
      </x:c>
      <x:c r="C9" s="2"/>
      <x:c r="D9" s="8" t="str">
        <x:v>Куратор</x:v>
      </x:c>
      <x:c r="E9" s="8" t="str">
        <x:v>Питкен саны</x:v>
      </x:c>
      <x:c r="F9" s="8" t="str">
        <x:v>Нақты саат</x:v>
      </x:c>
      <x:c r="G9" s="8" t="str">
        <x:v>Жумыстан тыс саат</x:v>
      </x:c>
      <x:c r="H9" s="2"/>
      <x:c r="I9" s="2"/>
      <x:c r="J9" s="2"/>
    </x:row>
    <x:row r="10" ht="28" customHeight="1">
      <x:c r="A10" s="2" t="str">
        <x:v>Клиентлер</x:v>
      </x:c>
      <x:c r="B10" s="2" t="n">
        <x:v>24</x:v>
      </x:c>
      <x:c r="C10" s="2"/>
      <x:c r="D10" s="2" t="str">
        <x:v>АЛЕКСАНДР</x:v>
      </x:c>
      <x:c r="E10" s="2" t="n">
        <x:f>SUMIFS('Күнлик есабат'!$F$8:$F$507,'Күнлик есабат'!$A$8:$A$507,$B$4,'Күнлик есабат'!$E$8:$E$507,D10)</x:f>
        <x:v>0</x:v>
      </x:c>
      <x:c r="F10" s="17" t="n">
        <x:f>SUMIFS('Күнлик есабат'!$G$8:$G$507,'Күнлик есабат'!$A$8:$A$507,$B$4,'Күнлик есабат'!$E$8:$E$507,D10)/60</x:f>
        <x:v>0</x:v>
      </x:c>
      <x:c r="G10" s="17" t="n">
        <x:f>SUMIFS('Күнлик есабат'!$I$8:$I$507,'Күнлик есабат'!$A$8:$A$507,$B$4,'Күнлик есабат'!$E$8:$E$507,D10)/60</x:f>
        <x:v>0</x:v>
      </x:c>
      <x:c r="H10" s="2"/>
      <x:c r="I10" s="2"/>
      <x:c r="J10" s="2"/>
    </x:row>
    <x:row r="11" ht="28" customHeight="1">
      <x:c r="A11" s="2" t="str">
        <x:v>Профили расталмаған</x:v>
      </x:c>
      <x:c r="B11" s="2" t="n">
        <x:f>24-COUNTIFS('Клиентлер'!T8:T31,1)</x:f>
        <x:v>24</x:v>
      </x:c>
      <x:c r="C11" s="2"/>
      <x:c r="D11" s="2" t="str">
        <x:v>САЛАМАТ</x:v>
      </x:c>
      <x:c r="E11" s="2" t="n">
        <x:f>SUMIFS('Күнлик есабат'!$F$8:$F$507,'Күнлик есабат'!$A$8:$A$507,$B$4,'Күнлик есабат'!$E$8:$E$507,D11)</x:f>
        <x:v>0</x:v>
      </x:c>
      <x:c r="F11" s="17" t="n">
        <x:f>SUMIFS('Күнлик есабат'!$G$8:$G$507,'Күнлик есабат'!$A$8:$A$507,$B$4,'Күнлик есабат'!$E$8:$E$507,D11)/60</x:f>
        <x:v>0</x:v>
      </x:c>
      <x:c r="G11" s="17" t="n">
        <x:f>SUMIFS('Күнлик есабат'!$I$8:$I$507,'Күнлик есабат'!$A$8:$A$507,$B$4,'Күнлик есабат'!$E$8:$E$507,D11)/60</x:f>
        <x:v>0</x:v>
      </x:c>
      <x:c r="H11" s="2"/>
      <x:c r="I11" s="2"/>
      <x:c r="J11" s="2"/>
    </x:row>
    <x:row r="12" ht="28" customHeight="1">
      <x:c r="A12" s="2" t="str">
        <x:v>Мүддети расталмаған</x:v>
      </x:c>
      <x:c r="B12" s="2" t="n">
        <x:f>COUNTIFS('Салық календары'!G8:G255,0)</x:f>
        <x:v>248</x:v>
      </x:c>
      <x:c r="C12" s="2"/>
      <x:c r="D12" s="2" t="str">
        <x:v>ОРАЛБАЙ</x:v>
      </x:c>
      <x:c r="E12" s="2" t="n">
        <x:f>SUMIFS('Күнлик есабат'!$F$8:$F$507,'Күнлик есабат'!$A$8:$A$507,$B$4,'Күнлик есабат'!$E$8:$E$507,D12)</x:f>
        <x:v>0</x:v>
      </x:c>
      <x:c r="F12" s="17" t="n">
        <x:f>SUMIFS('Күнлик есабат'!$G$8:$G$507,'Күнлик есабат'!$A$8:$A$507,$B$4,'Күнлик есабат'!$E$8:$E$507,D12)/60</x:f>
        <x:v>0</x:v>
      </x:c>
      <x:c r="G12" s="17" t="n">
        <x:f>SUMIFS('Күнлик есабат'!$I$8:$I$507,'Күнлик есабат'!$A$8:$A$507,$B$4,'Күнлик есабат'!$E$8:$E$507,D12)/60</x:f>
        <x:v>0</x:v>
      </x:c>
      <x:c r="H12" s="2"/>
      <x:c r="I12" s="2"/>
      <x:c r="J12" s="2"/>
    </x:row>
    <x:row r="13" ht="28" customHeight="1">
      <x:c r="A13" s="2" t="str">
        <x:v>Реже саны анықланбаған</x:v>
      </x:c>
      <x:c r="B13" s="2" t="n">
        <x:f>COUNTBLANK('Күнлик реже'!I8:I390)</x:f>
        <x:v>383</x:v>
      </x:c>
      <x:c r="C13" s="2"/>
      <x:c r="D13" s="2" t="str">
        <x:v>ЭЛДАР</x:v>
      </x:c>
      <x:c r="E13" s="2" t="n">
        <x:f>SUMIFS('Күнлик есабат'!$F$8:$F$507,'Күнлик есабат'!$A$8:$A$507,$B$4,'Күнлик есабат'!$E$8:$E$507,D13)</x:f>
        <x:v>0</x:v>
      </x:c>
      <x:c r="F13" s="17" t="n">
        <x:f>SUMIFS('Күнлик есабат'!$G$8:$G$507,'Күнлик есабат'!$A$8:$A$507,$B$4,'Күнлик есабат'!$E$8:$E$507,D13)/60</x:f>
        <x:v>0</x:v>
      </x:c>
      <x:c r="G13" s="17" t="n">
        <x:f>SUMIFS('Күнлик есабат'!$I$8:$I$507,'Күнлик есабат'!$A$8:$A$507,$B$4,'Күнлик есабат'!$E$8:$E$507,D13)/60</x:f>
        <x:v>0</x:v>
      </x:c>
      <x:c r="H13" s="2"/>
      <x:c r="I13" s="2"/>
      <x:c r="J13" s="2"/>
    </x:row>
    <x:row r="14" ht="28" customHeight="1">
      <x:c r="A14" s="2" t="str">
        <x:v>Толық емес есабат</x:v>
      </x:c>
      <x:c r="B14" s="2" t="n">
        <x:f>SUM('Күнлик есабат'!L8:L507)</x:f>
        <x:v>0</x:v>
      </x:c>
      <x:c r="C14" s="2"/>
      <x:c r="D14" s="2"/>
      <x:c r="E14" s="2"/>
      <x:c r="F14" s="2"/>
      <x:c r="G14" s="2"/>
      <x:c r="H14" s="2"/>
      <x:c r="I14" s="2"/>
      <x:c r="J14" s="2"/>
    </x:row>
    <x:row r="15" ht="28" customHeight="1">
      <x:c r="A15" s="2" t="str">
        <x:v>Қәте есабат</x:v>
      </x:c>
      <x:c r="B15" s="2" t="n">
        <x:f>SUM('Күнлик есабат'!M8:M507)</x:f>
        <x:v>0</x:v>
      </x:c>
      <x:c r="C15" s="2"/>
      <x:c r="D15" s="2"/>
      <x:c r="E15" s="2"/>
      <x:c r="F15" s="2"/>
      <x:c r="G15" s="2"/>
      <x:c r="H15" s="2"/>
      <x:c r="I15" s="2"/>
      <x:c r="J15" s="2"/>
    </x:row>
    <x:row r="16" ht="28" customHeight="1">
      <x:c r="A16" s="2" t="str">
        <x:v>Бүгинги жумыс минут</x:v>
      </x:c>
      <x:c r="B16" s="2" t="n">
        <x:f>SUMIFS('Күнлик есабат'!G8:G507,'Күнлик есабат'!A8:A507,$B$4)</x:f>
        <x:v>0</x:v>
      </x:c>
      <x:c r="C16" s="2"/>
      <x:c r="D16" s="2"/>
      <x:c r="E16" s="2"/>
      <x:c r="F16" s="2"/>
      <x:c r="G16" s="2"/>
      <x:c r="H16" s="2"/>
      <x:c r="I16" s="2"/>
      <x:c r="J16" s="2"/>
    </x:row>
    <x:row r="17" ht="28" customHeight="1">
      <x:c r="A17" s="2" t="str">
        <x:v>Бүгинги қосымша жумыс саны</x:v>
      </x:c>
      <x:c r="B17" s="2" t="n">
        <x:f>SUMIFS('Күнлик есабат'!H8:H507,'Күнлик есабат'!A8:A507,$B$4)</x:f>
        <x:v>0</x:v>
      </x:c>
      <x:c r="C17" s="2"/>
      <x:c r="D17" s="2"/>
      <x:c r="E17" s="2"/>
      <x:c r="F17" s="2"/>
      <x:c r="G17" s="2"/>
      <x:c r="H17" s="2"/>
      <x:c r="I17" s="2"/>
      <x:c r="J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8" customHeight="1">
      <x:c r="A20" s="2" t="str">
        <x:v>Бос салық реже саны профиллер толық расталмағанын көрсетеди. Бул нөл ямаса питкен жумыс емес.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8" customHeight="1">
      <x:c r="A22" s="2" t="str">
        <x:v>Күнлик есабаттағы қәте ҳәм толық емес қатарлар тапсырма орынланыўына қосылмайды. Жүклеме жуўмағында бөлек тексериң.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8" customHeight="1">
      <x:c r="A24" s="2" t="str">
        <x:v>2027 қағыйдалары, рәсмий дем алыслар ҳәм клиент жеңилликлери ҳәзир толық расталмаған.</x:v>
      </x:c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8" customHeight="1">
      <x:c r="A26" s="2" t="str">
        <x:v>Салық суммаларын есаплаў ушын нақты база, ставка, жеңиллик, аванс ҳәм ҚҚС ҳүжжетлери керек.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dataValidations count="1">
    <x:dataValidation type="whole" operator="between" sqref="B6">
      <x:formula1>0</x:formula1>
      <x:formula2>30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4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5" hidden="0" customWidth="1"/>
    <x:col min="12" max="12" width="16" hidden="0" customWidth="1"/>
    <x:col min="13" max="13" width="16" hidden="0" customWidth="1"/>
    <x:col min="14" max="14" width="39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КҮНЛИК ЕСАБАТ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8" customHeight="1">
      <x:c r="A4" s="2" t="str">
        <x:v>Бир қатар = бир күн, бир клиент, бир тапсырма. Сан ҳәм минутты киргизиң; жумыс ҳәм куратор автомат шығады.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8" customHeight="1">
      <x:c r="A5" s="2" t="str">
        <x:v>Питкен санға қосымша жумыс та киреди. Жумыстан тыс минут улыўма минуттың ишинде.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50" customHeight="1">
      <x:c r="A7" s="8" t="str">
        <x:v>Сәне</x:v>
      </x:c>
      <x:c r="B7" s="8" t="str">
        <x:v>Клиент коды</x:v>
      </x:c>
      <x:c r="C7" s="8" t="str">
        <x:v>Тапсырма коды</x:v>
      </x:c>
      <x:c r="D7" s="8" t="str">
        <x:v>Жумыс / тапсырма</x:v>
      </x:c>
      <x:c r="E7" s="8" t="str">
        <x:v>Куратор</x:v>
      </x:c>
      <x:c r="F7" s="8" t="str">
        <x:v>Питкен саны</x:v>
      </x:c>
      <x:c r="G7" s="8" t="str">
        <x:v>Ўақыт (мин)</x:v>
      </x:c>
      <x:c r="H7" s="8" t="str">
        <x:v>Қосымша саны</x:v>
      </x:c>
      <x:c r="I7" s="8" t="str">
        <x:v>Жумыстан тыс (мин)</x:v>
      </x:c>
      <x:c r="J7" s="8" t="str">
        <x:v>Себеп коды</x:v>
      </x:c>
      <x:c r="K7" s="8" t="str">
        <x:v>Нәтийже / ҳүжжет</x:v>
      </x:c>
      <x:c r="L7" s="8" t="str">
        <x:v>Толық емес (0/1)</x:v>
      </x:c>
      <x:c r="M7" s="8" t="str">
        <x:v>Қәте (0/1)</x:v>
      </x:c>
      <x:c r="N7" s="8" t="str">
        <x:v>Клиент аты</x:v>
      </x:c>
    </x:row>
    <x:row r="8" ht="40" customHeight="1">
      <x:c r="A8" s="12"/>
      <x:c r="B8" s="10"/>
      <x:c r="C8" s="10"/>
      <x:c r="D8" s="13" t="str">
        <x:f>IF(C8="","",_xlfn.IFNA(INDEX('Күнлик реже'!$D$8:$D$390,MATCH(C8,'Күнлик реже'!$A$8:$A$390,0)),"Код қәте"))</x:f>
      </x:c>
      <x:c r="E8" s="2" t="str">
        <x:f>IF(B8="","",_xlfn.IFNA(INDEX('Клиентлер'!$E$8:$E$31,MATCH(B8,'Клиентлер'!$A$8:$A$31,0)),"Код қәте"))</x:f>
      </x:c>
      <x:c r="F8" s="11"/>
      <x:c r="G8" s="11"/>
      <x:c r="H8" s="11"/>
      <x:c r="I8" s="11"/>
      <x:c r="J8" s="11"/>
      <x:c r="K8" s="10"/>
      <x:c r="L8" s="2" t="n">
        <x:f>IF(COUNTA(A8:C8,F8:K8)=0,0,IF(AND(COUNT(A8:C8)=3,COUNT(F8:J8)=5),0,1))</x:f>
        <x:v>0</x:v>
      </x:c>
      <x:c r="M8" s="2" t="n">
        <x:f>IF(COUNTA(A8:C8,F8:K8)=0,0,IF(OR(H8&gt;F8,I8&gt;G8,D8="Код қәте",E8="Код қәте"),1,0))</x:f>
        <x:v>0</x:v>
      </x:c>
      <x:c r="N8" s="2" t="str">
        <x:f>IF(B8="","",_xlfn.IFNA(INDEX('Клиентлер'!$B$8:$B$31,MATCH(B8,'Клиентлер'!$A$8:$A$31,0)),"Код қәте"))</x:f>
      </x:c>
    </x:row>
    <x:row r="9" ht="40" customHeight="1">
      <x:c r="A9" s="12"/>
      <x:c r="B9" s="10"/>
      <x:c r="C9" s="10"/>
      <x:c r="D9" s="13" t="str">
        <x:f>IF(C9="","",_xlfn.IFNA(INDEX('Күнлик реже'!$D$8:$D$390,MATCH(C9,'Күнлик реже'!$A$8:$A$390,0)),"Код қәте"))</x:f>
      </x:c>
      <x:c r="E9" s="2" t="str">
        <x:f>IF(B9="","",_xlfn.IFNA(INDEX('Клиентлер'!$E$8:$E$31,MATCH(B9,'Клиентлер'!$A$8:$A$31,0)),"Код қәте"))</x:f>
      </x:c>
      <x:c r="F9" s="11"/>
      <x:c r="G9" s="11"/>
      <x:c r="H9" s="11"/>
      <x:c r="I9" s="11"/>
      <x:c r="J9" s="11"/>
      <x:c r="K9" s="10"/>
      <x:c r="L9" s="2" t="n">
        <x:f>IF(COUNTA(A9:C9,F9:K9)=0,0,IF(AND(COUNT(A9:C9)=3,COUNT(F9:J9)=5),0,1))</x:f>
        <x:v>0</x:v>
      </x:c>
      <x:c r="M9" s="2" t="n">
        <x:f>IF(COUNTA(A9:C9,F9:K9)=0,0,IF(OR(H9&gt;F9,I9&gt;G9,D9="Код қәте",E9="Код қәте"),1,0))</x:f>
        <x:v>0</x:v>
      </x:c>
      <x:c r="N9" s="2" t="str">
        <x:f>IF(B9="","",_xlfn.IFNA(INDEX('Клиентлер'!$B$8:$B$31,MATCH(B9,'Клиентлер'!$A$8:$A$31,0)),"Код қәте"))</x:f>
      </x:c>
    </x:row>
    <x:row r="10" ht="40" customHeight="1">
      <x:c r="A10" s="12"/>
      <x:c r="B10" s="10"/>
      <x:c r="C10" s="10"/>
      <x:c r="D10" s="13" t="str">
        <x:f>IF(C10="","",_xlfn.IFNA(INDEX('Күнлик реже'!$D$8:$D$390,MATCH(C10,'Күнлик реже'!$A$8:$A$390,0)),"Код қәте"))</x:f>
      </x:c>
      <x:c r="E10" s="2" t="str">
        <x:f>IF(B10="","",_xlfn.IFNA(INDEX('Клиентлер'!$E$8:$E$31,MATCH(B10,'Клиентлер'!$A$8:$A$31,0)),"Код қәте"))</x:f>
      </x:c>
      <x:c r="F10" s="11"/>
      <x:c r="G10" s="11"/>
      <x:c r="H10" s="11"/>
      <x:c r="I10" s="11"/>
      <x:c r="J10" s="11"/>
      <x:c r="K10" s="10"/>
      <x:c r="L10" s="2" t="n">
        <x:f>IF(COUNTA(A10:C10,F10:K10)=0,0,IF(AND(COUNT(A10:C10)=3,COUNT(F10:J10)=5),0,1))</x:f>
        <x:v>0</x:v>
      </x:c>
      <x:c r="M10" s="2" t="n">
        <x:f>IF(COUNTA(A10:C10,F10:K10)=0,0,IF(OR(H10&gt;F10,I10&gt;G10,D10="Код қәте",E10="Код қәте"),1,0))</x:f>
        <x:v>0</x:v>
      </x:c>
      <x:c r="N10" s="2" t="str">
        <x:f>IF(B10="","",_xlfn.IFNA(INDEX('Клиентлер'!$B$8:$B$31,MATCH(B10,'Клиентлер'!$A$8:$A$31,0)),"Код қәте"))</x:f>
      </x:c>
    </x:row>
    <x:row r="11" ht="40" customHeight="1">
      <x:c r="A11" s="12"/>
      <x:c r="B11" s="10"/>
      <x:c r="C11" s="10"/>
      <x:c r="D11" s="13" t="str">
        <x:f>IF(C11="","",_xlfn.IFNA(INDEX('Күнлик реже'!$D$8:$D$390,MATCH(C11,'Күнлик реже'!$A$8:$A$390,0)),"Код қәте"))</x:f>
      </x:c>
      <x:c r="E11" s="2" t="str">
        <x:f>IF(B11="","",_xlfn.IFNA(INDEX('Клиентлер'!$E$8:$E$31,MATCH(B11,'Клиентлер'!$A$8:$A$31,0)),"Код қәте"))</x:f>
      </x:c>
      <x:c r="F11" s="11"/>
      <x:c r="G11" s="11"/>
      <x:c r="H11" s="11"/>
      <x:c r="I11" s="11"/>
      <x:c r="J11" s="11"/>
      <x:c r="K11" s="10"/>
      <x:c r="L11" s="2" t="n">
        <x:f>IF(COUNTA(A11:C11,F11:K11)=0,0,IF(AND(COUNT(A11:C11)=3,COUNT(F11:J11)=5),0,1))</x:f>
        <x:v>0</x:v>
      </x:c>
      <x:c r="M11" s="2" t="n">
        <x:f>IF(COUNTA(A11:C11,F11:K11)=0,0,IF(OR(H11&gt;F11,I11&gt;G11,D11="Код қәте",E11="Код қәте"),1,0))</x:f>
        <x:v>0</x:v>
      </x:c>
      <x:c r="N11" s="2" t="str">
        <x:f>IF(B11="","",_xlfn.IFNA(INDEX('Клиентлер'!$B$8:$B$31,MATCH(B11,'Клиентлер'!$A$8:$A$31,0)),"Код қәте"))</x:f>
      </x:c>
    </x:row>
    <x:row r="12" ht="40" customHeight="1">
      <x:c r="A12" s="12"/>
      <x:c r="B12" s="10"/>
      <x:c r="C12" s="10"/>
      <x:c r="D12" s="13" t="str">
        <x:f>IF(C12="","",_xlfn.IFNA(INDEX('Күнлик реже'!$D$8:$D$390,MATCH(C12,'Күнлик реже'!$A$8:$A$390,0)),"Код қәте"))</x:f>
      </x:c>
      <x:c r="E12" s="2" t="str">
        <x:f>IF(B12="","",_xlfn.IFNA(INDEX('Клиентлер'!$E$8:$E$31,MATCH(B12,'Клиентлер'!$A$8:$A$31,0)),"Код қәте"))</x:f>
      </x:c>
      <x:c r="F12" s="11"/>
      <x:c r="G12" s="11"/>
      <x:c r="H12" s="11"/>
      <x:c r="I12" s="11"/>
      <x:c r="J12" s="11"/>
      <x:c r="K12" s="10"/>
      <x:c r="L12" s="2" t="n">
        <x:f>IF(COUNTA(A12:C12,F12:K12)=0,0,IF(AND(COUNT(A12:C12)=3,COUNT(F12:J12)=5),0,1))</x:f>
        <x:v>0</x:v>
      </x:c>
      <x:c r="M12" s="2" t="n">
        <x:f>IF(COUNTA(A12:C12,F12:K12)=0,0,IF(OR(H12&gt;F12,I12&gt;G12,D12="Код қәте",E12="Код қәте"),1,0))</x:f>
        <x:v>0</x:v>
      </x:c>
      <x:c r="N12" s="2" t="str">
        <x:f>IF(B12="","",_xlfn.IFNA(INDEX('Клиентлер'!$B$8:$B$31,MATCH(B12,'Клиентлер'!$A$8:$A$31,0)),"Код қәте"))</x:f>
      </x:c>
    </x:row>
    <x:row r="13" ht="40" customHeight="1">
      <x:c r="A13" s="12"/>
      <x:c r="B13" s="10"/>
      <x:c r="C13" s="10"/>
      <x:c r="D13" s="13" t="str">
        <x:f>IF(C13="","",_xlfn.IFNA(INDEX('Күнлик реже'!$D$8:$D$390,MATCH(C13,'Күнлик реже'!$A$8:$A$390,0)),"Код қәте"))</x:f>
      </x:c>
      <x:c r="E13" s="2" t="str">
        <x:f>IF(B13="","",_xlfn.IFNA(INDEX('Клиентлер'!$E$8:$E$31,MATCH(B13,'Клиентлер'!$A$8:$A$31,0)),"Код қәте"))</x:f>
      </x:c>
      <x:c r="F13" s="11"/>
      <x:c r="G13" s="11"/>
      <x:c r="H13" s="11"/>
      <x:c r="I13" s="11"/>
      <x:c r="J13" s="11"/>
      <x:c r="K13" s="10"/>
      <x:c r="L13" s="2" t="n">
        <x:f>IF(COUNTA(A13:C13,F13:K13)=0,0,IF(AND(COUNT(A13:C13)=3,COUNT(F13:J13)=5),0,1))</x:f>
        <x:v>0</x:v>
      </x:c>
      <x:c r="M13" s="2" t="n">
        <x:f>IF(COUNTA(A13:C13,F13:K13)=0,0,IF(OR(H13&gt;F13,I13&gt;G13,D13="Код қәте",E13="Код қәте"),1,0))</x:f>
        <x:v>0</x:v>
      </x:c>
      <x:c r="N13" s="2" t="str">
        <x:f>IF(B13="","",_xlfn.IFNA(INDEX('Клиентлер'!$B$8:$B$31,MATCH(B13,'Клиентлер'!$A$8:$A$31,0)),"Код қәте"))</x:f>
      </x:c>
    </x:row>
    <x:row r="14" ht="40" customHeight="1">
      <x:c r="A14" s="12"/>
      <x:c r="B14" s="10"/>
      <x:c r="C14" s="10"/>
      <x:c r="D14" s="13" t="str">
        <x:f>IF(C14="","",_xlfn.IFNA(INDEX('Күнлик реже'!$D$8:$D$390,MATCH(C14,'Күнлик реже'!$A$8:$A$390,0)),"Код қәте"))</x:f>
      </x:c>
      <x:c r="E14" s="2" t="str">
        <x:f>IF(B14="","",_xlfn.IFNA(INDEX('Клиентлер'!$E$8:$E$31,MATCH(B14,'Клиентлер'!$A$8:$A$31,0)),"Код қәте"))</x:f>
      </x:c>
      <x:c r="F14" s="11"/>
      <x:c r="G14" s="11"/>
      <x:c r="H14" s="11"/>
      <x:c r="I14" s="11"/>
      <x:c r="J14" s="11"/>
      <x:c r="K14" s="10"/>
      <x:c r="L14" s="2" t="n">
        <x:f>IF(COUNTA(A14:C14,F14:K14)=0,0,IF(AND(COUNT(A14:C14)=3,COUNT(F14:J14)=5),0,1))</x:f>
        <x:v>0</x:v>
      </x:c>
      <x:c r="M14" s="2" t="n">
        <x:f>IF(COUNTA(A14:C14,F14:K14)=0,0,IF(OR(H14&gt;F14,I14&gt;G14,D14="Код қәте",E14="Код қәте"),1,0))</x:f>
        <x:v>0</x:v>
      </x:c>
      <x:c r="N14" s="2" t="str">
        <x:f>IF(B14="","",_xlfn.IFNA(INDEX('Клиентлер'!$B$8:$B$31,MATCH(B14,'Клиентлер'!$A$8:$A$31,0)),"Код қәте"))</x:f>
      </x:c>
    </x:row>
    <x:row r="15" ht="40" customHeight="1">
      <x:c r="A15" s="12"/>
      <x:c r="B15" s="10"/>
      <x:c r="C15" s="10"/>
      <x:c r="D15" s="13" t="str">
        <x:f>IF(C15="","",_xlfn.IFNA(INDEX('Күнлик реже'!$D$8:$D$390,MATCH(C15,'Күнлик реже'!$A$8:$A$390,0)),"Код қәте"))</x:f>
      </x:c>
      <x:c r="E15" s="2" t="str">
        <x:f>IF(B15="","",_xlfn.IFNA(INDEX('Клиентлер'!$E$8:$E$31,MATCH(B15,'Клиентлер'!$A$8:$A$31,0)),"Код қәте"))</x:f>
      </x:c>
      <x:c r="F15" s="11"/>
      <x:c r="G15" s="11"/>
      <x:c r="H15" s="11"/>
      <x:c r="I15" s="11"/>
      <x:c r="J15" s="11"/>
      <x:c r="K15" s="10"/>
      <x:c r="L15" s="2" t="n">
        <x:f>IF(COUNTA(A15:C15,F15:K15)=0,0,IF(AND(COUNT(A15:C15)=3,COUNT(F15:J15)=5),0,1))</x:f>
        <x:v>0</x:v>
      </x:c>
      <x:c r="M15" s="2" t="n">
        <x:f>IF(COUNTA(A15:C15,F15:K15)=0,0,IF(OR(H15&gt;F15,I15&gt;G15,D15="Код қәте",E15="Код қәте"),1,0))</x:f>
        <x:v>0</x:v>
      </x:c>
      <x:c r="N15" s="2" t="str">
        <x:f>IF(B15="","",_xlfn.IFNA(INDEX('Клиентлер'!$B$8:$B$31,MATCH(B15,'Клиентлер'!$A$8:$A$31,0)),"Код қәте"))</x:f>
      </x:c>
    </x:row>
    <x:row r="16" ht="40" customHeight="1">
      <x:c r="A16" s="12"/>
      <x:c r="B16" s="10"/>
      <x:c r="C16" s="10"/>
      <x:c r="D16" s="13" t="str">
        <x:f>IF(C16="","",_xlfn.IFNA(INDEX('Күнлик реже'!$D$8:$D$390,MATCH(C16,'Күнлик реже'!$A$8:$A$390,0)),"Код қәте"))</x:f>
      </x:c>
      <x:c r="E16" s="2" t="str">
        <x:f>IF(B16="","",_xlfn.IFNA(INDEX('Клиентлер'!$E$8:$E$31,MATCH(B16,'Клиентлер'!$A$8:$A$31,0)),"Код қәте"))</x:f>
      </x:c>
      <x:c r="F16" s="11"/>
      <x:c r="G16" s="11"/>
      <x:c r="H16" s="11"/>
      <x:c r="I16" s="11"/>
      <x:c r="J16" s="11"/>
      <x:c r="K16" s="10"/>
      <x:c r="L16" s="2" t="n">
        <x:f>IF(COUNTA(A16:C16,F16:K16)=0,0,IF(AND(COUNT(A16:C16)=3,COUNT(F16:J16)=5),0,1))</x:f>
        <x:v>0</x:v>
      </x:c>
      <x:c r="M16" s="2" t="n">
        <x:f>IF(COUNTA(A16:C16,F16:K16)=0,0,IF(OR(H16&gt;F16,I16&gt;G16,D16="Код қәте",E16="Код қәте"),1,0))</x:f>
        <x:v>0</x:v>
      </x:c>
      <x:c r="N16" s="2" t="str">
        <x:f>IF(B16="","",_xlfn.IFNA(INDEX('Клиентлер'!$B$8:$B$31,MATCH(B16,'Клиентлер'!$A$8:$A$31,0)),"Код қәте"))</x:f>
      </x:c>
    </x:row>
    <x:row r="17" ht="40" customHeight="1">
      <x:c r="A17" s="12"/>
      <x:c r="B17" s="10"/>
      <x:c r="C17" s="10"/>
      <x:c r="D17" s="13" t="str">
        <x:f>IF(C17="","",_xlfn.IFNA(INDEX('Күнлик реже'!$D$8:$D$390,MATCH(C17,'Күнлик реже'!$A$8:$A$390,0)),"Код қәте"))</x:f>
      </x:c>
      <x:c r="E17" s="2" t="str">
        <x:f>IF(B17="","",_xlfn.IFNA(INDEX('Клиентлер'!$E$8:$E$31,MATCH(B17,'Клиентлер'!$A$8:$A$31,0)),"Код қәте"))</x:f>
      </x:c>
      <x:c r="F17" s="11"/>
      <x:c r="G17" s="11"/>
      <x:c r="H17" s="11"/>
      <x:c r="I17" s="11"/>
      <x:c r="J17" s="11"/>
      <x:c r="K17" s="10"/>
      <x:c r="L17" s="2" t="n">
        <x:f>IF(COUNTA(A17:C17,F17:K17)=0,0,IF(AND(COUNT(A17:C17)=3,COUNT(F17:J17)=5),0,1))</x:f>
        <x:v>0</x:v>
      </x:c>
      <x:c r="M17" s="2" t="n">
        <x:f>IF(COUNTA(A17:C17,F17:K17)=0,0,IF(OR(H17&gt;F17,I17&gt;G17,D17="Код қәте",E17="Код қәте"),1,0))</x:f>
        <x:v>0</x:v>
      </x:c>
      <x:c r="N17" s="2" t="str">
        <x:f>IF(B17="","",_xlfn.IFNA(INDEX('Клиентлер'!$B$8:$B$31,MATCH(B17,'Клиентлер'!$A$8:$A$31,0)),"Код қәте"))</x:f>
      </x:c>
    </x:row>
    <x:row r="18" ht="40" customHeight="1">
      <x:c r="A18" s="12"/>
      <x:c r="B18" s="10"/>
      <x:c r="C18" s="10"/>
      <x:c r="D18" s="13" t="str">
        <x:f>IF(C18="","",_xlfn.IFNA(INDEX('Күнлик реже'!$D$8:$D$390,MATCH(C18,'Күнлик реже'!$A$8:$A$390,0)),"Код қәте"))</x:f>
      </x:c>
      <x:c r="E18" s="2" t="str">
        <x:f>IF(B18="","",_xlfn.IFNA(INDEX('Клиентлер'!$E$8:$E$31,MATCH(B18,'Клиентлер'!$A$8:$A$31,0)),"Код қәте"))</x:f>
      </x:c>
      <x:c r="F18" s="11"/>
      <x:c r="G18" s="11"/>
      <x:c r="H18" s="11"/>
      <x:c r="I18" s="11"/>
      <x:c r="J18" s="11"/>
      <x:c r="K18" s="10"/>
      <x:c r="L18" s="2" t="n">
        <x:f>IF(COUNTA(A18:C18,F18:K18)=0,0,IF(AND(COUNT(A18:C18)=3,COUNT(F18:J18)=5),0,1))</x:f>
        <x:v>0</x:v>
      </x:c>
      <x:c r="M18" s="2" t="n">
        <x:f>IF(COUNTA(A18:C18,F18:K18)=0,0,IF(OR(H18&gt;F18,I18&gt;G18,D18="Код қәте",E18="Код қәте"),1,0))</x:f>
        <x:v>0</x:v>
      </x:c>
      <x:c r="N18" s="2" t="str">
        <x:f>IF(B18="","",_xlfn.IFNA(INDEX('Клиентлер'!$B$8:$B$31,MATCH(B18,'Клиентлер'!$A$8:$A$31,0)),"Код қәте"))</x:f>
      </x:c>
    </x:row>
    <x:row r="19" ht="40" customHeight="1">
      <x:c r="A19" s="12"/>
      <x:c r="B19" s="10"/>
      <x:c r="C19" s="10"/>
      <x:c r="D19" s="13" t="str">
        <x:f>IF(C19="","",_xlfn.IFNA(INDEX('Күнлик реже'!$D$8:$D$390,MATCH(C19,'Күнлик реже'!$A$8:$A$390,0)),"Код қәте"))</x:f>
      </x:c>
      <x:c r="E19" s="2" t="str">
        <x:f>IF(B19="","",_xlfn.IFNA(INDEX('Клиентлер'!$E$8:$E$31,MATCH(B19,'Клиентлер'!$A$8:$A$31,0)),"Код қәте"))</x:f>
      </x:c>
      <x:c r="F19" s="11"/>
      <x:c r="G19" s="11"/>
      <x:c r="H19" s="11"/>
      <x:c r="I19" s="11"/>
      <x:c r="J19" s="11"/>
      <x:c r="K19" s="10"/>
      <x:c r="L19" s="2" t="n">
        <x:f>IF(COUNTA(A19:C19,F19:K19)=0,0,IF(AND(COUNT(A19:C19)=3,COUNT(F19:J19)=5),0,1))</x:f>
        <x:v>0</x:v>
      </x:c>
      <x:c r="M19" s="2" t="n">
        <x:f>IF(COUNTA(A19:C19,F19:K19)=0,0,IF(OR(H19&gt;F19,I19&gt;G19,D19="Код қәте",E19="Код қәте"),1,0))</x:f>
        <x:v>0</x:v>
      </x:c>
      <x:c r="N19" s="2" t="str">
        <x:f>IF(B19="","",_xlfn.IFNA(INDEX('Клиентлер'!$B$8:$B$31,MATCH(B19,'Клиентлер'!$A$8:$A$31,0)),"Код қәте"))</x:f>
      </x:c>
    </x:row>
    <x:row r="20" ht="40" customHeight="1">
      <x:c r="A20" s="12"/>
      <x:c r="B20" s="10"/>
      <x:c r="C20" s="10"/>
      <x:c r="D20" s="13" t="str">
        <x:f>IF(C20="","",_xlfn.IFNA(INDEX('Күнлик реже'!$D$8:$D$390,MATCH(C20,'Күнлик реже'!$A$8:$A$390,0)),"Код қәте"))</x:f>
      </x:c>
      <x:c r="E20" s="2" t="str">
        <x:f>IF(B20="","",_xlfn.IFNA(INDEX('Клиентлер'!$E$8:$E$31,MATCH(B20,'Клиентлер'!$A$8:$A$31,0)),"Код қәте"))</x:f>
      </x:c>
      <x:c r="F20" s="11"/>
      <x:c r="G20" s="11"/>
      <x:c r="H20" s="11"/>
      <x:c r="I20" s="11"/>
      <x:c r="J20" s="11"/>
      <x:c r="K20" s="10"/>
      <x:c r="L20" s="2" t="n">
        <x:f>IF(COUNTA(A20:C20,F20:K20)=0,0,IF(AND(COUNT(A20:C20)=3,COUNT(F20:J20)=5),0,1))</x:f>
        <x:v>0</x:v>
      </x:c>
      <x:c r="M20" s="2" t="n">
        <x:f>IF(COUNTA(A20:C20,F20:K20)=0,0,IF(OR(H20&gt;F20,I20&gt;G20,D20="Код қәте",E20="Код қәте"),1,0))</x:f>
        <x:v>0</x:v>
      </x:c>
      <x:c r="N20" s="2" t="str">
        <x:f>IF(B20="","",_xlfn.IFNA(INDEX('Клиентлер'!$B$8:$B$31,MATCH(B20,'Клиентлер'!$A$8:$A$31,0)),"Код қәте"))</x:f>
      </x:c>
    </x:row>
    <x:row r="21" ht="40" customHeight="1">
      <x:c r="A21" s="12"/>
      <x:c r="B21" s="10"/>
      <x:c r="C21" s="10"/>
      <x:c r="D21" s="13" t="str">
        <x:f>IF(C21="","",_xlfn.IFNA(INDEX('Күнлик реже'!$D$8:$D$390,MATCH(C21,'Күнлик реже'!$A$8:$A$390,0)),"Код қәте"))</x:f>
      </x:c>
      <x:c r="E21" s="2" t="str">
        <x:f>IF(B21="","",_xlfn.IFNA(INDEX('Клиентлер'!$E$8:$E$31,MATCH(B21,'Клиентлер'!$A$8:$A$31,0)),"Код қәте"))</x:f>
      </x:c>
      <x:c r="F21" s="11"/>
      <x:c r="G21" s="11"/>
      <x:c r="H21" s="11"/>
      <x:c r="I21" s="11"/>
      <x:c r="J21" s="11"/>
      <x:c r="K21" s="10"/>
      <x:c r="L21" s="2" t="n">
        <x:f>IF(COUNTA(A21:C21,F21:K21)=0,0,IF(AND(COUNT(A21:C21)=3,COUNT(F21:J21)=5),0,1))</x:f>
        <x:v>0</x:v>
      </x:c>
      <x:c r="M21" s="2" t="n">
        <x:f>IF(COUNTA(A21:C21,F21:K21)=0,0,IF(OR(H21&gt;F21,I21&gt;G21,D21="Код қәте",E21="Код қәте"),1,0))</x:f>
        <x:v>0</x:v>
      </x:c>
      <x:c r="N21" s="2" t="str">
        <x:f>IF(B21="","",_xlfn.IFNA(INDEX('Клиентлер'!$B$8:$B$31,MATCH(B21,'Клиентлер'!$A$8:$A$31,0)),"Код қәте"))</x:f>
      </x:c>
    </x:row>
    <x:row r="22" ht="40" customHeight="1">
      <x:c r="A22" s="12"/>
      <x:c r="B22" s="10"/>
      <x:c r="C22" s="10"/>
      <x:c r="D22" s="13" t="str">
        <x:f>IF(C22="","",_xlfn.IFNA(INDEX('Күнлик реже'!$D$8:$D$390,MATCH(C22,'Күнлик реже'!$A$8:$A$390,0)),"Код қәте"))</x:f>
      </x:c>
      <x:c r="E22" s="2" t="str">
        <x:f>IF(B22="","",_xlfn.IFNA(INDEX('Клиентлер'!$E$8:$E$31,MATCH(B22,'Клиентлер'!$A$8:$A$31,0)),"Код қәте"))</x:f>
      </x:c>
      <x:c r="F22" s="11"/>
      <x:c r="G22" s="11"/>
      <x:c r="H22" s="11"/>
      <x:c r="I22" s="11"/>
      <x:c r="J22" s="11"/>
      <x:c r="K22" s="10"/>
      <x:c r="L22" s="2" t="n">
        <x:f>IF(COUNTA(A22:C22,F22:K22)=0,0,IF(AND(COUNT(A22:C22)=3,COUNT(F22:J22)=5),0,1))</x:f>
        <x:v>0</x:v>
      </x:c>
      <x:c r="M22" s="2" t="n">
        <x:f>IF(COUNTA(A22:C22,F22:K22)=0,0,IF(OR(H22&gt;F22,I22&gt;G22,D22="Код қәте",E22="Код қәте"),1,0))</x:f>
        <x:v>0</x:v>
      </x:c>
      <x:c r="N22" s="2" t="str">
        <x:f>IF(B22="","",_xlfn.IFNA(INDEX('Клиентлер'!$B$8:$B$31,MATCH(B22,'Клиентлер'!$A$8:$A$31,0)),"Код қәте"))</x:f>
      </x:c>
    </x:row>
    <x:row r="23" ht="40" customHeight="1">
      <x:c r="A23" s="12"/>
      <x:c r="B23" s="10"/>
      <x:c r="C23" s="10"/>
      <x:c r="D23" s="13" t="str">
        <x:f>IF(C23="","",_xlfn.IFNA(INDEX('Күнлик реже'!$D$8:$D$390,MATCH(C23,'Күнлик реже'!$A$8:$A$390,0)),"Код қәте"))</x:f>
      </x:c>
      <x:c r="E23" s="2" t="str">
        <x:f>IF(B23="","",_xlfn.IFNA(INDEX('Клиентлер'!$E$8:$E$31,MATCH(B23,'Клиентлер'!$A$8:$A$31,0)),"Код қәте"))</x:f>
      </x:c>
      <x:c r="F23" s="11"/>
      <x:c r="G23" s="11"/>
      <x:c r="H23" s="11"/>
      <x:c r="I23" s="11"/>
      <x:c r="J23" s="11"/>
      <x:c r="K23" s="10"/>
      <x:c r="L23" s="2" t="n">
        <x:f>IF(COUNTA(A23:C23,F23:K23)=0,0,IF(AND(COUNT(A23:C23)=3,COUNT(F23:J23)=5),0,1))</x:f>
        <x:v>0</x:v>
      </x:c>
      <x:c r="M23" s="2" t="n">
        <x:f>IF(COUNTA(A23:C23,F23:K23)=0,0,IF(OR(H23&gt;F23,I23&gt;G23,D23="Код қәте",E23="Код қәте"),1,0))</x:f>
        <x:v>0</x:v>
      </x:c>
      <x:c r="N23" s="2" t="str">
        <x:f>IF(B23="","",_xlfn.IFNA(INDEX('Клиентлер'!$B$8:$B$31,MATCH(B23,'Клиентлер'!$A$8:$A$31,0)),"Код қәте"))</x:f>
      </x:c>
    </x:row>
    <x:row r="24" ht="40" customHeight="1">
      <x:c r="A24" s="12"/>
      <x:c r="B24" s="10"/>
      <x:c r="C24" s="10"/>
      <x:c r="D24" s="13" t="str">
        <x:f>IF(C24="","",_xlfn.IFNA(INDEX('Күнлик реже'!$D$8:$D$390,MATCH(C24,'Күнлик реже'!$A$8:$A$390,0)),"Код қәте"))</x:f>
      </x:c>
      <x:c r="E24" s="2" t="str">
        <x:f>IF(B24="","",_xlfn.IFNA(INDEX('Клиентлер'!$E$8:$E$31,MATCH(B24,'Клиентлер'!$A$8:$A$31,0)),"Код қәте"))</x:f>
      </x:c>
      <x:c r="F24" s="11"/>
      <x:c r="G24" s="11"/>
      <x:c r="H24" s="11"/>
      <x:c r="I24" s="11"/>
      <x:c r="J24" s="11"/>
      <x:c r="K24" s="10"/>
      <x:c r="L24" s="2" t="n">
        <x:f>IF(COUNTA(A24:C24,F24:K24)=0,0,IF(AND(COUNT(A24:C24)=3,COUNT(F24:J24)=5),0,1))</x:f>
        <x:v>0</x:v>
      </x:c>
      <x:c r="M24" s="2" t="n">
        <x:f>IF(COUNTA(A24:C24,F24:K24)=0,0,IF(OR(H24&gt;F24,I24&gt;G24,D24="Код қәте",E24="Код қәте"),1,0))</x:f>
        <x:v>0</x:v>
      </x:c>
      <x:c r="N24" s="2" t="str">
        <x:f>IF(B24="","",_xlfn.IFNA(INDEX('Клиентлер'!$B$8:$B$31,MATCH(B24,'Клиентлер'!$A$8:$A$31,0)),"Код қәте"))</x:f>
      </x:c>
    </x:row>
    <x:row r="25" ht="40" customHeight="1">
      <x:c r="A25" s="12"/>
      <x:c r="B25" s="10"/>
      <x:c r="C25" s="10"/>
      <x:c r="D25" s="13" t="str">
        <x:f>IF(C25="","",_xlfn.IFNA(INDEX('Күнлик реже'!$D$8:$D$390,MATCH(C25,'Күнлик реже'!$A$8:$A$390,0)),"Код қәте"))</x:f>
      </x:c>
      <x:c r="E25" s="2" t="str">
        <x:f>IF(B25="","",_xlfn.IFNA(INDEX('Клиентлер'!$E$8:$E$31,MATCH(B25,'Клиентлер'!$A$8:$A$31,0)),"Код қәте"))</x:f>
      </x:c>
      <x:c r="F25" s="11"/>
      <x:c r="G25" s="11"/>
      <x:c r="H25" s="11"/>
      <x:c r="I25" s="11"/>
      <x:c r="J25" s="11"/>
      <x:c r="K25" s="10"/>
      <x:c r="L25" s="2" t="n">
        <x:f>IF(COUNTA(A25:C25,F25:K25)=0,0,IF(AND(COUNT(A25:C25)=3,COUNT(F25:J25)=5),0,1))</x:f>
        <x:v>0</x:v>
      </x:c>
      <x:c r="M25" s="2" t="n">
        <x:f>IF(COUNTA(A25:C25,F25:K25)=0,0,IF(OR(H25&gt;F25,I25&gt;G25,D25="Код қәте",E25="Код қәте"),1,0))</x:f>
        <x:v>0</x:v>
      </x:c>
      <x:c r="N25" s="2" t="str">
        <x:f>IF(B25="","",_xlfn.IFNA(INDEX('Клиентлер'!$B$8:$B$31,MATCH(B25,'Клиентлер'!$A$8:$A$31,0)),"Код қәте"))</x:f>
      </x:c>
    </x:row>
    <x:row r="26" ht="40" customHeight="1">
      <x:c r="A26" s="12"/>
      <x:c r="B26" s="10"/>
      <x:c r="C26" s="10"/>
      <x:c r="D26" s="13" t="str">
        <x:f>IF(C26="","",_xlfn.IFNA(INDEX('Күнлик реже'!$D$8:$D$390,MATCH(C26,'Күнлик реже'!$A$8:$A$390,0)),"Код қәте"))</x:f>
      </x:c>
      <x:c r="E26" s="2" t="str">
        <x:f>IF(B26="","",_xlfn.IFNA(INDEX('Клиентлер'!$E$8:$E$31,MATCH(B26,'Клиентлер'!$A$8:$A$31,0)),"Код қәте"))</x:f>
      </x:c>
      <x:c r="F26" s="11"/>
      <x:c r="G26" s="11"/>
      <x:c r="H26" s="11"/>
      <x:c r="I26" s="11"/>
      <x:c r="J26" s="11"/>
      <x:c r="K26" s="10"/>
      <x:c r="L26" s="2" t="n">
        <x:f>IF(COUNTA(A26:C26,F26:K26)=0,0,IF(AND(COUNT(A26:C26)=3,COUNT(F26:J26)=5),0,1))</x:f>
        <x:v>0</x:v>
      </x:c>
      <x:c r="M26" s="2" t="n">
        <x:f>IF(COUNTA(A26:C26,F26:K26)=0,0,IF(OR(H26&gt;F26,I26&gt;G26,D26="Код қәте",E26="Код қәте"),1,0))</x:f>
        <x:v>0</x:v>
      </x:c>
      <x:c r="N26" s="2" t="str">
        <x:f>IF(B26="","",_xlfn.IFNA(INDEX('Клиентлер'!$B$8:$B$31,MATCH(B26,'Клиентлер'!$A$8:$A$31,0)),"Код қәте"))</x:f>
      </x:c>
    </x:row>
    <x:row r="27" ht="40" customHeight="1">
      <x:c r="A27" s="12"/>
      <x:c r="B27" s="10"/>
      <x:c r="C27" s="10"/>
      <x:c r="D27" s="13" t="str">
        <x:f>IF(C27="","",_xlfn.IFNA(INDEX('Күнлик реже'!$D$8:$D$390,MATCH(C27,'Күнлик реже'!$A$8:$A$390,0)),"Код қәте"))</x:f>
      </x:c>
      <x:c r="E27" s="2" t="str">
        <x:f>IF(B27="","",_xlfn.IFNA(INDEX('Клиентлер'!$E$8:$E$31,MATCH(B27,'Клиентлер'!$A$8:$A$31,0)),"Код қәте"))</x:f>
      </x:c>
      <x:c r="F27" s="11"/>
      <x:c r="G27" s="11"/>
      <x:c r="H27" s="11"/>
      <x:c r="I27" s="11"/>
      <x:c r="J27" s="11"/>
      <x:c r="K27" s="10"/>
      <x:c r="L27" s="2" t="n">
        <x:f>IF(COUNTA(A27:C27,F27:K27)=0,0,IF(AND(COUNT(A27:C27)=3,COUNT(F27:J27)=5),0,1))</x:f>
        <x:v>0</x:v>
      </x:c>
      <x:c r="M27" s="2" t="n">
        <x:f>IF(COUNTA(A27:C27,F27:K27)=0,0,IF(OR(H27&gt;F27,I27&gt;G27,D27="Код қәте",E27="Код қәте"),1,0))</x:f>
        <x:v>0</x:v>
      </x:c>
      <x:c r="N27" s="2" t="str">
        <x:f>IF(B27="","",_xlfn.IFNA(INDEX('Клиентлер'!$B$8:$B$31,MATCH(B27,'Клиентлер'!$A$8:$A$31,0)),"Код қәте"))</x:f>
      </x:c>
    </x:row>
    <x:row r="28" ht="40" customHeight="1">
      <x:c r="A28" s="12"/>
      <x:c r="B28" s="10"/>
      <x:c r="C28" s="10"/>
      <x:c r="D28" s="13" t="str">
        <x:f>IF(C28="","",_xlfn.IFNA(INDEX('Күнлик реже'!$D$8:$D$390,MATCH(C28,'Күнлик реже'!$A$8:$A$390,0)),"Код қәте"))</x:f>
      </x:c>
      <x:c r="E28" s="2" t="str">
        <x:f>IF(B28="","",_xlfn.IFNA(INDEX('Клиентлер'!$E$8:$E$31,MATCH(B28,'Клиентлер'!$A$8:$A$31,0)),"Код қәте"))</x:f>
      </x:c>
      <x:c r="F28" s="11"/>
      <x:c r="G28" s="11"/>
      <x:c r="H28" s="11"/>
      <x:c r="I28" s="11"/>
      <x:c r="J28" s="11"/>
      <x:c r="K28" s="10"/>
      <x:c r="L28" s="2" t="n">
        <x:f>IF(COUNTA(A28:C28,F28:K28)=0,0,IF(AND(COUNT(A28:C28)=3,COUNT(F28:J28)=5),0,1))</x:f>
        <x:v>0</x:v>
      </x:c>
      <x:c r="M28" s="2" t="n">
        <x:f>IF(COUNTA(A28:C28,F28:K28)=0,0,IF(OR(H28&gt;F28,I28&gt;G28,D28="Код қәте",E28="Код қәте"),1,0))</x:f>
        <x:v>0</x:v>
      </x:c>
      <x:c r="N28" s="2" t="str">
        <x:f>IF(B28="","",_xlfn.IFNA(INDEX('Клиентлер'!$B$8:$B$31,MATCH(B28,'Клиентлер'!$A$8:$A$31,0)),"Код қәте"))</x:f>
      </x:c>
    </x:row>
    <x:row r="29" ht="40" customHeight="1">
      <x:c r="A29" s="12"/>
      <x:c r="B29" s="10"/>
      <x:c r="C29" s="10"/>
      <x:c r="D29" s="13" t="str">
        <x:f>IF(C29="","",_xlfn.IFNA(INDEX('Күнлик реже'!$D$8:$D$390,MATCH(C29,'Күнлик реже'!$A$8:$A$390,0)),"Код қәте"))</x:f>
      </x:c>
      <x:c r="E29" s="2" t="str">
        <x:f>IF(B29="","",_xlfn.IFNA(INDEX('Клиентлер'!$E$8:$E$31,MATCH(B29,'Клиентлер'!$A$8:$A$31,0)),"Код қәте"))</x:f>
      </x:c>
      <x:c r="F29" s="11"/>
      <x:c r="G29" s="11"/>
      <x:c r="H29" s="11"/>
      <x:c r="I29" s="11"/>
      <x:c r="J29" s="11"/>
      <x:c r="K29" s="10"/>
      <x:c r="L29" s="2" t="n">
        <x:f>IF(COUNTA(A29:C29,F29:K29)=0,0,IF(AND(COUNT(A29:C29)=3,COUNT(F29:J29)=5),0,1))</x:f>
        <x:v>0</x:v>
      </x:c>
      <x:c r="M29" s="2" t="n">
        <x:f>IF(COUNTA(A29:C29,F29:K29)=0,0,IF(OR(H29&gt;F29,I29&gt;G29,D29="Код қәте",E29="Код қәте"),1,0))</x:f>
        <x:v>0</x:v>
      </x:c>
      <x:c r="N29" s="2" t="str">
        <x:f>IF(B29="","",_xlfn.IFNA(INDEX('Клиентлер'!$B$8:$B$31,MATCH(B29,'Клиентлер'!$A$8:$A$31,0)),"Код қәте"))</x:f>
      </x:c>
    </x:row>
    <x:row r="30" ht="40" customHeight="1">
      <x:c r="A30" s="12"/>
      <x:c r="B30" s="10"/>
      <x:c r="C30" s="10"/>
      <x:c r="D30" s="13" t="str">
        <x:f>IF(C30="","",_xlfn.IFNA(INDEX('Күнлик реже'!$D$8:$D$390,MATCH(C30,'Күнлик реже'!$A$8:$A$390,0)),"Код қәте"))</x:f>
      </x:c>
      <x:c r="E30" s="2" t="str">
        <x:f>IF(B30="","",_xlfn.IFNA(INDEX('Клиентлер'!$E$8:$E$31,MATCH(B30,'Клиентлер'!$A$8:$A$31,0)),"Код қәте"))</x:f>
      </x:c>
      <x:c r="F30" s="11"/>
      <x:c r="G30" s="11"/>
      <x:c r="H30" s="11"/>
      <x:c r="I30" s="11"/>
      <x:c r="J30" s="11"/>
      <x:c r="K30" s="10"/>
      <x:c r="L30" s="2" t="n">
        <x:f>IF(COUNTA(A30:C30,F30:K30)=0,0,IF(AND(COUNT(A30:C30)=3,COUNT(F30:J30)=5),0,1))</x:f>
        <x:v>0</x:v>
      </x:c>
      <x:c r="M30" s="2" t="n">
        <x:f>IF(COUNTA(A30:C30,F30:K30)=0,0,IF(OR(H30&gt;F30,I30&gt;G30,D30="Код қәте",E30="Код қәте"),1,0))</x:f>
        <x:v>0</x:v>
      </x:c>
      <x:c r="N30" s="2" t="str">
        <x:f>IF(B30="","",_xlfn.IFNA(INDEX('Клиентлер'!$B$8:$B$31,MATCH(B30,'Клиентлер'!$A$8:$A$31,0)),"Код қәте"))</x:f>
      </x:c>
    </x:row>
    <x:row r="31" ht="40" customHeight="1">
      <x:c r="A31" s="12"/>
      <x:c r="B31" s="10"/>
      <x:c r="C31" s="10"/>
      <x:c r="D31" s="13" t="str">
        <x:f>IF(C31="","",_xlfn.IFNA(INDEX('Күнлик реже'!$D$8:$D$390,MATCH(C31,'Күнлик реже'!$A$8:$A$390,0)),"Код қәте"))</x:f>
      </x:c>
      <x:c r="E31" s="2" t="str">
        <x:f>IF(B31="","",_xlfn.IFNA(INDEX('Клиентлер'!$E$8:$E$31,MATCH(B31,'Клиентлер'!$A$8:$A$31,0)),"Код қәте"))</x:f>
      </x:c>
      <x:c r="F31" s="11"/>
      <x:c r="G31" s="11"/>
      <x:c r="H31" s="11"/>
      <x:c r="I31" s="11"/>
      <x:c r="J31" s="11"/>
      <x:c r="K31" s="10"/>
      <x:c r="L31" s="2" t="n">
        <x:f>IF(COUNTA(A31:C31,F31:K31)=0,0,IF(AND(COUNT(A31:C31)=3,COUNT(F31:J31)=5),0,1))</x:f>
        <x:v>0</x:v>
      </x:c>
      <x:c r="M31" s="2" t="n">
        <x:f>IF(COUNTA(A31:C31,F31:K31)=0,0,IF(OR(H31&gt;F31,I31&gt;G31,D31="Код қәте",E31="Код қәте"),1,0))</x:f>
        <x:v>0</x:v>
      </x:c>
      <x:c r="N31" s="2" t="str">
        <x:f>IF(B31="","",_xlfn.IFNA(INDEX('Клиентлер'!$B$8:$B$31,MATCH(B31,'Клиентлер'!$A$8:$A$31,0)),"Код қәте"))</x:f>
      </x:c>
    </x:row>
    <x:row r="32" ht="40" customHeight="1">
      <x:c r="A32" s="12"/>
      <x:c r="B32" s="10"/>
      <x:c r="C32" s="10"/>
      <x:c r="D32" s="13" t="str">
        <x:f>IF(C32="","",_xlfn.IFNA(INDEX('Күнлик реже'!$D$8:$D$390,MATCH(C32,'Күнлик реже'!$A$8:$A$390,0)),"Код қәте"))</x:f>
      </x:c>
      <x:c r="E32" s="2" t="str">
        <x:f>IF(B32="","",_xlfn.IFNA(INDEX('Клиентлер'!$E$8:$E$31,MATCH(B32,'Клиентлер'!$A$8:$A$31,0)),"Код қәте"))</x:f>
      </x:c>
      <x:c r="F32" s="11"/>
      <x:c r="G32" s="11"/>
      <x:c r="H32" s="11"/>
      <x:c r="I32" s="11"/>
      <x:c r="J32" s="11"/>
      <x:c r="K32" s="10"/>
      <x:c r="L32" s="2" t="n">
        <x:f>IF(COUNTA(A32:C32,F32:K32)=0,0,IF(AND(COUNT(A32:C32)=3,COUNT(F32:J32)=5),0,1))</x:f>
        <x:v>0</x:v>
      </x:c>
      <x:c r="M32" s="2" t="n">
        <x:f>IF(COUNTA(A32:C32,F32:K32)=0,0,IF(OR(H32&gt;F32,I32&gt;G32,D32="Код қәте",E32="Код қәте"),1,0))</x:f>
        <x:v>0</x:v>
      </x:c>
      <x:c r="N32" s="2" t="str">
        <x:f>IF(B32="","",_xlfn.IFNA(INDEX('Клиентлер'!$B$8:$B$31,MATCH(B32,'Клиентлер'!$A$8:$A$31,0)),"Код қәте"))</x:f>
      </x:c>
    </x:row>
    <x:row r="33" ht="40" customHeight="1">
      <x:c r="A33" s="12"/>
      <x:c r="B33" s="10"/>
      <x:c r="C33" s="10"/>
      <x:c r="D33" s="13" t="str">
        <x:f>IF(C33="","",_xlfn.IFNA(INDEX('Күнлик реже'!$D$8:$D$390,MATCH(C33,'Күнлик реже'!$A$8:$A$390,0)),"Код қәте"))</x:f>
      </x:c>
      <x:c r="E33" s="2" t="str">
        <x:f>IF(B33="","",_xlfn.IFNA(INDEX('Клиентлер'!$E$8:$E$31,MATCH(B33,'Клиентлер'!$A$8:$A$31,0)),"Код қәте"))</x:f>
      </x:c>
      <x:c r="F33" s="11"/>
      <x:c r="G33" s="11"/>
      <x:c r="H33" s="11"/>
      <x:c r="I33" s="11"/>
      <x:c r="J33" s="11"/>
      <x:c r="K33" s="10"/>
      <x:c r="L33" s="2" t="n">
        <x:f>IF(COUNTA(A33:C33,F33:K33)=0,0,IF(AND(COUNT(A33:C33)=3,COUNT(F33:J33)=5),0,1))</x:f>
        <x:v>0</x:v>
      </x:c>
      <x:c r="M33" s="2" t="n">
        <x:f>IF(COUNTA(A33:C33,F33:K33)=0,0,IF(OR(H33&gt;F33,I33&gt;G33,D33="Код қәте",E33="Код қәте"),1,0))</x:f>
        <x:v>0</x:v>
      </x:c>
      <x:c r="N33" s="2" t="str">
        <x:f>IF(B33="","",_xlfn.IFNA(INDEX('Клиентлер'!$B$8:$B$31,MATCH(B33,'Клиентлер'!$A$8:$A$31,0)),"Код қәте"))</x:f>
      </x:c>
    </x:row>
    <x:row r="34" ht="40" customHeight="1">
      <x:c r="A34" s="12"/>
      <x:c r="B34" s="10"/>
      <x:c r="C34" s="10"/>
      <x:c r="D34" s="13" t="str">
        <x:f>IF(C34="","",_xlfn.IFNA(INDEX('Күнлик реже'!$D$8:$D$390,MATCH(C34,'Күнлик реже'!$A$8:$A$390,0)),"Код қәте"))</x:f>
      </x:c>
      <x:c r="E34" s="2" t="str">
        <x:f>IF(B34="","",_xlfn.IFNA(INDEX('Клиентлер'!$E$8:$E$31,MATCH(B34,'Клиентлер'!$A$8:$A$31,0)),"Код қәте"))</x:f>
      </x:c>
      <x:c r="F34" s="11"/>
      <x:c r="G34" s="11"/>
      <x:c r="H34" s="11"/>
      <x:c r="I34" s="11"/>
      <x:c r="J34" s="11"/>
      <x:c r="K34" s="10"/>
      <x:c r="L34" s="2" t="n">
        <x:f>IF(COUNTA(A34:C34,F34:K34)=0,0,IF(AND(COUNT(A34:C34)=3,COUNT(F34:J34)=5),0,1))</x:f>
        <x:v>0</x:v>
      </x:c>
      <x:c r="M34" s="2" t="n">
        <x:f>IF(COUNTA(A34:C34,F34:K34)=0,0,IF(OR(H34&gt;F34,I34&gt;G34,D34="Код қәте",E34="Код қәте"),1,0))</x:f>
        <x:v>0</x:v>
      </x:c>
      <x:c r="N34" s="2" t="str">
        <x:f>IF(B34="","",_xlfn.IFNA(INDEX('Клиентлер'!$B$8:$B$31,MATCH(B34,'Клиентлер'!$A$8:$A$31,0)),"Код қәте"))</x:f>
      </x:c>
    </x:row>
    <x:row r="35" ht="40" customHeight="1">
      <x:c r="A35" s="12"/>
      <x:c r="B35" s="10"/>
      <x:c r="C35" s="10"/>
      <x:c r="D35" s="13" t="str">
        <x:f>IF(C35="","",_xlfn.IFNA(INDEX('Күнлик реже'!$D$8:$D$390,MATCH(C35,'Күнлик реже'!$A$8:$A$390,0)),"Код қәте"))</x:f>
      </x:c>
      <x:c r="E35" s="2" t="str">
        <x:f>IF(B35="","",_xlfn.IFNA(INDEX('Клиентлер'!$E$8:$E$31,MATCH(B35,'Клиентлер'!$A$8:$A$31,0)),"Код қәте"))</x:f>
      </x:c>
      <x:c r="F35" s="11"/>
      <x:c r="G35" s="11"/>
      <x:c r="H35" s="11"/>
      <x:c r="I35" s="11"/>
      <x:c r="J35" s="11"/>
      <x:c r="K35" s="10"/>
      <x:c r="L35" s="2" t="n">
        <x:f>IF(COUNTA(A35:C35,F35:K35)=0,0,IF(AND(COUNT(A35:C35)=3,COUNT(F35:J35)=5),0,1))</x:f>
        <x:v>0</x:v>
      </x:c>
      <x:c r="M35" s="2" t="n">
        <x:f>IF(COUNTA(A35:C35,F35:K35)=0,0,IF(OR(H35&gt;F35,I35&gt;G35,D35="Код қәте",E35="Код қәте"),1,0))</x:f>
        <x:v>0</x:v>
      </x:c>
      <x:c r="N35" s="2" t="str">
        <x:f>IF(B35="","",_xlfn.IFNA(INDEX('Клиентлер'!$B$8:$B$31,MATCH(B35,'Клиентлер'!$A$8:$A$31,0)),"Код қәте"))</x:f>
      </x:c>
    </x:row>
    <x:row r="36" ht="40" customHeight="1">
      <x:c r="A36" s="12"/>
      <x:c r="B36" s="10"/>
      <x:c r="C36" s="10"/>
      <x:c r="D36" s="13" t="str">
        <x:f>IF(C36="","",_xlfn.IFNA(INDEX('Күнлик реже'!$D$8:$D$390,MATCH(C36,'Күнлик реже'!$A$8:$A$390,0)),"Код қәте"))</x:f>
      </x:c>
      <x:c r="E36" s="2" t="str">
        <x:f>IF(B36="","",_xlfn.IFNA(INDEX('Клиентлер'!$E$8:$E$31,MATCH(B36,'Клиентлер'!$A$8:$A$31,0)),"Код қәте"))</x:f>
      </x:c>
      <x:c r="F36" s="11"/>
      <x:c r="G36" s="11"/>
      <x:c r="H36" s="11"/>
      <x:c r="I36" s="11"/>
      <x:c r="J36" s="11"/>
      <x:c r="K36" s="10"/>
      <x:c r="L36" s="2" t="n">
        <x:f>IF(COUNTA(A36:C36,F36:K36)=0,0,IF(AND(COUNT(A36:C36)=3,COUNT(F36:J36)=5),0,1))</x:f>
        <x:v>0</x:v>
      </x:c>
      <x:c r="M36" s="2" t="n">
        <x:f>IF(COUNTA(A36:C36,F36:K36)=0,0,IF(OR(H36&gt;F36,I36&gt;G36,D36="Код қәте",E36="Код қәте"),1,0))</x:f>
        <x:v>0</x:v>
      </x:c>
      <x:c r="N36" s="2" t="str">
        <x:f>IF(B36="","",_xlfn.IFNA(INDEX('Клиентлер'!$B$8:$B$31,MATCH(B36,'Клиентлер'!$A$8:$A$31,0)),"Код қәте"))</x:f>
      </x:c>
    </x:row>
    <x:row r="37" ht="40" customHeight="1">
      <x:c r="A37" s="12"/>
      <x:c r="B37" s="10"/>
      <x:c r="C37" s="10"/>
      <x:c r="D37" s="13" t="str">
        <x:f>IF(C37="","",_xlfn.IFNA(INDEX('Күнлик реже'!$D$8:$D$390,MATCH(C37,'Күнлик реже'!$A$8:$A$390,0)),"Код қәте"))</x:f>
      </x:c>
      <x:c r="E37" s="2" t="str">
        <x:f>IF(B37="","",_xlfn.IFNA(INDEX('Клиентлер'!$E$8:$E$31,MATCH(B37,'Клиентлер'!$A$8:$A$31,0)),"Код қәте"))</x:f>
      </x:c>
      <x:c r="F37" s="11"/>
      <x:c r="G37" s="11"/>
      <x:c r="H37" s="11"/>
      <x:c r="I37" s="11"/>
      <x:c r="J37" s="11"/>
      <x:c r="K37" s="10"/>
      <x:c r="L37" s="2" t="n">
        <x:f>IF(COUNTA(A37:C37,F37:K37)=0,0,IF(AND(COUNT(A37:C37)=3,COUNT(F37:J37)=5),0,1))</x:f>
        <x:v>0</x:v>
      </x:c>
      <x:c r="M37" s="2" t="n">
        <x:f>IF(COUNTA(A37:C37,F37:K37)=0,0,IF(OR(H37&gt;F37,I37&gt;G37,D37="Код қәте",E37="Код қәте"),1,0))</x:f>
        <x:v>0</x:v>
      </x:c>
      <x:c r="N37" s="2" t="str">
        <x:f>IF(B37="","",_xlfn.IFNA(INDEX('Клиентлер'!$B$8:$B$31,MATCH(B37,'Клиентлер'!$A$8:$A$31,0)),"Код қәте"))</x:f>
      </x:c>
    </x:row>
    <x:row r="38" ht="40" customHeight="1">
      <x:c r="A38" s="12"/>
      <x:c r="B38" s="10"/>
      <x:c r="C38" s="10"/>
      <x:c r="D38" s="13" t="str">
        <x:f>IF(C38="","",_xlfn.IFNA(INDEX('Күнлик реже'!$D$8:$D$390,MATCH(C38,'Күнлик реже'!$A$8:$A$390,0)),"Код қәте"))</x:f>
      </x:c>
      <x:c r="E38" s="2" t="str">
        <x:f>IF(B38="","",_xlfn.IFNA(INDEX('Клиентлер'!$E$8:$E$31,MATCH(B38,'Клиентлер'!$A$8:$A$31,0)),"Код қәте"))</x:f>
      </x:c>
      <x:c r="F38" s="11"/>
      <x:c r="G38" s="11"/>
      <x:c r="H38" s="11"/>
      <x:c r="I38" s="11"/>
      <x:c r="J38" s="11"/>
      <x:c r="K38" s="10"/>
      <x:c r="L38" s="2" t="n">
        <x:f>IF(COUNTA(A38:C38,F38:K38)=0,0,IF(AND(COUNT(A38:C38)=3,COUNT(F38:J38)=5),0,1))</x:f>
        <x:v>0</x:v>
      </x:c>
      <x:c r="M38" s="2" t="n">
        <x:f>IF(COUNTA(A38:C38,F38:K38)=0,0,IF(OR(H38&gt;F38,I38&gt;G38,D38="Код қәте",E38="Код қәте"),1,0))</x:f>
        <x:v>0</x:v>
      </x:c>
      <x:c r="N38" s="2" t="str">
        <x:f>IF(B38="","",_xlfn.IFNA(INDEX('Клиентлер'!$B$8:$B$31,MATCH(B38,'Клиентлер'!$A$8:$A$31,0)),"Код қәте"))</x:f>
      </x:c>
    </x:row>
    <x:row r="39" ht="40" customHeight="1">
      <x:c r="A39" s="12"/>
      <x:c r="B39" s="10"/>
      <x:c r="C39" s="10"/>
      <x:c r="D39" s="13" t="str">
        <x:f>IF(C39="","",_xlfn.IFNA(INDEX('Күнлик реже'!$D$8:$D$390,MATCH(C39,'Күнлик реже'!$A$8:$A$390,0)),"Код қәте"))</x:f>
      </x:c>
      <x:c r="E39" s="2" t="str">
        <x:f>IF(B39="","",_xlfn.IFNA(INDEX('Клиентлер'!$E$8:$E$31,MATCH(B39,'Клиентлер'!$A$8:$A$31,0)),"Код қәте"))</x:f>
      </x:c>
      <x:c r="F39" s="11"/>
      <x:c r="G39" s="11"/>
      <x:c r="H39" s="11"/>
      <x:c r="I39" s="11"/>
      <x:c r="J39" s="11"/>
      <x:c r="K39" s="10"/>
      <x:c r="L39" s="2" t="n">
        <x:f>IF(COUNTA(A39:C39,F39:K39)=0,0,IF(AND(COUNT(A39:C39)=3,COUNT(F39:J39)=5),0,1))</x:f>
        <x:v>0</x:v>
      </x:c>
      <x:c r="M39" s="2" t="n">
        <x:f>IF(COUNTA(A39:C39,F39:K39)=0,0,IF(OR(H39&gt;F39,I39&gt;G39,D39="Код қәте",E39="Код қәте"),1,0))</x:f>
        <x:v>0</x:v>
      </x:c>
      <x:c r="N39" s="2" t="str">
        <x:f>IF(B39="","",_xlfn.IFNA(INDEX('Клиентлер'!$B$8:$B$31,MATCH(B39,'Клиентлер'!$A$8:$A$31,0)),"Код қәте"))</x:f>
      </x:c>
    </x:row>
    <x:row r="40" ht="40" customHeight="1">
      <x:c r="A40" s="12"/>
      <x:c r="B40" s="10"/>
      <x:c r="C40" s="10"/>
      <x:c r="D40" s="13" t="str">
        <x:f>IF(C40="","",_xlfn.IFNA(INDEX('Күнлик реже'!$D$8:$D$390,MATCH(C40,'Күнлик реже'!$A$8:$A$390,0)),"Код қәте"))</x:f>
      </x:c>
      <x:c r="E40" s="2" t="str">
        <x:f>IF(B40="","",_xlfn.IFNA(INDEX('Клиентлер'!$E$8:$E$31,MATCH(B40,'Клиентлер'!$A$8:$A$31,0)),"Код қәте"))</x:f>
      </x:c>
      <x:c r="F40" s="11"/>
      <x:c r="G40" s="11"/>
      <x:c r="H40" s="11"/>
      <x:c r="I40" s="11"/>
      <x:c r="J40" s="11"/>
      <x:c r="K40" s="10"/>
      <x:c r="L40" s="2" t="n">
        <x:f>IF(COUNTA(A40:C40,F40:K40)=0,0,IF(AND(COUNT(A40:C40)=3,COUNT(F40:J40)=5),0,1))</x:f>
        <x:v>0</x:v>
      </x:c>
      <x:c r="M40" s="2" t="n">
        <x:f>IF(COUNTA(A40:C40,F40:K40)=0,0,IF(OR(H40&gt;F40,I40&gt;G40,D40="Код қәте",E40="Код қәте"),1,0))</x:f>
        <x:v>0</x:v>
      </x:c>
      <x:c r="N40" s="2" t="str">
        <x:f>IF(B40="","",_xlfn.IFNA(INDEX('Клиентлер'!$B$8:$B$31,MATCH(B40,'Клиентлер'!$A$8:$A$31,0)),"Код қәте"))</x:f>
      </x:c>
    </x:row>
    <x:row r="41" ht="40" customHeight="1">
      <x:c r="A41" s="12"/>
      <x:c r="B41" s="10"/>
      <x:c r="C41" s="10"/>
      <x:c r="D41" s="13" t="str">
        <x:f>IF(C41="","",_xlfn.IFNA(INDEX('Күнлик реже'!$D$8:$D$390,MATCH(C41,'Күнлик реже'!$A$8:$A$390,0)),"Код қәте"))</x:f>
      </x:c>
      <x:c r="E41" s="2" t="str">
        <x:f>IF(B41="","",_xlfn.IFNA(INDEX('Клиентлер'!$E$8:$E$31,MATCH(B41,'Клиентлер'!$A$8:$A$31,0)),"Код қәте"))</x:f>
      </x:c>
      <x:c r="F41" s="11"/>
      <x:c r="G41" s="11"/>
      <x:c r="H41" s="11"/>
      <x:c r="I41" s="11"/>
      <x:c r="J41" s="11"/>
      <x:c r="K41" s="10"/>
      <x:c r="L41" s="2" t="n">
        <x:f>IF(COUNTA(A41:C41,F41:K41)=0,0,IF(AND(COUNT(A41:C41)=3,COUNT(F41:J41)=5),0,1))</x:f>
        <x:v>0</x:v>
      </x:c>
      <x:c r="M41" s="2" t="n">
        <x:f>IF(COUNTA(A41:C41,F41:K41)=0,0,IF(OR(H41&gt;F41,I41&gt;G41,D41="Код қәте",E41="Код қәте"),1,0))</x:f>
        <x:v>0</x:v>
      </x:c>
      <x:c r="N41" s="2" t="str">
        <x:f>IF(B41="","",_xlfn.IFNA(INDEX('Клиентлер'!$B$8:$B$31,MATCH(B41,'Клиентлер'!$A$8:$A$31,0)),"Код қәте"))</x:f>
      </x:c>
    </x:row>
    <x:row r="42" ht="40" customHeight="1">
      <x:c r="A42" s="12"/>
      <x:c r="B42" s="10"/>
      <x:c r="C42" s="10"/>
      <x:c r="D42" s="13" t="str">
        <x:f>IF(C42="","",_xlfn.IFNA(INDEX('Күнлик реже'!$D$8:$D$390,MATCH(C42,'Күнлик реже'!$A$8:$A$390,0)),"Код қәте"))</x:f>
      </x:c>
      <x:c r="E42" s="2" t="str">
        <x:f>IF(B42="","",_xlfn.IFNA(INDEX('Клиентлер'!$E$8:$E$31,MATCH(B42,'Клиентлер'!$A$8:$A$31,0)),"Код қәте"))</x:f>
      </x:c>
      <x:c r="F42" s="11"/>
      <x:c r="G42" s="11"/>
      <x:c r="H42" s="11"/>
      <x:c r="I42" s="11"/>
      <x:c r="J42" s="11"/>
      <x:c r="K42" s="10"/>
      <x:c r="L42" s="2" t="n">
        <x:f>IF(COUNTA(A42:C42,F42:K42)=0,0,IF(AND(COUNT(A42:C42)=3,COUNT(F42:J42)=5),0,1))</x:f>
        <x:v>0</x:v>
      </x:c>
      <x:c r="M42" s="2" t="n">
        <x:f>IF(COUNTA(A42:C42,F42:K42)=0,0,IF(OR(H42&gt;F42,I42&gt;G42,D42="Код қәте",E42="Код қәте"),1,0))</x:f>
        <x:v>0</x:v>
      </x:c>
      <x:c r="N42" s="2" t="str">
        <x:f>IF(B42="","",_xlfn.IFNA(INDEX('Клиентлер'!$B$8:$B$31,MATCH(B42,'Клиентлер'!$A$8:$A$31,0)),"Код қәте"))</x:f>
      </x:c>
    </x:row>
    <x:row r="43" ht="40" customHeight="1">
      <x:c r="A43" s="12"/>
      <x:c r="B43" s="10"/>
      <x:c r="C43" s="10"/>
      <x:c r="D43" s="13" t="str">
        <x:f>IF(C43="","",_xlfn.IFNA(INDEX('Күнлик реже'!$D$8:$D$390,MATCH(C43,'Күнлик реже'!$A$8:$A$390,0)),"Код қәте"))</x:f>
      </x:c>
      <x:c r="E43" s="2" t="str">
        <x:f>IF(B43="","",_xlfn.IFNA(INDEX('Клиентлер'!$E$8:$E$31,MATCH(B43,'Клиентлер'!$A$8:$A$31,0)),"Код қәте"))</x:f>
      </x:c>
      <x:c r="F43" s="11"/>
      <x:c r="G43" s="11"/>
      <x:c r="H43" s="11"/>
      <x:c r="I43" s="11"/>
      <x:c r="J43" s="11"/>
      <x:c r="K43" s="10"/>
      <x:c r="L43" s="2" t="n">
        <x:f>IF(COUNTA(A43:C43,F43:K43)=0,0,IF(AND(COUNT(A43:C43)=3,COUNT(F43:J43)=5),0,1))</x:f>
        <x:v>0</x:v>
      </x:c>
      <x:c r="M43" s="2" t="n">
        <x:f>IF(COUNTA(A43:C43,F43:K43)=0,0,IF(OR(H43&gt;F43,I43&gt;G43,D43="Код қәте",E43="Код қәте"),1,0))</x:f>
        <x:v>0</x:v>
      </x:c>
      <x:c r="N43" s="2" t="str">
        <x:f>IF(B43="","",_xlfn.IFNA(INDEX('Клиентлер'!$B$8:$B$31,MATCH(B43,'Клиентлер'!$A$8:$A$31,0)),"Код қәте"))</x:f>
      </x:c>
    </x:row>
    <x:row r="44" ht="40" customHeight="1">
      <x:c r="A44" s="12"/>
      <x:c r="B44" s="10"/>
      <x:c r="C44" s="10"/>
      <x:c r="D44" s="13" t="str">
        <x:f>IF(C44="","",_xlfn.IFNA(INDEX('Күнлик реже'!$D$8:$D$390,MATCH(C44,'Күнлик реже'!$A$8:$A$390,0)),"Код қәте"))</x:f>
      </x:c>
      <x:c r="E44" s="2" t="str">
        <x:f>IF(B44="","",_xlfn.IFNA(INDEX('Клиентлер'!$E$8:$E$31,MATCH(B44,'Клиентлер'!$A$8:$A$31,0)),"Код қәте"))</x:f>
      </x:c>
      <x:c r="F44" s="11"/>
      <x:c r="G44" s="11"/>
      <x:c r="H44" s="11"/>
      <x:c r="I44" s="11"/>
      <x:c r="J44" s="11"/>
      <x:c r="K44" s="10"/>
      <x:c r="L44" s="2" t="n">
        <x:f>IF(COUNTA(A44:C44,F44:K44)=0,0,IF(AND(COUNT(A44:C44)=3,COUNT(F44:J44)=5),0,1))</x:f>
        <x:v>0</x:v>
      </x:c>
      <x:c r="M44" s="2" t="n">
        <x:f>IF(COUNTA(A44:C44,F44:K44)=0,0,IF(OR(H44&gt;F44,I44&gt;G44,D44="Код қәте",E44="Код қәте"),1,0))</x:f>
        <x:v>0</x:v>
      </x:c>
      <x:c r="N44" s="2" t="str">
        <x:f>IF(B44="","",_xlfn.IFNA(INDEX('Клиентлер'!$B$8:$B$31,MATCH(B44,'Клиентлер'!$A$8:$A$31,0)),"Код қәте"))</x:f>
      </x:c>
    </x:row>
    <x:row r="45" ht="40" customHeight="1">
      <x:c r="A45" s="12"/>
      <x:c r="B45" s="10"/>
      <x:c r="C45" s="10"/>
      <x:c r="D45" s="13" t="str">
        <x:f>IF(C45="","",_xlfn.IFNA(INDEX('Күнлик реже'!$D$8:$D$390,MATCH(C45,'Күнлик реже'!$A$8:$A$390,0)),"Код қәте"))</x:f>
      </x:c>
      <x:c r="E45" s="2" t="str">
        <x:f>IF(B45="","",_xlfn.IFNA(INDEX('Клиентлер'!$E$8:$E$31,MATCH(B45,'Клиентлер'!$A$8:$A$31,0)),"Код қәте"))</x:f>
      </x:c>
      <x:c r="F45" s="11"/>
      <x:c r="G45" s="11"/>
      <x:c r="H45" s="11"/>
      <x:c r="I45" s="11"/>
      <x:c r="J45" s="11"/>
      <x:c r="K45" s="10"/>
      <x:c r="L45" s="2" t="n">
        <x:f>IF(COUNTA(A45:C45,F45:K45)=0,0,IF(AND(COUNT(A45:C45)=3,COUNT(F45:J45)=5),0,1))</x:f>
        <x:v>0</x:v>
      </x:c>
      <x:c r="M45" s="2" t="n">
        <x:f>IF(COUNTA(A45:C45,F45:K45)=0,0,IF(OR(H45&gt;F45,I45&gt;G45,D45="Код қәте",E45="Код қәте"),1,0))</x:f>
        <x:v>0</x:v>
      </x:c>
      <x:c r="N45" s="2" t="str">
        <x:f>IF(B45="","",_xlfn.IFNA(INDEX('Клиентлер'!$B$8:$B$31,MATCH(B45,'Клиентлер'!$A$8:$A$31,0)),"Код қәте"))</x:f>
      </x:c>
    </x:row>
    <x:row r="46" ht="40" customHeight="1">
      <x:c r="A46" s="12"/>
      <x:c r="B46" s="10"/>
      <x:c r="C46" s="10"/>
      <x:c r="D46" s="13" t="str">
        <x:f>IF(C46="","",_xlfn.IFNA(INDEX('Күнлик реже'!$D$8:$D$390,MATCH(C46,'Күнлик реже'!$A$8:$A$390,0)),"Код қәте"))</x:f>
      </x:c>
      <x:c r="E46" s="2" t="str">
        <x:f>IF(B46="","",_xlfn.IFNA(INDEX('Клиентлер'!$E$8:$E$31,MATCH(B46,'Клиентлер'!$A$8:$A$31,0)),"Код қәте"))</x:f>
      </x:c>
      <x:c r="F46" s="11"/>
      <x:c r="G46" s="11"/>
      <x:c r="H46" s="11"/>
      <x:c r="I46" s="11"/>
      <x:c r="J46" s="11"/>
      <x:c r="K46" s="10"/>
      <x:c r="L46" s="2" t="n">
        <x:f>IF(COUNTA(A46:C46,F46:K46)=0,0,IF(AND(COUNT(A46:C46)=3,COUNT(F46:J46)=5),0,1))</x:f>
        <x:v>0</x:v>
      </x:c>
      <x:c r="M46" s="2" t="n">
        <x:f>IF(COUNTA(A46:C46,F46:K46)=0,0,IF(OR(H46&gt;F46,I46&gt;G46,D46="Код қәте",E46="Код қәте"),1,0))</x:f>
        <x:v>0</x:v>
      </x:c>
      <x:c r="N46" s="2" t="str">
        <x:f>IF(B46="","",_xlfn.IFNA(INDEX('Клиентлер'!$B$8:$B$31,MATCH(B46,'Клиентлер'!$A$8:$A$31,0)),"Код қәте"))</x:f>
      </x:c>
    </x:row>
    <x:row r="47" ht="40" customHeight="1">
      <x:c r="A47" s="12"/>
      <x:c r="B47" s="10"/>
      <x:c r="C47" s="10"/>
      <x:c r="D47" s="13" t="str">
        <x:f>IF(C47="","",_xlfn.IFNA(INDEX('Күнлик реже'!$D$8:$D$390,MATCH(C47,'Күнлик реже'!$A$8:$A$390,0)),"Код қәте"))</x:f>
      </x:c>
      <x:c r="E47" s="2" t="str">
        <x:f>IF(B47="","",_xlfn.IFNA(INDEX('Клиентлер'!$E$8:$E$31,MATCH(B47,'Клиентлер'!$A$8:$A$31,0)),"Код қәте"))</x:f>
      </x:c>
      <x:c r="F47" s="11"/>
      <x:c r="G47" s="11"/>
      <x:c r="H47" s="11"/>
      <x:c r="I47" s="11"/>
      <x:c r="J47" s="11"/>
      <x:c r="K47" s="10"/>
      <x:c r="L47" s="2" t="n">
        <x:f>IF(COUNTA(A47:C47,F47:K47)=0,0,IF(AND(COUNT(A47:C47)=3,COUNT(F47:J47)=5),0,1))</x:f>
        <x:v>0</x:v>
      </x:c>
      <x:c r="M47" s="2" t="n">
        <x:f>IF(COUNTA(A47:C47,F47:K47)=0,0,IF(OR(H47&gt;F47,I47&gt;G47,D47="Код қәте",E47="Код қәте"),1,0))</x:f>
        <x:v>0</x:v>
      </x:c>
      <x:c r="N47" s="2" t="str">
        <x:f>IF(B47="","",_xlfn.IFNA(INDEX('Клиентлер'!$B$8:$B$31,MATCH(B47,'Клиентлер'!$A$8:$A$31,0)),"Код қәте"))</x:f>
      </x:c>
    </x:row>
    <x:row r="48" ht="40" customHeight="1">
      <x:c r="A48" s="12"/>
      <x:c r="B48" s="10"/>
      <x:c r="C48" s="10"/>
      <x:c r="D48" s="13" t="str">
        <x:f>IF(C48="","",_xlfn.IFNA(INDEX('Күнлик реже'!$D$8:$D$390,MATCH(C48,'Күнлик реже'!$A$8:$A$390,0)),"Код қәте"))</x:f>
      </x:c>
      <x:c r="E48" s="2" t="str">
        <x:f>IF(B48="","",_xlfn.IFNA(INDEX('Клиентлер'!$E$8:$E$31,MATCH(B48,'Клиентлер'!$A$8:$A$31,0)),"Код қәте"))</x:f>
      </x:c>
      <x:c r="F48" s="11"/>
      <x:c r="G48" s="11"/>
      <x:c r="H48" s="11"/>
      <x:c r="I48" s="11"/>
      <x:c r="J48" s="11"/>
      <x:c r="K48" s="10"/>
      <x:c r="L48" s="2" t="n">
        <x:f>IF(COUNTA(A48:C48,F48:K48)=0,0,IF(AND(COUNT(A48:C48)=3,COUNT(F48:J48)=5),0,1))</x:f>
        <x:v>0</x:v>
      </x:c>
      <x:c r="M48" s="2" t="n">
        <x:f>IF(COUNTA(A48:C48,F48:K48)=0,0,IF(OR(H48&gt;F48,I48&gt;G48,D48="Код қәте",E48="Код қәте"),1,0))</x:f>
        <x:v>0</x:v>
      </x:c>
      <x:c r="N48" s="2" t="str">
        <x:f>IF(B48="","",_xlfn.IFNA(INDEX('Клиентлер'!$B$8:$B$31,MATCH(B48,'Клиентлер'!$A$8:$A$31,0)),"Код қәте"))</x:f>
      </x:c>
    </x:row>
    <x:row r="49" ht="40" customHeight="1">
      <x:c r="A49" s="12"/>
      <x:c r="B49" s="10"/>
      <x:c r="C49" s="10"/>
      <x:c r="D49" s="13" t="str">
        <x:f>IF(C49="","",_xlfn.IFNA(INDEX('Күнлик реже'!$D$8:$D$390,MATCH(C49,'Күнлик реже'!$A$8:$A$390,0)),"Код қәте"))</x:f>
      </x:c>
      <x:c r="E49" s="2" t="str">
        <x:f>IF(B49="","",_xlfn.IFNA(INDEX('Клиентлер'!$E$8:$E$31,MATCH(B49,'Клиентлер'!$A$8:$A$31,0)),"Код қәте"))</x:f>
      </x:c>
      <x:c r="F49" s="11"/>
      <x:c r="G49" s="11"/>
      <x:c r="H49" s="11"/>
      <x:c r="I49" s="11"/>
      <x:c r="J49" s="11"/>
      <x:c r="K49" s="10"/>
      <x:c r="L49" s="2" t="n">
        <x:f>IF(COUNTA(A49:C49,F49:K49)=0,0,IF(AND(COUNT(A49:C49)=3,COUNT(F49:J49)=5),0,1))</x:f>
        <x:v>0</x:v>
      </x:c>
      <x:c r="M49" s="2" t="n">
        <x:f>IF(COUNTA(A49:C49,F49:K49)=0,0,IF(OR(H49&gt;F49,I49&gt;G49,D49="Код қәте",E49="Код қәте"),1,0))</x:f>
        <x:v>0</x:v>
      </x:c>
      <x:c r="N49" s="2" t="str">
        <x:f>IF(B49="","",_xlfn.IFNA(INDEX('Клиентлер'!$B$8:$B$31,MATCH(B49,'Клиентлер'!$A$8:$A$31,0)),"Код қәте"))</x:f>
      </x:c>
    </x:row>
    <x:row r="50" ht="40" customHeight="1">
      <x:c r="A50" s="12"/>
      <x:c r="B50" s="10"/>
      <x:c r="C50" s="10"/>
      <x:c r="D50" s="13" t="str">
        <x:f>IF(C50="","",_xlfn.IFNA(INDEX('Күнлик реже'!$D$8:$D$390,MATCH(C50,'Күнлик реже'!$A$8:$A$390,0)),"Код қәте"))</x:f>
      </x:c>
      <x:c r="E50" s="2" t="str">
        <x:f>IF(B50="","",_xlfn.IFNA(INDEX('Клиентлер'!$E$8:$E$31,MATCH(B50,'Клиентлер'!$A$8:$A$31,0)),"Код қәте"))</x:f>
      </x:c>
      <x:c r="F50" s="11"/>
      <x:c r="G50" s="11"/>
      <x:c r="H50" s="11"/>
      <x:c r="I50" s="11"/>
      <x:c r="J50" s="11"/>
      <x:c r="K50" s="10"/>
      <x:c r="L50" s="2" t="n">
        <x:f>IF(COUNTA(A50:C50,F50:K50)=0,0,IF(AND(COUNT(A50:C50)=3,COUNT(F50:J50)=5),0,1))</x:f>
        <x:v>0</x:v>
      </x:c>
      <x:c r="M50" s="2" t="n">
        <x:f>IF(COUNTA(A50:C50,F50:K50)=0,0,IF(OR(H50&gt;F50,I50&gt;G50,D50="Код қәте",E50="Код қәте"),1,0))</x:f>
        <x:v>0</x:v>
      </x:c>
      <x:c r="N50" s="2" t="str">
        <x:f>IF(B50="","",_xlfn.IFNA(INDEX('Клиентлер'!$B$8:$B$31,MATCH(B50,'Клиентлер'!$A$8:$A$31,0)),"Код қәте"))</x:f>
      </x:c>
    </x:row>
    <x:row r="51" ht="40" customHeight="1">
      <x:c r="A51" s="12"/>
      <x:c r="B51" s="10"/>
      <x:c r="C51" s="10"/>
      <x:c r="D51" s="13" t="str">
        <x:f>IF(C51="","",_xlfn.IFNA(INDEX('Күнлик реже'!$D$8:$D$390,MATCH(C51,'Күнлик реже'!$A$8:$A$390,0)),"Код қәте"))</x:f>
      </x:c>
      <x:c r="E51" s="2" t="str">
        <x:f>IF(B51="","",_xlfn.IFNA(INDEX('Клиентлер'!$E$8:$E$31,MATCH(B51,'Клиентлер'!$A$8:$A$31,0)),"Код қәте"))</x:f>
      </x:c>
      <x:c r="F51" s="11"/>
      <x:c r="G51" s="11"/>
      <x:c r="H51" s="11"/>
      <x:c r="I51" s="11"/>
      <x:c r="J51" s="11"/>
      <x:c r="K51" s="10"/>
      <x:c r="L51" s="2" t="n">
        <x:f>IF(COUNTA(A51:C51,F51:K51)=0,0,IF(AND(COUNT(A51:C51)=3,COUNT(F51:J51)=5),0,1))</x:f>
        <x:v>0</x:v>
      </x:c>
      <x:c r="M51" s="2" t="n">
        <x:f>IF(COUNTA(A51:C51,F51:K51)=0,0,IF(OR(H51&gt;F51,I51&gt;G51,D51="Код қәте",E51="Код қәте"),1,0))</x:f>
        <x:v>0</x:v>
      </x:c>
      <x:c r="N51" s="2" t="str">
        <x:f>IF(B51="","",_xlfn.IFNA(INDEX('Клиентлер'!$B$8:$B$31,MATCH(B51,'Клиентлер'!$A$8:$A$31,0)),"Код қәте"))</x:f>
      </x:c>
    </x:row>
    <x:row r="52" ht="40" customHeight="1">
      <x:c r="A52" s="12"/>
      <x:c r="B52" s="10"/>
      <x:c r="C52" s="10"/>
      <x:c r="D52" s="13" t="str">
        <x:f>IF(C52="","",_xlfn.IFNA(INDEX('Күнлик реже'!$D$8:$D$390,MATCH(C52,'Күнлик реже'!$A$8:$A$390,0)),"Код қәте"))</x:f>
      </x:c>
      <x:c r="E52" s="2" t="str">
        <x:f>IF(B52="","",_xlfn.IFNA(INDEX('Клиентлер'!$E$8:$E$31,MATCH(B52,'Клиентлер'!$A$8:$A$31,0)),"Код қәте"))</x:f>
      </x:c>
      <x:c r="F52" s="11"/>
      <x:c r="G52" s="11"/>
      <x:c r="H52" s="11"/>
      <x:c r="I52" s="11"/>
      <x:c r="J52" s="11"/>
      <x:c r="K52" s="10"/>
      <x:c r="L52" s="2" t="n">
        <x:f>IF(COUNTA(A52:C52,F52:K52)=0,0,IF(AND(COUNT(A52:C52)=3,COUNT(F52:J52)=5),0,1))</x:f>
        <x:v>0</x:v>
      </x:c>
      <x:c r="M52" s="2" t="n">
        <x:f>IF(COUNTA(A52:C52,F52:K52)=0,0,IF(OR(H52&gt;F52,I52&gt;G52,D52="Код қәте",E52="Код қәте"),1,0))</x:f>
        <x:v>0</x:v>
      </x:c>
      <x:c r="N52" s="2" t="str">
        <x:f>IF(B52="","",_xlfn.IFNA(INDEX('Клиентлер'!$B$8:$B$31,MATCH(B52,'Клиентлер'!$A$8:$A$31,0)),"Код қәте"))</x:f>
      </x:c>
    </x:row>
    <x:row r="53" ht="40" customHeight="1">
      <x:c r="A53" s="12"/>
      <x:c r="B53" s="10"/>
      <x:c r="C53" s="10"/>
      <x:c r="D53" s="13" t="str">
        <x:f>IF(C53="","",_xlfn.IFNA(INDEX('Күнлик реже'!$D$8:$D$390,MATCH(C53,'Күнлик реже'!$A$8:$A$390,0)),"Код қәте"))</x:f>
      </x:c>
      <x:c r="E53" s="2" t="str">
        <x:f>IF(B53="","",_xlfn.IFNA(INDEX('Клиентлер'!$E$8:$E$31,MATCH(B53,'Клиентлер'!$A$8:$A$31,0)),"Код қәте"))</x:f>
      </x:c>
      <x:c r="F53" s="11"/>
      <x:c r="G53" s="11"/>
      <x:c r="H53" s="11"/>
      <x:c r="I53" s="11"/>
      <x:c r="J53" s="11"/>
      <x:c r="K53" s="10"/>
      <x:c r="L53" s="2" t="n">
        <x:f>IF(COUNTA(A53:C53,F53:K53)=0,0,IF(AND(COUNT(A53:C53)=3,COUNT(F53:J53)=5),0,1))</x:f>
        <x:v>0</x:v>
      </x:c>
      <x:c r="M53" s="2" t="n">
        <x:f>IF(COUNTA(A53:C53,F53:K53)=0,0,IF(OR(H53&gt;F53,I53&gt;G53,D53="Код қәте",E53="Код қәте"),1,0))</x:f>
        <x:v>0</x:v>
      </x:c>
      <x:c r="N53" s="2" t="str">
        <x:f>IF(B53="","",_xlfn.IFNA(INDEX('Клиентлер'!$B$8:$B$31,MATCH(B53,'Клиентлер'!$A$8:$A$31,0)),"Код қәте"))</x:f>
      </x:c>
    </x:row>
    <x:row r="54" ht="40" customHeight="1">
      <x:c r="A54" s="12"/>
      <x:c r="B54" s="10"/>
      <x:c r="C54" s="10"/>
      <x:c r="D54" s="13" t="str">
        <x:f>IF(C54="","",_xlfn.IFNA(INDEX('Күнлик реже'!$D$8:$D$390,MATCH(C54,'Күнлик реже'!$A$8:$A$390,0)),"Код қәте"))</x:f>
      </x:c>
      <x:c r="E54" s="2" t="str">
        <x:f>IF(B54="","",_xlfn.IFNA(INDEX('Клиентлер'!$E$8:$E$31,MATCH(B54,'Клиентлер'!$A$8:$A$31,0)),"Код қәте"))</x:f>
      </x:c>
      <x:c r="F54" s="11"/>
      <x:c r="G54" s="11"/>
      <x:c r="H54" s="11"/>
      <x:c r="I54" s="11"/>
      <x:c r="J54" s="11"/>
      <x:c r="K54" s="10"/>
      <x:c r="L54" s="2" t="n">
        <x:f>IF(COUNTA(A54:C54,F54:K54)=0,0,IF(AND(COUNT(A54:C54)=3,COUNT(F54:J54)=5),0,1))</x:f>
        <x:v>0</x:v>
      </x:c>
      <x:c r="M54" s="2" t="n">
        <x:f>IF(COUNTA(A54:C54,F54:K54)=0,0,IF(OR(H54&gt;F54,I54&gt;G54,D54="Код қәте",E54="Код қәте"),1,0))</x:f>
        <x:v>0</x:v>
      </x:c>
      <x:c r="N54" s="2" t="str">
        <x:f>IF(B54="","",_xlfn.IFNA(INDEX('Клиентлер'!$B$8:$B$31,MATCH(B54,'Клиентлер'!$A$8:$A$31,0)),"Код қәте"))</x:f>
      </x:c>
    </x:row>
    <x:row r="55" ht="40" customHeight="1">
      <x:c r="A55" s="12"/>
      <x:c r="B55" s="10"/>
      <x:c r="C55" s="10"/>
      <x:c r="D55" s="13" t="str">
        <x:f>IF(C55="","",_xlfn.IFNA(INDEX('Күнлик реже'!$D$8:$D$390,MATCH(C55,'Күнлик реже'!$A$8:$A$390,0)),"Код қәте"))</x:f>
      </x:c>
      <x:c r="E55" s="2" t="str">
        <x:f>IF(B55="","",_xlfn.IFNA(INDEX('Клиентлер'!$E$8:$E$31,MATCH(B55,'Клиентлер'!$A$8:$A$31,0)),"Код қәте"))</x:f>
      </x:c>
      <x:c r="F55" s="11"/>
      <x:c r="G55" s="11"/>
      <x:c r="H55" s="11"/>
      <x:c r="I55" s="11"/>
      <x:c r="J55" s="11"/>
      <x:c r="K55" s="10"/>
      <x:c r="L55" s="2" t="n">
        <x:f>IF(COUNTA(A55:C55,F55:K55)=0,0,IF(AND(COUNT(A55:C55)=3,COUNT(F55:J55)=5),0,1))</x:f>
        <x:v>0</x:v>
      </x:c>
      <x:c r="M55" s="2" t="n">
        <x:f>IF(COUNTA(A55:C55,F55:K55)=0,0,IF(OR(H55&gt;F55,I55&gt;G55,D55="Код қәте",E55="Код қәте"),1,0))</x:f>
        <x:v>0</x:v>
      </x:c>
      <x:c r="N55" s="2" t="str">
        <x:f>IF(B55="","",_xlfn.IFNA(INDEX('Клиентлер'!$B$8:$B$31,MATCH(B55,'Клиентлер'!$A$8:$A$31,0)),"Код қәте"))</x:f>
      </x:c>
    </x:row>
    <x:row r="56" ht="40" customHeight="1">
      <x:c r="A56" s="12"/>
      <x:c r="B56" s="10"/>
      <x:c r="C56" s="10"/>
      <x:c r="D56" s="13" t="str">
        <x:f>IF(C56="","",_xlfn.IFNA(INDEX('Күнлик реже'!$D$8:$D$390,MATCH(C56,'Күнлик реже'!$A$8:$A$390,0)),"Код қәте"))</x:f>
      </x:c>
      <x:c r="E56" s="2" t="str">
        <x:f>IF(B56="","",_xlfn.IFNA(INDEX('Клиентлер'!$E$8:$E$31,MATCH(B56,'Клиентлер'!$A$8:$A$31,0)),"Код қәте"))</x:f>
      </x:c>
      <x:c r="F56" s="11"/>
      <x:c r="G56" s="11"/>
      <x:c r="H56" s="11"/>
      <x:c r="I56" s="11"/>
      <x:c r="J56" s="11"/>
      <x:c r="K56" s="10"/>
      <x:c r="L56" s="2" t="n">
        <x:f>IF(COUNTA(A56:C56,F56:K56)=0,0,IF(AND(COUNT(A56:C56)=3,COUNT(F56:J56)=5),0,1))</x:f>
        <x:v>0</x:v>
      </x:c>
      <x:c r="M56" s="2" t="n">
        <x:f>IF(COUNTA(A56:C56,F56:K56)=0,0,IF(OR(H56&gt;F56,I56&gt;G56,D56="Код қәте",E56="Код қәте"),1,0))</x:f>
        <x:v>0</x:v>
      </x:c>
      <x:c r="N56" s="2" t="str">
        <x:f>IF(B56="","",_xlfn.IFNA(INDEX('Клиентлер'!$B$8:$B$31,MATCH(B56,'Клиентлер'!$A$8:$A$31,0)),"Код қәте"))</x:f>
      </x:c>
    </x:row>
    <x:row r="57" ht="40" customHeight="1">
      <x:c r="A57" s="12"/>
      <x:c r="B57" s="10"/>
      <x:c r="C57" s="10"/>
      <x:c r="D57" s="13" t="str">
        <x:f>IF(C57="","",_xlfn.IFNA(INDEX('Күнлик реже'!$D$8:$D$390,MATCH(C57,'Күнлик реже'!$A$8:$A$390,0)),"Код қәте"))</x:f>
      </x:c>
      <x:c r="E57" s="2" t="str">
        <x:f>IF(B57="","",_xlfn.IFNA(INDEX('Клиентлер'!$E$8:$E$31,MATCH(B57,'Клиентлер'!$A$8:$A$31,0)),"Код қәте"))</x:f>
      </x:c>
      <x:c r="F57" s="11"/>
      <x:c r="G57" s="11"/>
      <x:c r="H57" s="11"/>
      <x:c r="I57" s="11"/>
      <x:c r="J57" s="11"/>
      <x:c r="K57" s="10"/>
      <x:c r="L57" s="2" t="n">
        <x:f>IF(COUNTA(A57:C57,F57:K57)=0,0,IF(AND(COUNT(A57:C57)=3,COUNT(F57:J57)=5),0,1))</x:f>
        <x:v>0</x:v>
      </x:c>
      <x:c r="M57" s="2" t="n">
        <x:f>IF(COUNTA(A57:C57,F57:K57)=0,0,IF(OR(H57&gt;F57,I57&gt;G57,D57="Код қәте",E57="Код қәте"),1,0))</x:f>
        <x:v>0</x:v>
      </x:c>
      <x:c r="N57" s="2" t="str">
        <x:f>IF(B57="","",_xlfn.IFNA(INDEX('Клиентлер'!$B$8:$B$31,MATCH(B57,'Клиентлер'!$A$8:$A$31,0)),"Код қәте"))</x:f>
      </x:c>
    </x:row>
    <x:row r="58" ht="40" customHeight="1">
      <x:c r="A58" s="12"/>
      <x:c r="B58" s="10"/>
      <x:c r="C58" s="10"/>
      <x:c r="D58" s="13" t="str">
        <x:f>IF(C58="","",_xlfn.IFNA(INDEX('Күнлик реже'!$D$8:$D$390,MATCH(C58,'Күнлик реже'!$A$8:$A$390,0)),"Код қәте"))</x:f>
      </x:c>
      <x:c r="E58" s="2" t="str">
        <x:f>IF(B58="","",_xlfn.IFNA(INDEX('Клиентлер'!$E$8:$E$31,MATCH(B58,'Клиентлер'!$A$8:$A$31,0)),"Код қәте"))</x:f>
      </x:c>
      <x:c r="F58" s="11"/>
      <x:c r="G58" s="11"/>
      <x:c r="H58" s="11"/>
      <x:c r="I58" s="11"/>
      <x:c r="J58" s="11"/>
      <x:c r="K58" s="10"/>
      <x:c r="L58" s="2" t="n">
        <x:f>IF(COUNTA(A58:C58,F58:K58)=0,0,IF(AND(COUNT(A58:C58)=3,COUNT(F58:J58)=5),0,1))</x:f>
        <x:v>0</x:v>
      </x:c>
      <x:c r="M58" s="2" t="n">
        <x:f>IF(COUNTA(A58:C58,F58:K58)=0,0,IF(OR(H58&gt;F58,I58&gt;G58,D58="Код қәте",E58="Код қәте"),1,0))</x:f>
        <x:v>0</x:v>
      </x:c>
      <x:c r="N58" s="2" t="str">
        <x:f>IF(B58="","",_xlfn.IFNA(INDEX('Клиентлер'!$B$8:$B$31,MATCH(B58,'Клиентлер'!$A$8:$A$31,0)),"Код қәте"))</x:f>
      </x:c>
    </x:row>
    <x:row r="59" ht="40" customHeight="1">
      <x:c r="A59" s="12"/>
      <x:c r="B59" s="10"/>
      <x:c r="C59" s="10"/>
      <x:c r="D59" s="13" t="str">
        <x:f>IF(C59="","",_xlfn.IFNA(INDEX('Күнлик реже'!$D$8:$D$390,MATCH(C59,'Күнлик реже'!$A$8:$A$390,0)),"Код қәте"))</x:f>
      </x:c>
      <x:c r="E59" s="2" t="str">
        <x:f>IF(B59="","",_xlfn.IFNA(INDEX('Клиентлер'!$E$8:$E$31,MATCH(B59,'Клиентлер'!$A$8:$A$31,0)),"Код қәте"))</x:f>
      </x:c>
      <x:c r="F59" s="11"/>
      <x:c r="G59" s="11"/>
      <x:c r="H59" s="11"/>
      <x:c r="I59" s="11"/>
      <x:c r="J59" s="11"/>
      <x:c r="K59" s="10"/>
      <x:c r="L59" s="2" t="n">
        <x:f>IF(COUNTA(A59:C59,F59:K59)=0,0,IF(AND(COUNT(A59:C59)=3,COUNT(F59:J59)=5),0,1))</x:f>
        <x:v>0</x:v>
      </x:c>
      <x:c r="M59" s="2" t="n">
        <x:f>IF(COUNTA(A59:C59,F59:K59)=0,0,IF(OR(H59&gt;F59,I59&gt;G59,D59="Код қәте",E59="Код қәте"),1,0))</x:f>
        <x:v>0</x:v>
      </x:c>
      <x:c r="N59" s="2" t="str">
        <x:f>IF(B59="","",_xlfn.IFNA(INDEX('Клиентлер'!$B$8:$B$31,MATCH(B59,'Клиентлер'!$A$8:$A$31,0)),"Код қәте"))</x:f>
      </x:c>
    </x:row>
    <x:row r="60" ht="40" customHeight="1">
      <x:c r="A60" s="12"/>
      <x:c r="B60" s="10"/>
      <x:c r="C60" s="10"/>
      <x:c r="D60" s="13" t="str">
        <x:f>IF(C60="","",_xlfn.IFNA(INDEX('Күнлик реже'!$D$8:$D$390,MATCH(C60,'Күнлик реже'!$A$8:$A$390,0)),"Код қәте"))</x:f>
      </x:c>
      <x:c r="E60" s="2" t="str">
        <x:f>IF(B60="","",_xlfn.IFNA(INDEX('Клиентлер'!$E$8:$E$31,MATCH(B60,'Клиентлер'!$A$8:$A$31,0)),"Код қәте"))</x:f>
      </x:c>
      <x:c r="F60" s="11"/>
      <x:c r="G60" s="11"/>
      <x:c r="H60" s="11"/>
      <x:c r="I60" s="11"/>
      <x:c r="J60" s="11"/>
      <x:c r="K60" s="10"/>
      <x:c r="L60" s="2" t="n">
        <x:f>IF(COUNTA(A60:C60,F60:K60)=0,0,IF(AND(COUNT(A60:C60)=3,COUNT(F60:J60)=5),0,1))</x:f>
        <x:v>0</x:v>
      </x:c>
      <x:c r="M60" s="2" t="n">
        <x:f>IF(COUNTA(A60:C60,F60:K60)=0,0,IF(OR(H60&gt;F60,I60&gt;G60,D60="Код қәте",E60="Код қәте"),1,0))</x:f>
        <x:v>0</x:v>
      </x:c>
      <x:c r="N60" s="2" t="str">
        <x:f>IF(B60="","",_xlfn.IFNA(INDEX('Клиентлер'!$B$8:$B$31,MATCH(B60,'Клиентлер'!$A$8:$A$31,0)),"Код қәте"))</x:f>
      </x:c>
    </x:row>
    <x:row r="61" ht="40" customHeight="1">
      <x:c r="A61" s="12"/>
      <x:c r="B61" s="10"/>
      <x:c r="C61" s="10"/>
      <x:c r="D61" s="13" t="str">
        <x:f>IF(C61="","",_xlfn.IFNA(INDEX('Күнлик реже'!$D$8:$D$390,MATCH(C61,'Күнлик реже'!$A$8:$A$390,0)),"Код қәте"))</x:f>
      </x:c>
      <x:c r="E61" s="2" t="str">
        <x:f>IF(B61="","",_xlfn.IFNA(INDEX('Клиентлер'!$E$8:$E$31,MATCH(B61,'Клиентлер'!$A$8:$A$31,0)),"Код қәте"))</x:f>
      </x:c>
      <x:c r="F61" s="11"/>
      <x:c r="G61" s="11"/>
      <x:c r="H61" s="11"/>
      <x:c r="I61" s="11"/>
      <x:c r="J61" s="11"/>
      <x:c r="K61" s="10"/>
      <x:c r="L61" s="2" t="n">
        <x:f>IF(COUNTA(A61:C61,F61:K61)=0,0,IF(AND(COUNT(A61:C61)=3,COUNT(F61:J61)=5),0,1))</x:f>
        <x:v>0</x:v>
      </x:c>
      <x:c r="M61" s="2" t="n">
        <x:f>IF(COUNTA(A61:C61,F61:K61)=0,0,IF(OR(H61&gt;F61,I61&gt;G61,D61="Код қәте",E61="Код қәте"),1,0))</x:f>
        <x:v>0</x:v>
      </x:c>
      <x:c r="N61" s="2" t="str">
        <x:f>IF(B61="","",_xlfn.IFNA(INDEX('Клиентлер'!$B$8:$B$31,MATCH(B61,'Клиентлер'!$A$8:$A$31,0)),"Код қәте"))</x:f>
      </x:c>
    </x:row>
    <x:row r="62" ht="40" customHeight="1">
      <x:c r="A62" s="12"/>
      <x:c r="B62" s="10"/>
      <x:c r="C62" s="10"/>
      <x:c r="D62" s="13" t="str">
        <x:f>IF(C62="","",_xlfn.IFNA(INDEX('Күнлик реже'!$D$8:$D$390,MATCH(C62,'Күнлик реже'!$A$8:$A$390,0)),"Код қәте"))</x:f>
      </x:c>
      <x:c r="E62" s="2" t="str">
        <x:f>IF(B62="","",_xlfn.IFNA(INDEX('Клиентлер'!$E$8:$E$31,MATCH(B62,'Клиентлер'!$A$8:$A$31,0)),"Код қәте"))</x:f>
      </x:c>
      <x:c r="F62" s="11"/>
      <x:c r="G62" s="11"/>
      <x:c r="H62" s="11"/>
      <x:c r="I62" s="11"/>
      <x:c r="J62" s="11"/>
      <x:c r="K62" s="10"/>
      <x:c r="L62" s="2" t="n">
        <x:f>IF(COUNTA(A62:C62,F62:K62)=0,0,IF(AND(COUNT(A62:C62)=3,COUNT(F62:J62)=5),0,1))</x:f>
        <x:v>0</x:v>
      </x:c>
      <x:c r="M62" s="2" t="n">
        <x:f>IF(COUNTA(A62:C62,F62:K62)=0,0,IF(OR(H62&gt;F62,I62&gt;G62,D62="Код қәте",E62="Код қәте"),1,0))</x:f>
        <x:v>0</x:v>
      </x:c>
      <x:c r="N62" s="2" t="str">
        <x:f>IF(B62="","",_xlfn.IFNA(INDEX('Клиентлер'!$B$8:$B$31,MATCH(B62,'Клиентлер'!$A$8:$A$31,0)),"Код қәте"))</x:f>
      </x:c>
    </x:row>
    <x:row r="63" ht="40" customHeight="1">
      <x:c r="A63" s="12"/>
      <x:c r="B63" s="10"/>
      <x:c r="C63" s="10"/>
      <x:c r="D63" s="13" t="str">
        <x:f>IF(C63="","",_xlfn.IFNA(INDEX('Күнлик реже'!$D$8:$D$390,MATCH(C63,'Күнлик реже'!$A$8:$A$390,0)),"Код қәте"))</x:f>
      </x:c>
      <x:c r="E63" s="2" t="str">
        <x:f>IF(B63="","",_xlfn.IFNA(INDEX('Клиентлер'!$E$8:$E$31,MATCH(B63,'Клиентлер'!$A$8:$A$31,0)),"Код қәте"))</x:f>
      </x:c>
      <x:c r="F63" s="11"/>
      <x:c r="G63" s="11"/>
      <x:c r="H63" s="11"/>
      <x:c r="I63" s="11"/>
      <x:c r="J63" s="11"/>
      <x:c r="K63" s="10"/>
      <x:c r="L63" s="2" t="n">
        <x:f>IF(COUNTA(A63:C63,F63:K63)=0,0,IF(AND(COUNT(A63:C63)=3,COUNT(F63:J63)=5),0,1))</x:f>
        <x:v>0</x:v>
      </x:c>
      <x:c r="M63" s="2" t="n">
        <x:f>IF(COUNTA(A63:C63,F63:K63)=0,0,IF(OR(H63&gt;F63,I63&gt;G63,D63="Код қәте",E63="Код қәте"),1,0))</x:f>
        <x:v>0</x:v>
      </x:c>
      <x:c r="N63" s="2" t="str">
        <x:f>IF(B63="","",_xlfn.IFNA(INDEX('Клиентлер'!$B$8:$B$31,MATCH(B63,'Клиентлер'!$A$8:$A$31,0)),"Код қәте"))</x:f>
      </x:c>
    </x:row>
    <x:row r="64" ht="40" customHeight="1">
      <x:c r="A64" s="12"/>
      <x:c r="B64" s="10"/>
      <x:c r="C64" s="10"/>
      <x:c r="D64" s="13" t="str">
        <x:f>IF(C64="","",_xlfn.IFNA(INDEX('Күнлик реже'!$D$8:$D$390,MATCH(C64,'Күнлик реже'!$A$8:$A$390,0)),"Код қәте"))</x:f>
      </x:c>
      <x:c r="E64" s="2" t="str">
        <x:f>IF(B64="","",_xlfn.IFNA(INDEX('Клиентлер'!$E$8:$E$31,MATCH(B64,'Клиентлер'!$A$8:$A$31,0)),"Код қәте"))</x:f>
      </x:c>
      <x:c r="F64" s="11"/>
      <x:c r="G64" s="11"/>
      <x:c r="H64" s="11"/>
      <x:c r="I64" s="11"/>
      <x:c r="J64" s="11"/>
      <x:c r="K64" s="10"/>
      <x:c r="L64" s="2" t="n">
        <x:f>IF(COUNTA(A64:C64,F64:K64)=0,0,IF(AND(COUNT(A64:C64)=3,COUNT(F64:J64)=5),0,1))</x:f>
        <x:v>0</x:v>
      </x:c>
      <x:c r="M64" s="2" t="n">
        <x:f>IF(COUNTA(A64:C64,F64:K64)=0,0,IF(OR(H64&gt;F64,I64&gt;G64,D64="Код қәте",E64="Код қәте"),1,0))</x:f>
        <x:v>0</x:v>
      </x:c>
      <x:c r="N64" s="2" t="str">
        <x:f>IF(B64="","",_xlfn.IFNA(INDEX('Клиентлер'!$B$8:$B$31,MATCH(B64,'Клиентлер'!$A$8:$A$31,0)),"Код қәте"))</x:f>
      </x:c>
    </x:row>
    <x:row r="65" ht="40" customHeight="1">
      <x:c r="A65" s="12"/>
      <x:c r="B65" s="10"/>
      <x:c r="C65" s="10"/>
      <x:c r="D65" s="13" t="str">
        <x:f>IF(C65="","",_xlfn.IFNA(INDEX('Күнлик реже'!$D$8:$D$390,MATCH(C65,'Күнлик реже'!$A$8:$A$390,0)),"Код қәте"))</x:f>
      </x:c>
      <x:c r="E65" s="2" t="str">
        <x:f>IF(B65="","",_xlfn.IFNA(INDEX('Клиентлер'!$E$8:$E$31,MATCH(B65,'Клиентлер'!$A$8:$A$31,0)),"Код қәте"))</x:f>
      </x:c>
      <x:c r="F65" s="11"/>
      <x:c r="G65" s="11"/>
      <x:c r="H65" s="11"/>
      <x:c r="I65" s="11"/>
      <x:c r="J65" s="11"/>
      <x:c r="K65" s="10"/>
      <x:c r="L65" s="2" t="n">
        <x:f>IF(COUNTA(A65:C65,F65:K65)=0,0,IF(AND(COUNT(A65:C65)=3,COUNT(F65:J65)=5),0,1))</x:f>
        <x:v>0</x:v>
      </x:c>
      <x:c r="M65" s="2" t="n">
        <x:f>IF(COUNTA(A65:C65,F65:K65)=0,0,IF(OR(H65&gt;F65,I65&gt;G65,D65="Код қәте",E65="Код қәте"),1,0))</x:f>
        <x:v>0</x:v>
      </x:c>
      <x:c r="N65" s="2" t="str">
        <x:f>IF(B65="","",_xlfn.IFNA(INDEX('Клиентлер'!$B$8:$B$31,MATCH(B65,'Клиентлер'!$A$8:$A$31,0)),"Код қәте"))</x:f>
      </x:c>
    </x:row>
    <x:row r="66" ht="40" customHeight="1">
      <x:c r="A66" s="12"/>
      <x:c r="B66" s="10"/>
      <x:c r="C66" s="10"/>
      <x:c r="D66" s="13" t="str">
        <x:f>IF(C66="","",_xlfn.IFNA(INDEX('Күнлик реже'!$D$8:$D$390,MATCH(C66,'Күнлик реже'!$A$8:$A$390,0)),"Код қәте"))</x:f>
      </x:c>
      <x:c r="E66" s="2" t="str">
        <x:f>IF(B66="","",_xlfn.IFNA(INDEX('Клиентлер'!$E$8:$E$31,MATCH(B66,'Клиентлер'!$A$8:$A$31,0)),"Код қәте"))</x:f>
      </x:c>
      <x:c r="F66" s="11"/>
      <x:c r="G66" s="11"/>
      <x:c r="H66" s="11"/>
      <x:c r="I66" s="11"/>
      <x:c r="J66" s="11"/>
      <x:c r="K66" s="10"/>
      <x:c r="L66" s="2" t="n">
        <x:f>IF(COUNTA(A66:C66,F66:K66)=0,0,IF(AND(COUNT(A66:C66)=3,COUNT(F66:J66)=5),0,1))</x:f>
        <x:v>0</x:v>
      </x:c>
      <x:c r="M66" s="2" t="n">
        <x:f>IF(COUNTA(A66:C66,F66:K66)=0,0,IF(OR(H66&gt;F66,I66&gt;G66,D66="Код қәте",E66="Код қәте"),1,0))</x:f>
        <x:v>0</x:v>
      </x:c>
      <x:c r="N66" s="2" t="str">
        <x:f>IF(B66="","",_xlfn.IFNA(INDEX('Клиентлер'!$B$8:$B$31,MATCH(B66,'Клиентлер'!$A$8:$A$31,0)),"Код қәте"))</x:f>
      </x:c>
    </x:row>
    <x:row r="67" ht="40" customHeight="1">
      <x:c r="A67" s="12"/>
      <x:c r="B67" s="10"/>
      <x:c r="C67" s="10"/>
      <x:c r="D67" s="13" t="str">
        <x:f>IF(C67="","",_xlfn.IFNA(INDEX('Күнлик реже'!$D$8:$D$390,MATCH(C67,'Күнлик реже'!$A$8:$A$390,0)),"Код қәте"))</x:f>
      </x:c>
      <x:c r="E67" s="2" t="str">
        <x:f>IF(B67="","",_xlfn.IFNA(INDEX('Клиентлер'!$E$8:$E$31,MATCH(B67,'Клиентлер'!$A$8:$A$31,0)),"Код қәте"))</x:f>
      </x:c>
      <x:c r="F67" s="11"/>
      <x:c r="G67" s="11"/>
      <x:c r="H67" s="11"/>
      <x:c r="I67" s="11"/>
      <x:c r="J67" s="11"/>
      <x:c r="K67" s="10"/>
      <x:c r="L67" s="2" t="n">
        <x:f>IF(COUNTA(A67:C67,F67:K67)=0,0,IF(AND(COUNT(A67:C67)=3,COUNT(F67:J67)=5),0,1))</x:f>
        <x:v>0</x:v>
      </x:c>
      <x:c r="M67" s="2" t="n">
        <x:f>IF(COUNTA(A67:C67,F67:K67)=0,0,IF(OR(H67&gt;F67,I67&gt;G67,D67="Код қәте",E67="Код қәте"),1,0))</x:f>
        <x:v>0</x:v>
      </x:c>
      <x:c r="N67" s="2" t="str">
        <x:f>IF(B67="","",_xlfn.IFNA(INDEX('Клиентлер'!$B$8:$B$31,MATCH(B67,'Клиентлер'!$A$8:$A$31,0)),"Код қәте"))</x:f>
      </x:c>
    </x:row>
    <x:row r="68" ht="40" customHeight="1">
      <x:c r="A68" s="12"/>
      <x:c r="B68" s="10"/>
      <x:c r="C68" s="10"/>
      <x:c r="D68" s="13" t="str">
        <x:f>IF(C68="","",_xlfn.IFNA(INDEX('Күнлик реже'!$D$8:$D$390,MATCH(C68,'Күнлик реже'!$A$8:$A$390,0)),"Код қәте"))</x:f>
      </x:c>
      <x:c r="E68" s="2" t="str">
        <x:f>IF(B68="","",_xlfn.IFNA(INDEX('Клиентлер'!$E$8:$E$31,MATCH(B68,'Клиентлер'!$A$8:$A$31,0)),"Код қәте"))</x:f>
      </x:c>
      <x:c r="F68" s="11"/>
      <x:c r="G68" s="11"/>
      <x:c r="H68" s="11"/>
      <x:c r="I68" s="11"/>
      <x:c r="J68" s="11"/>
      <x:c r="K68" s="10"/>
      <x:c r="L68" s="2" t="n">
        <x:f>IF(COUNTA(A68:C68,F68:K68)=0,0,IF(AND(COUNT(A68:C68)=3,COUNT(F68:J68)=5),0,1))</x:f>
        <x:v>0</x:v>
      </x:c>
      <x:c r="M68" s="2" t="n">
        <x:f>IF(COUNTA(A68:C68,F68:K68)=0,0,IF(OR(H68&gt;F68,I68&gt;G68,D68="Код қәте",E68="Код қәте"),1,0))</x:f>
        <x:v>0</x:v>
      </x:c>
      <x:c r="N68" s="2" t="str">
        <x:f>IF(B68="","",_xlfn.IFNA(INDEX('Клиентлер'!$B$8:$B$31,MATCH(B68,'Клиентлер'!$A$8:$A$31,0)),"Код қәте"))</x:f>
      </x:c>
    </x:row>
    <x:row r="69" ht="40" customHeight="1">
      <x:c r="A69" s="12"/>
      <x:c r="B69" s="10"/>
      <x:c r="C69" s="10"/>
      <x:c r="D69" s="13" t="str">
        <x:f>IF(C69="","",_xlfn.IFNA(INDEX('Күнлик реже'!$D$8:$D$390,MATCH(C69,'Күнлик реже'!$A$8:$A$390,0)),"Код қәте"))</x:f>
      </x:c>
      <x:c r="E69" s="2" t="str">
        <x:f>IF(B69="","",_xlfn.IFNA(INDEX('Клиентлер'!$E$8:$E$31,MATCH(B69,'Клиентлер'!$A$8:$A$31,0)),"Код қәте"))</x:f>
      </x:c>
      <x:c r="F69" s="11"/>
      <x:c r="G69" s="11"/>
      <x:c r="H69" s="11"/>
      <x:c r="I69" s="11"/>
      <x:c r="J69" s="11"/>
      <x:c r="K69" s="10"/>
      <x:c r="L69" s="2" t="n">
        <x:f>IF(COUNTA(A69:C69,F69:K69)=0,0,IF(AND(COUNT(A69:C69)=3,COUNT(F69:J69)=5),0,1))</x:f>
        <x:v>0</x:v>
      </x:c>
      <x:c r="M69" s="2" t="n">
        <x:f>IF(COUNTA(A69:C69,F69:K69)=0,0,IF(OR(H69&gt;F69,I69&gt;G69,D69="Код қәте",E69="Код қәте"),1,0))</x:f>
        <x:v>0</x:v>
      </x:c>
      <x:c r="N69" s="2" t="str">
        <x:f>IF(B69="","",_xlfn.IFNA(INDEX('Клиентлер'!$B$8:$B$31,MATCH(B69,'Клиентлер'!$A$8:$A$31,0)),"Код қәте"))</x:f>
      </x:c>
    </x:row>
    <x:row r="70" ht="40" customHeight="1">
      <x:c r="A70" s="12"/>
      <x:c r="B70" s="10"/>
      <x:c r="C70" s="10"/>
      <x:c r="D70" s="13" t="str">
        <x:f>IF(C70="","",_xlfn.IFNA(INDEX('Күнлик реже'!$D$8:$D$390,MATCH(C70,'Күнлик реже'!$A$8:$A$390,0)),"Код қәте"))</x:f>
      </x:c>
      <x:c r="E70" s="2" t="str">
        <x:f>IF(B70="","",_xlfn.IFNA(INDEX('Клиентлер'!$E$8:$E$31,MATCH(B70,'Клиентлер'!$A$8:$A$31,0)),"Код қәте"))</x:f>
      </x:c>
      <x:c r="F70" s="11"/>
      <x:c r="G70" s="11"/>
      <x:c r="H70" s="11"/>
      <x:c r="I70" s="11"/>
      <x:c r="J70" s="11"/>
      <x:c r="K70" s="10"/>
      <x:c r="L70" s="2" t="n">
        <x:f>IF(COUNTA(A70:C70,F70:K70)=0,0,IF(AND(COUNT(A70:C70)=3,COUNT(F70:J70)=5),0,1))</x:f>
        <x:v>0</x:v>
      </x:c>
      <x:c r="M70" s="2" t="n">
        <x:f>IF(COUNTA(A70:C70,F70:K70)=0,0,IF(OR(H70&gt;F70,I70&gt;G70,D70="Код қәте",E70="Код қәте"),1,0))</x:f>
        <x:v>0</x:v>
      </x:c>
      <x:c r="N70" s="2" t="str">
        <x:f>IF(B70="","",_xlfn.IFNA(INDEX('Клиентлер'!$B$8:$B$31,MATCH(B70,'Клиентлер'!$A$8:$A$31,0)),"Код қәте"))</x:f>
      </x:c>
    </x:row>
    <x:row r="71" ht="40" customHeight="1">
      <x:c r="A71" s="12"/>
      <x:c r="B71" s="10"/>
      <x:c r="C71" s="10"/>
      <x:c r="D71" s="13" t="str">
        <x:f>IF(C71="","",_xlfn.IFNA(INDEX('Күнлик реже'!$D$8:$D$390,MATCH(C71,'Күнлик реже'!$A$8:$A$390,0)),"Код қәте"))</x:f>
      </x:c>
      <x:c r="E71" s="2" t="str">
        <x:f>IF(B71="","",_xlfn.IFNA(INDEX('Клиентлер'!$E$8:$E$31,MATCH(B71,'Клиентлер'!$A$8:$A$31,0)),"Код қәте"))</x:f>
      </x:c>
      <x:c r="F71" s="11"/>
      <x:c r="G71" s="11"/>
      <x:c r="H71" s="11"/>
      <x:c r="I71" s="11"/>
      <x:c r="J71" s="11"/>
      <x:c r="K71" s="10"/>
      <x:c r="L71" s="2" t="n">
        <x:f>IF(COUNTA(A71:C71,F71:K71)=0,0,IF(AND(COUNT(A71:C71)=3,COUNT(F71:J71)=5),0,1))</x:f>
        <x:v>0</x:v>
      </x:c>
      <x:c r="M71" s="2" t="n">
        <x:f>IF(COUNTA(A71:C71,F71:K71)=0,0,IF(OR(H71&gt;F71,I71&gt;G71,D71="Код қәте",E71="Код қәте"),1,0))</x:f>
        <x:v>0</x:v>
      </x:c>
      <x:c r="N71" s="2" t="str">
        <x:f>IF(B71="","",_xlfn.IFNA(INDEX('Клиентлер'!$B$8:$B$31,MATCH(B71,'Клиентлер'!$A$8:$A$31,0)),"Код қәте"))</x:f>
      </x:c>
    </x:row>
    <x:row r="72" ht="40" customHeight="1">
      <x:c r="A72" s="12"/>
      <x:c r="B72" s="10"/>
      <x:c r="C72" s="10"/>
      <x:c r="D72" s="13" t="str">
        <x:f>IF(C72="","",_xlfn.IFNA(INDEX('Күнлик реже'!$D$8:$D$390,MATCH(C72,'Күнлик реже'!$A$8:$A$390,0)),"Код қәте"))</x:f>
      </x:c>
      <x:c r="E72" s="2" t="str">
        <x:f>IF(B72="","",_xlfn.IFNA(INDEX('Клиентлер'!$E$8:$E$31,MATCH(B72,'Клиентлер'!$A$8:$A$31,0)),"Код қәте"))</x:f>
      </x:c>
      <x:c r="F72" s="11"/>
      <x:c r="G72" s="11"/>
      <x:c r="H72" s="11"/>
      <x:c r="I72" s="11"/>
      <x:c r="J72" s="11"/>
      <x:c r="K72" s="10"/>
      <x:c r="L72" s="2" t="n">
        <x:f>IF(COUNTA(A72:C72,F72:K72)=0,0,IF(AND(COUNT(A72:C72)=3,COUNT(F72:J72)=5),0,1))</x:f>
        <x:v>0</x:v>
      </x:c>
      <x:c r="M72" s="2" t="n">
        <x:f>IF(COUNTA(A72:C72,F72:K72)=0,0,IF(OR(H72&gt;F72,I72&gt;G72,D72="Код қәте",E72="Код қәте"),1,0))</x:f>
        <x:v>0</x:v>
      </x:c>
      <x:c r="N72" s="2" t="str">
        <x:f>IF(B72="","",_xlfn.IFNA(INDEX('Клиентлер'!$B$8:$B$31,MATCH(B72,'Клиентлер'!$A$8:$A$31,0)),"Код қәте"))</x:f>
      </x:c>
    </x:row>
    <x:row r="73" ht="40" customHeight="1">
      <x:c r="A73" s="12"/>
      <x:c r="B73" s="10"/>
      <x:c r="C73" s="10"/>
      <x:c r="D73" s="13" t="str">
        <x:f>IF(C73="","",_xlfn.IFNA(INDEX('Күнлик реже'!$D$8:$D$390,MATCH(C73,'Күнлик реже'!$A$8:$A$390,0)),"Код қәте"))</x:f>
      </x:c>
      <x:c r="E73" s="2" t="str">
        <x:f>IF(B73="","",_xlfn.IFNA(INDEX('Клиентлер'!$E$8:$E$31,MATCH(B73,'Клиентлер'!$A$8:$A$31,0)),"Код қәте"))</x:f>
      </x:c>
      <x:c r="F73" s="11"/>
      <x:c r="G73" s="11"/>
      <x:c r="H73" s="11"/>
      <x:c r="I73" s="11"/>
      <x:c r="J73" s="11"/>
      <x:c r="K73" s="10"/>
      <x:c r="L73" s="2" t="n">
        <x:f>IF(COUNTA(A73:C73,F73:K73)=0,0,IF(AND(COUNT(A73:C73)=3,COUNT(F73:J73)=5),0,1))</x:f>
        <x:v>0</x:v>
      </x:c>
      <x:c r="M73" s="2" t="n">
        <x:f>IF(COUNTA(A73:C73,F73:K73)=0,0,IF(OR(H73&gt;F73,I73&gt;G73,D73="Код қәте",E73="Код қәте"),1,0))</x:f>
        <x:v>0</x:v>
      </x:c>
      <x:c r="N73" s="2" t="str">
        <x:f>IF(B73="","",_xlfn.IFNA(INDEX('Клиентлер'!$B$8:$B$31,MATCH(B73,'Клиентлер'!$A$8:$A$31,0)),"Код қәте"))</x:f>
      </x:c>
    </x:row>
    <x:row r="74" ht="40" customHeight="1">
      <x:c r="A74" s="12"/>
      <x:c r="B74" s="10"/>
      <x:c r="C74" s="10"/>
      <x:c r="D74" s="13" t="str">
        <x:f>IF(C74="","",_xlfn.IFNA(INDEX('Күнлик реже'!$D$8:$D$390,MATCH(C74,'Күнлик реже'!$A$8:$A$390,0)),"Код қәте"))</x:f>
      </x:c>
      <x:c r="E74" s="2" t="str">
        <x:f>IF(B74="","",_xlfn.IFNA(INDEX('Клиентлер'!$E$8:$E$31,MATCH(B74,'Клиентлер'!$A$8:$A$31,0)),"Код қәте"))</x:f>
      </x:c>
      <x:c r="F74" s="11"/>
      <x:c r="G74" s="11"/>
      <x:c r="H74" s="11"/>
      <x:c r="I74" s="11"/>
      <x:c r="J74" s="11"/>
      <x:c r="K74" s="10"/>
      <x:c r="L74" s="2" t="n">
        <x:f>IF(COUNTA(A74:C74,F74:K74)=0,0,IF(AND(COUNT(A74:C74)=3,COUNT(F74:J74)=5),0,1))</x:f>
        <x:v>0</x:v>
      </x:c>
      <x:c r="M74" s="2" t="n">
        <x:f>IF(COUNTA(A74:C74,F74:K74)=0,0,IF(OR(H74&gt;F74,I74&gt;G74,D74="Код қәте",E74="Код қәте"),1,0))</x:f>
        <x:v>0</x:v>
      </x:c>
      <x:c r="N74" s="2" t="str">
        <x:f>IF(B74="","",_xlfn.IFNA(INDEX('Клиентлер'!$B$8:$B$31,MATCH(B74,'Клиентлер'!$A$8:$A$31,0)),"Код қәте"))</x:f>
      </x:c>
    </x:row>
    <x:row r="75" ht="40" customHeight="1">
      <x:c r="A75" s="12"/>
      <x:c r="B75" s="10"/>
      <x:c r="C75" s="10"/>
      <x:c r="D75" s="13" t="str">
        <x:f>IF(C75="","",_xlfn.IFNA(INDEX('Күнлик реже'!$D$8:$D$390,MATCH(C75,'Күнлик реже'!$A$8:$A$390,0)),"Код қәте"))</x:f>
      </x:c>
      <x:c r="E75" s="2" t="str">
        <x:f>IF(B75="","",_xlfn.IFNA(INDEX('Клиентлер'!$E$8:$E$31,MATCH(B75,'Клиентлер'!$A$8:$A$31,0)),"Код қәте"))</x:f>
      </x:c>
      <x:c r="F75" s="11"/>
      <x:c r="G75" s="11"/>
      <x:c r="H75" s="11"/>
      <x:c r="I75" s="11"/>
      <x:c r="J75" s="11"/>
      <x:c r="K75" s="10"/>
      <x:c r="L75" s="2" t="n">
        <x:f>IF(COUNTA(A75:C75,F75:K75)=0,0,IF(AND(COUNT(A75:C75)=3,COUNT(F75:J75)=5),0,1))</x:f>
        <x:v>0</x:v>
      </x:c>
      <x:c r="M75" s="2" t="n">
        <x:f>IF(COUNTA(A75:C75,F75:K75)=0,0,IF(OR(H75&gt;F75,I75&gt;G75,D75="Код қәте",E75="Код қәте"),1,0))</x:f>
        <x:v>0</x:v>
      </x:c>
      <x:c r="N75" s="2" t="str">
        <x:f>IF(B75="","",_xlfn.IFNA(INDEX('Клиентлер'!$B$8:$B$31,MATCH(B75,'Клиентлер'!$A$8:$A$31,0)),"Код қәте"))</x:f>
      </x:c>
    </x:row>
    <x:row r="76" ht="40" customHeight="1">
      <x:c r="A76" s="12"/>
      <x:c r="B76" s="10"/>
      <x:c r="C76" s="10"/>
      <x:c r="D76" s="13" t="str">
        <x:f>IF(C76="","",_xlfn.IFNA(INDEX('Күнлик реже'!$D$8:$D$390,MATCH(C76,'Күнлик реже'!$A$8:$A$390,0)),"Код қәте"))</x:f>
      </x:c>
      <x:c r="E76" s="2" t="str">
        <x:f>IF(B76="","",_xlfn.IFNA(INDEX('Клиентлер'!$E$8:$E$31,MATCH(B76,'Клиентлер'!$A$8:$A$31,0)),"Код қәте"))</x:f>
      </x:c>
      <x:c r="F76" s="11"/>
      <x:c r="G76" s="11"/>
      <x:c r="H76" s="11"/>
      <x:c r="I76" s="11"/>
      <x:c r="J76" s="11"/>
      <x:c r="K76" s="10"/>
      <x:c r="L76" s="2" t="n">
        <x:f>IF(COUNTA(A76:C76,F76:K76)=0,0,IF(AND(COUNT(A76:C76)=3,COUNT(F76:J76)=5),0,1))</x:f>
        <x:v>0</x:v>
      </x:c>
      <x:c r="M76" s="2" t="n">
        <x:f>IF(COUNTA(A76:C76,F76:K76)=0,0,IF(OR(H76&gt;F76,I76&gt;G76,D76="Код қәте",E76="Код қәте"),1,0))</x:f>
        <x:v>0</x:v>
      </x:c>
      <x:c r="N76" s="2" t="str">
        <x:f>IF(B76="","",_xlfn.IFNA(INDEX('Клиентлер'!$B$8:$B$31,MATCH(B76,'Клиентлер'!$A$8:$A$31,0)),"Код қәте"))</x:f>
      </x:c>
    </x:row>
    <x:row r="77" ht="40" customHeight="1">
      <x:c r="A77" s="12"/>
      <x:c r="B77" s="10"/>
      <x:c r="C77" s="10"/>
      <x:c r="D77" s="13" t="str">
        <x:f>IF(C77="","",_xlfn.IFNA(INDEX('Күнлик реже'!$D$8:$D$390,MATCH(C77,'Күнлик реже'!$A$8:$A$390,0)),"Код қәте"))</x:f>
      </x:c>
      <x:c r="E77" s="2" t="str">
        <x:f>IF(B77="","",_xlfn.IFNA(INDEX('Клиентлер'!$E$8:$E$31,MATCH(B77,'Клиентлер'!$A$8:$A$31,0)),"Код қәте"))</x:f>
      </x:c>
      <x:c r="F77" s="11"/>
      <x:c r="G77" s="11"/>
      <x:c r="H77" s="11"/>
      <x:c r="I77" s="11"/>
      <x:c r="J77" s="11"/>
      <x:c r="K77" s="10"/>
      <x:c r="L77" s="2" t="n">
        <x:f>IF(COUNTA(A77:C77,F77:K77)=0,0,IF(AND(COUNT(A77:C77)=3,COUNT(F77:J77)=5),0,1))</x:f>
        <x:v>0</x:v>
      </x:c>
      <x:c r="M77" s="2" t="n">
        <x:f>IF(COUNTA(A77:C77,F77:K77)=0,0,IF(OR(H77&gt;F77,I77&gt;G77,D77="Код қәте",E77="Код қәте"),1,0))</x:f>
        <x:v>0</x:v>
      </x:c>
      <x:c r="N77" s="2" t="str">
        <x:f>IF(B77="","",_xlfn.IFNA(INDEX('Клиентлер'!$B$8:$B$31,MATCH(B77,'Клиентлер'!$A$8:$A$31,0)),"Код қәте"))</x:f>
      </x:c>
    </x:row>
    <x:row r="78" ht="40" customHeight="1">
      <x:c r="A78" s="12"/>
      <x:c r="B78" s="10"/>
      <x:c r="C78" s="10"/>
      <x:c r="D78" s="13" t="str">
        <x:f>IF(C78="","",_xlfn.IFNA(INDEX('Күнлик реже'!$D$8:$D$390,MATCH(C78,'Күнлик реже'!$A$8:$A$390,0)),"Код қәте"))</x:f>
      </x:c>
      <x:c r="E78" s="2" t="str">
        <x:f>IF(B78="","",_xlfn.IFNA(INDEX('Клиентлер'!$E$8:$E$31,MATCH(B78,'Клиентлер'!$A$8:$A$31,0)),"Код қәте"))</x:f>
      </x:c>
      <x:c r="F78" s="11"/>
      <x:c r="G78" s="11"/>
      <x:c r="H78" s="11"/>
      <x:c r="I78" s="11"/>
      <x:c r="J78" s="11"/>
      <x:c r="K78" s="10"/>
      <x:c r="L78" s="2" t="n">
        <x:f>IF(COUNTA(A78:C78,F78:K78)=0,0,IF(AND(COUNT(A78:C78)=3,COUNT(F78:J78)=5),0,1))</x:f>
        <x:v>0</x:v>
      </x:c>
      <x:c r="M78" s="2" t="n">
        <x:f>IF(COUNTA(A78:C78,F78:K78)=0,0,IF(OR(H78&gt;F78,I78&gt;G78,D78="Код қәте",E78="Код қәте"),1,0))</x:f>
        <x:v>0</x:v>
      </x:c>
      <x:c r="N78" s="2" t="str">
        <x:f>IF(B78="","",_xlfn.IFNA(INDEX('Клиентлер'!$B$8:$B$31,MATCH(B78,'Клиентлер'!$A$8:$A$31,0)),"Код қәте"))</x:f>
      </x:c>
    </x:row>
    <x:row r="79" ht="40" customHeight="1">
      <x:c r="A79" s="12"/>
      <x:c r="B79" s="10"/>
      <x:c r="C79" s="10"/>
      <x:c r="D79" s="13" t="str">
        <x:f>IF(C79="","",_xlfn.IFNA(INDEX('Күнлик реже'!$D$8:$D$390,MATCH(C79,'Күнлик реже'!$A$8:$A$390,0)),"Код қәте"))</x:f>
      </x:c>
      <x:c r="E79" s="2" t="str">
        <x:f>IF(B79="","",_xlfn.IFNA(INDEX('Клиентлер'!$E$8:$E$31,MATCH(B79,'Клиентлер'!$A$8:$A$31,0)),"Код қәте"))</x:f>
      </x:c>
      <x:c r="F79" s="11"/>
      <x:c r="G79" s="11"/>
      <x:c r="H79" s="11"/>
      <x:c r="I79" s="11"/>
      <x:c r="J79" s="11"/>
      <x:c r="K79" s="10"/>
      <x:c r="L79" s="2" t="n">
        <x:f>IF(COUNTA(A79:C79,F79:K79)=0,0,IF(AND(COUNT(A79:C79)=3,COUNT(F79:J79)=5),0,1))</x:f>
        <x:v>0</x:v>
      </x:c>
      <x:c r="M79" s="2" t="n">
        <x:f>IF(COUNTA(A79:C79,F79:K79)=0,0,IF(OR(H79&gt;F79,I79&gt;G79,D79="Код қәте",E79="Код қәте"),1,0))</x:f>
        <x:v>0</x:v>
      </x:c>
      <x:c r="N79" s="2" t="str">
        <x:f>IF(B79="","",_xlfn.IFNA(INDEX('Клиентлер'!$B$8:$B$31,MATCH(B79,'Клиентлер'!$A$8:$A$31,0)),"Код қәте"))</x:f>
      </x:c>
    </x:row>
    <x:row r="80" ht="40" customHeight="1">
      <x:c r="A80" s="12"/>
      <x:c r="B80" s="10"/>
      <x:c r="C80" s="10"/>
      <x:c r="D80" s="13" t="str">
        <x:f>IF(C80="","",_xlfn.IFNA(INDEX('Күнлик реже'!$D$8:$D$390,MATCH(C80,'Күнлик реже'!$A$8:$A$390,0)),"Код қәте"))</x:f>
      </x:c>
      <x:c r="E80" s="2" t="str">
        <x:f>IF(B80="","",_xlfn.IFNA(INDEX('Клиентлер'!$E$8:$E$31,MATCH(B80,'Клиентлер'!$A$8:$A$31,0)),"Код қәте"))</x:f>
      </x:c>
      <x:c r="F80" s="11"/>
      <x:c r="G80" s="11"/>
      <x:c r="H80" s="11"/>
      <x:c r="I80" s="11"/>
      <x:c r="J80" s="11"/>
      <x:c r="K80" s="10"/>
      <x:c r="L80" s="2" t="n">
        <x:f>IF(COUNTA(A80:C80,F80:K80)=0,0,IF(AND(COUNT(A80:C80)=3,COUNT(F80:J80)=5),0,1))</x:f>
        <x:v>0</x:v>
      </x:c>
      <x:c r="M80" s="2" t="n">
        <x:f>IF(COUNTA(A80:C80,F80:K80)=0,0,IF(OR(H80&gt;F80,I80&gt;G80,D80="Код қәте",E80="Код қәте"),1,0))</x:f>
        <x:v>0</x:v>
      </x:c>
      <x:c r="N80" s="2" t="str">
        <x:f>IF(B80="","",_xlfn.IFNA(INDEX('Клиентлер'!$B$8:$B$31,MATCH(B80,'Клиентлер'!$A$8:$A$31,0)),"Код қәте"))</x:f>
      </x:c>
    </x:row>
    <x:row r="81" ht="40" customHeight="1">
      <x:c r="A81" s="12"/>
      <x:c r="B81" s="10"/>
      <x:c r="C81" s="10"/>
      <x:c r="D81" s="13" t="str">
        <x:f>IF(C81="","",_xlfn.IFNA(INDEX('Күнлик реже'!$D$8:$D$390,MATCH(C81,'Күнлик реже'!$A$8:$A$390,0)),"Код қәте"))</x:f>
      </x:c>
      <x:c r="E81" s="2" t="str">
        <x:f>IF(B81="","",_xlfn.IFNA(INDEX('Клиентлер'!$E$8:$E$31,MATCH(B81,'Клиентлер'!$A$8:$A$31,0)),"Код қәте"))</x:f>
      </x:c>
      <x:c r="F81" s="11"/>
      <x:c r="G81" s="11"/>
      <x:c r="H81" s="11"/>
      <x:c r="I81" s="11"/>
      <x:c r="J81" s="11"/>
      <x:c r="K81" s="10"/>
      <x:c r="L81" s="2" t="n">
        <x:f>IF(COUNTA(A81:C81,F81:K81)=0,0,IF(AND(COUNT(A81:C81)=3,COUNT(F81:J81)=5),0,1))</x:f>
        <x:v>0</x:v>
      </x:c>
      <x:c r="M81" s="2" t="n">
        <x:f>IF(COUNTA(A81:C81,F81:K81)=0,0,IF(OR(H81&gt;F81,I81&gt;G81,D81="Код қәте",E81="Код қәте"),1,0))</x:f>
        <x:v>0</x:v>
      </x:c>
      <x:c r="N81" s="2" t="str">
        <x:f>IF(B81="","",_xlfn.IFNA(INDEX('Клиентлер'!$B$8:$B$31,MATCH(B81,'Клиентлер'!$A$8:$A$31,0)),"Код қәте"))</x:f>
      </x:c>
    </x:row>
    <x:row r="82" ht="40" customHeight="1">
      <x:c r="A82" s="12"/>
      <x:c r="B82" s="10"/>
      <x:c r="C82" s="10"/>
      <x:c r="D82" s="13" t="str">
        <x:f>IF(C82="","",_xlfn.IFNA(INDEX('Күнлик реже'!$D$8:$D$390,MATCH(C82,'Күнлик реже'!$A$8:$A$390,0)),"Код қәте"))</x:f>
      </x:c>
      <x:c r="E82" s="2" t="str">
        <x:f>IF(B82="","",_xlfn.IFNA(INDEX('Клиентлер'!$E$8:$E$31,MATCH(B82,'Клиентлер'!$A$8:$A$31,0)),"Код қәте"))</x:f>
      </x:c>
      <x:c r="F82" s="11"/>
      <x:c r="G82" s="11"/>
      <x:c r="H82" s="11"/>
      <x:c r="I82" s="11"/>
      <x:c r="J82" s="11"/>
      <x:c r="K82" s="10"/>
      <x:c r="L82" s="2" t="n">
        <x:f>IF(COUNTA(A82:C82,F82:K82)=0,0,IF(AND(COUNT(A82:C82)=3,COUNT(F82:J82)=5),0,1))</x:f>
        <x:v>0</x:v>
      </x:c>
      <x:c r="M82" s="2" t="n">
        <x:f>IF(COUNTA(A82:C82,F82:K82)=0,0,IF(OR(H82&gt;F82,I82&gt;G82,D82="Код қәте",E82="Код қәте"),1,0))</x:f>
        <x:v>0</x:v>
      </x:c>
      <x:c r="N82" s="2" t="str">
        <x:f>IF(B82="","",_xlfn.IFNA(INDEX('Клиентлер'!$B$8:$B$31,MATCH(B82,'Клиентлер'!$A$8:$A$31,0)),"Код қәте"))</x:f>
      </x:c>
    </x:row>
    <x:row r="83" ht="40" customHeight="1">
      <x:c r="A83" s="12"/>
      <x:c r="B83" s="10"/>
      <x:c r="C83" s="10"/>
      <x:c r="D83" s="13" t="str">
        <x:f>IF(C83="","",_xlfn.IFNA(INDEX('Күнлик реже'!$D$8:$D$390,MATCH(C83,'Күнлик реже'!$A$8:$A$390,0)),"Код қәте"))</x:f>
      </x:c>
      <x:c r="E83" s="2" t="str">
        <x:f>IF(B83="","",_xlfn.IFNA(INDEX('Клиентлер'!$E$8:$E$31,MATCH(B83,'Клиентлер'!$A$8:$A$31,0)),"Код қәте"))</x:f>
      </x:c>
      <x:c r="F83" s="11"/>
      <x:c r="G83" s="11"/>
      <x:c r="H83" s="11"/>
      <x:c r="I83" s="11"/>
      <x:c r="J83" s="11"/>
      <x:c r="K83" s="10"/>
      <x:c r="L83" s="2" t="n">
        <x:f>IF(COUNTA(A83:C83,F83:K83)=0,0,IF(AND(COUNT(A83:C83)=3,COUNT(F83:J83)=5),0,1))</x:f>
        <x:v>0</x:v>
      </x:c>
      <x:c r="M83" s="2" t="n">
        <x:f>IF(COUNTA(A83:C83,F83:K83)=0,0,IF(OR(H83&gt;F83,I83&gt;G83,D83="Код қәте",E83="Код қәте"),1,0))</x:f>
        <x:v>0</x:v>
      </x:c>
      <x:c r="N83" s="2" t="str">
        <x:f>IF(B83="","",_xlfn.IFNA(INDEX('Клиентлер'!$B$8:$B$31,MATCH(B83,'Клиентлер'!$A$8:$A$31,0)),"Код қәте"))</x:f>
      </x:c>
    </x:row>
    <x:row r="84" ht="40" customHeight="1">
      <x:c r="A84" s="12"/>
      <x:c r="B84" s="10"/>
      <x:c r="C84" s="10"/>
      <x:c r="D84" s="13" t="str">
        <x:f>IF(C84="","",_xlfn.IFNA(INDEX('Күнлик реже'!$D$8:$D$390,MATCH(C84,'Күнлик реже'!$A$8:$A$390,0)),"Код қәте"))</x:f>
      </x:c>
      <x:c r="E84" s="2" t="str">
        <x:f>IF(B84="","",_xlfn.IFNA(INDEX('Клиентлер'!$E$8:$E$31,MATCH(B84,'Клиентлер'!$A$8:$A$31,0)),"Код қәте"))</x:f>
      </x:c>
      <x:c r="F84" s="11"/>
      <x:c r="G84" s="11"/>
      <x:c r="H84" s="11"/>
      <x:c r="I84" s="11"/>
      <x:c r="J84" s="11"/>
      <x:c r="K84" s="10"/>
      <x:c r="L84" s="2" t="n">
        <x:f>IF(COUNTA(A84:C84,F84:K84)=0,0,IF(AND(COUNT(A84:C84)=3,COUNT(F84:J84)=5),0,1))</x:f>
        <x:v>0</x:v>
      </x:c>
      <x:c r="M84" s="2" t="n">
        <x:f>IF(COUNTA(A84:C84,F84:K84)=0,0,IF(OR(H84&gt;F84,I84&gt;G84,D84="Код қәте",E84="Код қәте"),1,0))</x:f>
        <x:v>0</x:v>
      </x:c>
      <x:c r="N84" s="2" t="str">
        <x:f>IF(B84="","",_xlfn.IFNA(INDEX('Клиентлер'!$B$8:$B$31,MATCH(B84,'Клиентлер'!$A$8:$A$31,0)),"Код қәте"))</x:f>
      </x:c>
    </x:row>
    <x:row r="85" ht="40" customHeight="1">
      <x:c r="A85" s="12"/>
      <x:c r="B85" s="10"/>
      <x:c r="C85" s="10"/>
      <x:c r="D85" s="13" t="str">
        <x:f>IF(C85="","",_xlfn.IFNA(INDEX('Күнлик реже'!$D$8:$D$390,MATCH(C85,'Күнлик реже'!$A$8:$A$390,0)),"Код қәте"))</x:f>
      </x:c>
      <x:c r="E85" s="2" t="str">
        <x:f>IF(B85="","",_xlfn.IFNA(INDEX('Клиентлер'!$E$8:$E$31,MATCH(B85,'Клиентлер'!$A$8:$A$31,0)),"Код қәте"))</x:f>
      </x:c>
      <x:c r="F85" s="11"/>
      <x:c r="G85" s="11"/>
      <x:c r="H85" s="11"/>
      <x:c r="I85" s="11"/>
      <x:c r="J85" s="11"/>
      <x:c r="K85" s="10"/>
      <x:c r="L85" s="2" t="n">
        <x:f>IF(COUNTA(A85:C85,F85:K85)=0,0,IF(AND(COUNT(A85:C85)=3,COUNT(F85:J85)=5),0,1))</x:f>
        <x:v>0</x:v>
      </x:c>
      <x:c r="M85" s="2" t="n">
        <x:f>IF(COUNTA(A85:C85,F85:K85)=0,0,IF(OR(H85&gt;F85,I85&gt;G85,D85="Код қәте",E85="Код қәте"),1,0))</x:f>
        <x:v>0</x:v>
      </x:c>
      <x:c r="N85" s="2" t="str">
        <x:f>IF(B85="","",_xlfn.IFNA(INDEX('Клиентлер'!$B$8:$B$31,MATCH(B85,'Клиентлер'!$A$8:$A$31,0)),"Код қәте"))</x:f>
      </x:c>
    </x:row>
    <x:row r="86" ht="40" customHeight="1">
      <x:c r="A86" s="12"/>
      <x:c r="B86" s="10"/>
      <x:c r="C86" s="10"/>
      <x:c r="D86" s="13" t="str">
        <x:f>IF(C86="","",_xlfn.IFNA(INDEX('Күнлик реже'!$D$8:$D$390,MATCH(C86,'Күнлик реже'!$A$8:$A$390,0)),"Код қәте"))</x:f>
      </x:c>
      <x:c r="E86" s="2" t="str">
        <x:f>IF(B86="","",_xlfn.IFNA(INDEX('Клиентлер'!$E$8:$E$31,MATCH(B86,'Клиентлер'!$A$8:$A$31,0)),"Код қәте"))</x:f>
      </x:c>
      <x:c r="F86" s="11"/>
      <x:c r="G86" s="11"/>
      <x:c r="H86" s="11"/>
      <x:c r="I86" s="11"/>
      <x:c r="J86" s="11"/>
      <x:c r="K86" s="10"/>
      <x:c r="L86" s="2" t="n">
        <x:f>IF(COUNTA(A86:C86,F86:K86)=0,0,IF(AND(COUNT(A86:C86)=3,COUNT(F86:J86)=5),0,1))</x:f>
        <x:v>0</x:v>
      </x:c>
      <x:c r="M86" s="2" t="n">
        <x:f>IF(COUNTA(A86:C86,F86:K86)=0,0,IF(OR(H86&gt;F86,I86&gt;G86,D86="Код қәте",E86="Код қәте"),1,0))</x:f>
        <x:v>0</x:v>
      </x:c>
      <x:c r="N86" s="2" t="str">
        <x:f>IF(B86="","",_xlfn.IFNA(INDEX('Клиентлер'!$B$8:$B$31,MATCH(B86,'Клиентлер'!$A$8:$A$31,0)),"Код қәте"))</x:f>
      </x:c>
    </x:row>
    <x:row r="87" ht="40" customHeight="1">
      <x:c r="A87" s="12"/>
      <x:c r="B87" s="10"/>
      <x:c r="C87" s="10"/>
      <x:c r="D87" s="13" t="str">
        <x:f>IF(C87="","",_xlfn.IFNA(INDEX('Күнлик реже'!$D$8:$D$390,MATCH(C87,'Күнлик реже'!$A$8:$A$390,0)),"Код қәте"))</x:f>
      </x:c>
      <x:c r="E87" s="2" t="str">
        <x:f>IF(B87="","",_xlfn.IFNA(INDEX('Клиентлер'!$E$8:$E$31,MATCH(B87,'Клиентлер'!$A$8:$A$31,0)),"Код қәте"))</x:f>
      </x:c>
      <x:c r="F87" s="11"/>
      <x:c r="G87" s="11"/>
      <x:c r="H87" s="11"/>
      <x:c r="I87" s="11"/>
      <x:c r="J87" s="11"/>
      <x:c r="K87" s="10"/>
      <x:c r="L87" s="2" t="n">
        <x:f>IF(COUNTA(A87:C87,F87:K87)=0,0,IF(AND(COUNT(A87:C87)=3,COUNT(F87:J87)=5),0,1))</x:f>
        <x:v>0</x:v>
      </x:c>
      <x:c r="M87" s="2" t="n">
        <x:f>IF(COUNTA(A87:C87,F87:K87)=0,0,IF(OR(H87&gt;F87,I87&gt;G87,D87="Код қәте",E87="Код қәте"),1,0))</x:f>
        <x:v>0</x:v>
      </x:c>
      <x:c r="N87" s="2" t="str">
        <x:f>IF(B87="","",_xlfn.IFNA(INDEX('Клиентлер'!$B$8:$B$31,MATCH(B87,'Клиентлер'!$A$8:$A$31,0)),"Код қәте"))</x:f>
      </x:c>
    </x:row>
    <x:row r="88" ht="40" customHeight="1">
      <x:c r="A88" s="12"/>
      <x:c r="B88" s="10"/>
      <x:c r="C88" s="10"/>
      <x:c r="D88" s="13" t="str">
        <x:f>IF(C88="","",_xlfn.IFNA(INDEX('Күнлик реже'!$D$8:$D$390,MATCH(C88,'Күнлик реже'!$A$8:$A$390,0)),"Код қәте"))</x:f>
      </x:c>
      <x:c r="E88" s="2" t="str">
        <x:f>IF(B88="","",_xlfn.IFNA(INDEX('Клиентлер'!$E$8:$E$31,MATCH(B88,'Клиентлер'!$A$8:$A$31,0)),"Код қәте"))</x:f>
      </x:c>
      <x:c r="F88" s="11"/>
      <x:c r="G88" s="11"/>
      <x:c r="H88" s="11"/>
      <x:c r="I88" s="11"/>
      <x:c r="J88" s="11"/>
      <x:c r="K88" s="10"/>
      <x:c r="L88" s="2" t="n">
        <x:f>IF(COUNTA(A88:C88,F88:K88)=0,0,IF(AND(COUNT(A88:C88)=3,COUNT(F88:J88)=5),0,1))</x:f>
        <x:v>0</x:v>
      </x:c>
      <x:c r="M88" s="2" t="n">
        <x:f>IF(COUNTA(A88:C88,F88:K88)=0,0,IF(OR(H88&gt;F88,I88&gt;G88,D88="Код қәте",E88="Код қәте"),1,0))</x:f>
        <x:v>0</x:v>
      </x:c>
      <x:c r="N88" s="2" t="str">
        <x:f>IF(B88="","",_xlfn.IFNA(INDEX('Клиентлер'!$B$8:$B$31,MATCH(B88,'Клиентлер'!$A$8:$A$31,0)),"Код қәте"))</x:f>
      </x:c>
    </x:row>
    <x:row r="89" ht="40" customHeight="1">
      <x:c r="A89" s="12"/>
      <x:c r="B89" s="10"/>
      <x:c r="C89" s="10"/>
      <x:c r="D89" s="13" t="str">
        <x:f>IF(C89="","",_xlfn.IFNA(INDEX('Күнлик реже'!$D$8:$D$390,MATCH(C89,'Күнлик реже'!$A$8:$A$390,0)),"Код қәте"))</x:f>
      </x:c>
      <x:c r="E89" s="2" t="str">
        <x:f>IF(B89="","",_xlfn.IFNA(INDEX('Клиентлер'!$E$8:$E$31,MATCH(B89,'Клиентлер'!$A$8:$A$31,0)),"Код қәте"))</x:f>
      </x:c>
      <x:c r="F89" s="11"/>
      <x:c r="G89" s="11"/>
      <x:c r="H89" s="11"/>
      <x:c r="I89" s="11"/>
      <x:c r="J89" s="11"/>
      <x:c r="K89" s="10"/>
      <x:c r="L89" s="2" t="n">
        <x:f>IF(COUNTA(A89:C89,F89:K89)=0,0,IF(AND(COUNT(A89:C89)=3,COUNT(F89:J89)=5),0,1))</x:f>
        <x:v>0</x:v>
      </x:c>
      <x:c r="M89" s="2" t="n">
        <x:f>IF(COUNTA(A89:C89,F89:K89)=0,0,IF(OR(H89&gt;F89,I89&gt;G89,D89="Код қәте",E89="Код қәте"),1,0))</x:f>
        <x:v>0</x:v>
      </x:c>
      <x:c r="N89" s="2" t="str">
        <x:f>IF(B89="","",_xlfn.IFNA(INDEX('Клиентлер'!$B$8:$B$31,MATCH(B89,'Клиентлер'!$A$8:$A$31,0)),"Код қәте"))</x:f>
      </x:c>
    </x:row>
    <x:row r="90" ht="40" customHeight="1">
      <x:c r="A90" s="12"/>
      <x:c r="B90" s="10"/>
      <x:c r="C90" s="10"/>
      <x:c r="D90" s="13" t="str">
        <x:f>IF(C90="","",_xlfn.IFNA(INDEX('Күнлик реже'!$D$8:$D$390,MATCH(C90,'Күнлик реже'!$A$8:$A$390,0)),"Код қәте"))</x:f>
      </x:c>
      <x:c r="E90" s="2" t="str">
        <x:f>IF(B90="","",_xlfn.IFNA(INDEX('Клиентлер'!$E$8:$E$31,MATCH(B90,'Клиентлер'!$A$8:$A$31,0)),"Код қәте"))</x:f>
      </x:c>
      <x:c r="F90" s="11"/>
      <x:c r="G90" s="11"/>
      <x:c r="H90" s="11"/>
      <x:c r="I90" s="11"/>
      <x:c r="J90" s="11"/>
      <x:c r="K90" s="10"/>
      <x:c r="L90" s="2" t="n">
        <x:f>IF(COUNTA(A90:C90,F90:K90)=0,0,IF(AND(COUNT(A90:C90)=3,COUNT(F90:J90)=5),0,1))</x:f>
        <x:v>0</x:v>
      </x:c>
      <x:c r="M90" s="2" t="n">
        <x:f>IF(COUNTA(A90:C90,F90:K90)=0,0,IF(OR(H90&gt;F90,I90&gt;G90,D90="Код қәте",E90="Код қәте"),1,0))</x:f>
        <x:v>0</x:v>
      </x:c>
      <x:c r="N90" s="2" t="str">
        <x:f>IF(B90="","",_xlfn.IFNA(INDEX('Клиентлер'!$B$8:$B$31,MATCH(B90,'Клиентлер'!$A$8:$A$31,0)),"Код қәте"))</x:f>
      </x:c>
    </x:row>
    <x:row r="91" ht="40" customHeight="1">
      <x:c r="A91" s="12"/>
      <x:c r="B91" s="10"/>
      <x:c r="C91" s="10"/>
      <x:c r="D91" s="13" t="str">
        <x:f>IF(C91="","",_xlfn.IFNA(INDEX('Күнлик реже'!$D$8:$D$390,MATCH(C91,'Күнлик реже'!$A$8:$A$390,0)),"Код қәте"))</x:f>
      </x:c>
      <x:c r="E91" s="2" t="str">
        <x:f>IF(B91="","",_xlfn.IFNA(INDEX('Клиентлер'!$E$8:$E$31,MATCH(B91,'Клиентлер'!$A$8:$A$31,0)),"Код қәте"))</x:f>
      </x:c>
      <x:c r="F91" s="11"/>
      <x:c r="G91" s="11"/>
      <x:c r="H91" s="11"/>
      <x:c r="I91" s="11"/>
      <x:c r="J91" s="11"/>
      <x:c r="K91" s="10"/>
      <x:c r="L91" s="2" t="n">
        <x:f>IF(COUNTA(A91:C91,F91:K91)=0,0,IF(AND(COUNT(A91:C91)=3,COUNT(F91:J91)=5),0,1))</x:f>
        <x:v>0</x:v>
      </x:c>
      <x:c r="M91" s="2" t="n">
        <x:f>IF(COUNTA(A91:C91,F91:K91)=0,0,IF(OR(H91&gt;F91,I91&gt;G91,D91="Код қәте",E91="Код қәте"),1,0))</x:f>
        <x:v>0</x:v>
      </x:c>
      <x:c r="N91" s="2" t="str">
        <x:f>IF(B91="","",_xlfn.IFNA(INDEX('Клиентлер'!$B$8:$B$31,MATCH(B91,'Клиентлер'!$A$8:$A$31,0)),"Код қәте"))</x:f>
      </x:c>
    </x:row>
    <x:row r="92" ht="40" customHeight="1">
      <x:c r="A92" s="12"/>
      <x:c r="B92" s="10"/>
      <x:c r="C92" s="10"/>
      <x:c r="D92" s="13" t="str">
        <x:f>IF(C92="","",_xlfn.IFNA(INDEX('Күнлик реже'!$D$8:$D$390,MATCH(C92,'Күнлик реже'!$A$8:$A$390,0)),"Код қәте"))</x:f>
      </x:c>
      <x:c r="E92" s="2" t="str">
        <x:f>IF(B92="","",_xlfn.IFNA(INDEX('Клиентлер'!$E$8:$E$31,MATCH(B92,'Клиентлер'!$A$8:$A$31,0)),"Код қәте"))</x:f>
      </x:c>
      <x:c r="F92" s="11"/>
      <x:c r="G92" s="11"/>
      <x:c r="H92" s="11"/>
      <x:c r="I92" s="11"/>
      <x:c r="J92" s="11"/>
      <x:c r="K92" s="10"/>
      <x:c r="L92" s="2" t="n">
        <x:f>IF(COUNTA(A92:C92,F92:K92)=0,0,IF(AND(COUNT(A92:C92)=3,COUNT(F92:J92)=5),0,1))</x:f>
        <x:v>0</x:v>
      </x:c>
      <x:c r="M92" s="2" t="n">
        <x:f>IF(COUNTA(A92:C92,F92:K92)=0,0,IF(OR(H92&gt;F92,I92&gt;G92,D92="Код қәте",E92="Код қәте"),1,0))</x:f>
        <x:v>0</x:v>
      </x:c>
      <x:c r="N92" s="2" t="str">
        <x:f>IF(B92="","",_xlfn.IFNA(INDEX('Клиентлер'!$B$8:$B$31,MATCH(B92,'Клиентлер'!$A$8:$A$31,0)),"Код қәте"))</x:f>
      </x:c>
    </x:row>
    <x:row r="93" ht="40" customHeight="1">
      <x:c r="A93" s="12"/>
      <x:c r="B93" s="10"/>
      <x:c r="C93" s="10"/>
      <x:c r="D93" s="13" t="str">
        <x:f>IF(C93="","",_xlfn.IFNA(INDEX('Күнлик реже'!$D$8:$D$390,MATCH(C93,'Күнлик реже'!$A$8:$A$390,0)),"Код қәте"))</x:f>
      </x:c>
      <x:c r="E93" s="2" t="str">
        <x:f>IF(B93="","",_xlfn.IFNA(INDEX('Клиентлер'!$E$8:$E$31,MATCH(B93,'Клиентлер'!$A$8:$A$31,0)),"Код қәте"))</x:f>
      </x:c>
      <x:c r="F93" s="11"/>
      <x:c r="G93" s="11"/>
      <x:c r="H93" s="11"/>
      <x:c r="I93" s="11"/>
      <x:c r="J93" s="11"/>
      <x:c r="K93" s="10"/>
      <x:c r="L93" s="2" t="n">
        <x:f>IF(COUNTA(A93:C93,F93:K93)=0,0,IF(AND(COUNT(A93:C93)=3,COUNT(F93:J93)=5),0,1))</x:f>
        <x:v>0</x:v>
      </x:c>
      <x:c r="M93" s="2" t="n">
        <x:f>IF(COUNTA(A93:C93,F93:K93)=0,0,IF(OR(H93&gt;F93,I93&gt;G93,D93="Код қәте",E93="Код қәте"),1,0))</x:f>
        <x:v>0</x:v>
      </x:c>
      <x:c r="N93" s="2" t="str">
        <x:f>IF(B93="","",_xlfn.IFNA(INDEX('Клиентлер'!$B$8:$B$31,MATCH(B93,'Клиентлер'!$A$8:$A$31,0)),"Код қәте"))</x:f>
      </x:c>
    </x:row>
    <x:row r="94" ht="40" customHeight="1">
      <x:c r="A94" s="12"/>
      <x:c r="B94" s="10"/>
      <x:c r="C94" s="10"/>
      <x:c r="D94" s="13" t="str">
        <x:f>IF(C94="","",_xlfn.IFNA(INDEX('Күнлик реже'!$D$8:$D$390,MATCH(C94,'Күнлик реже'!$A$8:$A$390,0)),"Код қәте"))</x:f>
      </x:c>
      <x:c r="E94" s="2" t="str">
        <x:f>IF(B94="","",_xlfn.IFNA(INDEX('Клиентлер'!$E$8:$E$31,MATCH(B94,'Клиентлер'!$A$8:$A$31,0)),"Код қәте"))</x:f>
      </x:c>
      <x:c r="F94" s="11"/>
      <x:c r="G94" s="11"/>
      <x:c r="H94" s="11"/>
      <x:c r="I94" s="11"/>
      <x:c r="J94" s="11"/>
      <x:c r="K94" s="10"/>
      <x:c r="L94" s="2" t="n">
        <x:f>IF(COUNTA(A94:C94,F94:K94)=0,0,IF(AND(COUNT(A94:C94)=3,COUNT(F94:J94)=5),0,1))</x:f>
        <x:v>0</x:v>
      </x:c>
      <x:c r="M94" s="2" t="n">
        <x:f>IF(COUNTA(A94:C94,F94:K94)=0,0,IF(OR(H94&gt;F94,I94&gt;G94,D94="Код қәте",E94="Код қәте"),1,0))</x:f>
        <x:v>0</x:v>
      </x:c>
      <x:c r="N94" s="2" t="str">
        <x:f>IF(B94="","",_xlfn.IFNA(INDEX('Клиентлер'!$B$8:$B$31,MATCH(B94,'Клиентлер'!$A$8:$A$31,0)),"Код қәте"))</x:f>
      </x:c>
    </x:row>
    <x:row r="95" ht="40" customHeight="1">
      <x:c r="A95" s="12"/>
      <x:c r="B95" s="10"/>
      <x:c r="C95" s="10"/>
      <x:c r="D95" s="13" t="str">
        <x:f>IF(C95="","",_xlfn.IFNA(INDEX('Күнлик реже'!$D$8:$D$390,MATCH(C95,'Күнлик реже'!$A$8:$A$390,0)),"Код қәте"))</x:f>
      </x:c>
      <x:c r="E95" s="2" t="str">
        <x:f>IF(B95="","",_xlfn.IFNA(INDEX('Клиентлер'!$E$8:$E$31,MATCH(B95,'Клиентлер'!$A$8:$A$31,0)),"Код қәте"))</x:f>
      </x:c>
      <x:c r="F95" s="11"/>
      <x:c r="G95" s="11"/>
      <x:c r="H95" s="11"/>
      <x:c r="I95" s="11"/>
      <x:c r="J95" s="11"/>
      <x:c r="K95" s="10"/>
      <x:c r="L95" s="2" t="n">
        <x:f>IF(COUNTA(A95:C95,F95:K95)=0,0,IF(AND(COUNT(A95:C95)=3,COUNT(F95:J95)=5),0,1))</x:f>
        <x:v>0</x:v>
      </x:c>
      <x:c r="M95" s="2" t="n">
        <x:f>IF(COUNTA(A95:C95,F95:K95)=0,0,IF(OR(H95&gt;F95,I95&gt;G95,D95="Код қәте",E95="Код қәте"),1,0))</x:f>
        <x:v>0</x:v>
      </x:c>
      <x:c r="N95" s="2" t="str">
        <x:f>IF(B95="","",_xlfn.IFNA(INDEX('Клиентлер'!$B$8:$B$31,MATCH(B95,'Клиентлер'!$A$8:$A$31,0)),"Код қәте"))</x:f>
      </x:c>
    </x:row>
    <x:row r="96" ht="40" customHeight="1">
      <x:c r="A96" s="12"/>
      <x:c r="B96" s="10"/>
      <x:c r="C96" s="10"/>
      <x:c r="D96" s="13" t="str">
        <x:f>IF(C96="","",_xlfn.IFNA(INDEX('Күнлик реже'!$D$8:$D$390,MATCH(C96,'Күнлик реже'!$A$8:$A$390,0)),"Код қәте"))</x:f>
      </x:c>
      <x:c r="E96" s="2" t="str">
        <x:f>IF(B96="","",_xlfn.IFNA(INDEX('Клиентлер'!$E$8:$E$31,MATCH(B96,'Клиентлер'!$A$8:$A$31,0)),"Код қәте"))</x:f>
      </x:c>
      <x:c r="F96" s="11"/>
      <x:c r="G96" s="11"/>
      <x:c r="H96" s="11"/>
      <x:c r="I96" s="11"/>
      <x:c r="J96" s="11"/>
      <x:c r="K96" s="10"/>
      <x:c r="L96" s="2" t="n">
        <x:f>IF(COUNTA(A96:C96,F96:K96)=0,0,IF(AND(COUNT(A96:C96)=3,COUNT(F96:J96)=5),0,1))</x:f>
        <x:v>0</x:v>
      </x:c>
      <x:c r="M96" s="2" t="n">
        <x:f>IF(COUNTA(A96:C96,F96:K96)=0,0,IF(OR(H96&gt;F96,I96&gt;G96,D96="Код қәте",E96="Код қәте"),1,0))</x:f>
        <x:v>0</x:v>
      </x:c>
      <x:c r="N96" s="2" t="str">
        <x:f>IF(B96="","",_xlfn.IFNA(INDEX('Клиентлер'!$B$8:$B$31,MATCH(B96,'Клиентлер'!$A$8:$A$31,0)),"Код қәте"))</x:f>
      </x:c>
    </x:row>
    <x:row r="97" ht="40" customHeight="1">
      <x:c r="A97" s="12"/>
      <x:c r="B97" s="10"/>
      <x:c r="C97" s="10"/>
      <x:c r="D97" s="13" t="str">
        <x:f>IF(C97="","",_xlfn.IFNA(INDEX('Күнлик реже'!$D$8:$D$390,MATCH(C97,'Күнлик реже'!$A$8:$A$390,0)),"Код қәте"))</x:f>
      </x:c>
      <x:c r="E97" s="2" t="str">
        <x:f>IF(B97="","",_xlfn.IFNA(INDEX('Клиентлер'!$E$8:$E$31,MATCH(B97,'Клиентлер'!$A$8:$A$31,0)),"Код қәте"))</x:f>
      </x:c>
      <x:c r="F97" s="11"/>
      <x:c r="G97" s="11"/>
      <x:c r="H97" s="11"/>
      <x:c r="I97" s="11"/>
      <x:c r="J97" s="11"/>
      <x:c r="K97" s="10"/>
      <x:c r="L97" s="2" t="n">
        <x:f>IF(COUNTA(A97:C97,F97:K97)=0,0,IF(AND(COUNT(A97:C97)=3,COUNT(F97:J97)=5),0,1))</x:f>
        <x:v>0</x:v>
      </x:c>
      <x:c r="M97" s="2" t="n">
        <x:f>IF(COUNTA(A97:C97,F97:K97)=0,0,IF(OR(H97&gt;F97,I97&gt;G97,D97="Код қәте",E97="Код қәте"),1,0))</x:f>
        <x:v>0</x:v>
      </x:c>
      <x:c r="N97" s="2" t="str">
        <x:f>IF(B97="","",_xlfn.IFNA(INDEX('Клиентлер'!$B$8:$B$31,MATCH(B97,'Клиентлер'!$A$8:$A$31,0)),"Код қәте"))</x:f>
      </x:c>
    </x:row>
    <x:row r="98" ht="40" customHeight="1">
      <x:c r="A98" s="12"/>
      <x:c r="B98" s="10"/>
      <x:c r="C98" s="10"/>
      <x:c r="D98" s="13" t="str">
        <x:f>IF(C98="","",_xlfn.IFNA(INDEX('Күнлик реже'!$D$8:$D$390,MATCH(C98,'Күнлик реже'!$A$8:$A$390,0)),"Код қәте"))</x:f>
      </x:c>
      <x:c r="E98" s="2" t="str">
        <x:f>IF(B98="","",_xlfn.IFNA(INDEX('Клиентлер'!$E$8:$E$31,MATCH(B98,'Клиентлер'!$A$8:$A$31,0)),"Код қәте"))</x:f>
      </x:c>
      <x:c r="F98" s="11"/>
      <x:c r="G98" s="11"/>
      <x:c r="H98" s="11"/>
      <x:c r="I98" s="11"/>
      <x:c r="J98" s="11"/>
      <x:c r="K98" s="10"/>
      <x:c r="L98" s="2" t="n">
        <x:f>IF(COUNTA(A98:C98,F98:K98)=0,0,IF(AND(COUNT(A98:C98)=3,COUNT(F98:J98)=5),0,1))</x:f>
        <x:v>0</x:v>
      </x:c>
      <x:c r="M98" s="2" t="n">
        <x:f>IF(COUNTA(A98:C98,F98:K98)=0,0,IF(OR(H98&gt;F98,I98&gt;G98,D98="Код қәте",E98="Код қәте"),1,0))</x:f>
        <x:v>0</x:v>
      </x:c>
      <x:c r="N98" s="2" t="str">
        <x:f>IF(B98="","",_xlfn.IFNA(INDEX('Клиентлер'!$B$8:$B$31,MATCH(B98,'Клиентлер'!$A$8:$A$31,0)),"Код қәте"))</x:f>
      </x:c>
    </x:row>
    <x:row r="99" ht="40" customHeight="1">
      <x:c r="A99" s="12"/>
      <x:c r="B99" s="10"/>
      <x:c r="C99" s="10"/>
      <x:c r="D99" s="13" t="str">
        <x:f>IF(C99="","",_xlfn.IFNA(INDEX('Күнлик реже'!$D$8:$D$390,MATCH(C99,'Күнлик реже'!$A$8:$A$390,0)),"Код қәте"))</x:f>
      </x:c>
      <x:c r="E99" s="2" t="str">
        <x:f>IF(B99="","",_xlfn.IFNA(INDEX('Клиентлер'!$E$8:$E$31,MATCH(B99,'Клиентлер'!$A$8:$A$31,0)),"Код қәте"))</x:f>
      </x:c>
      <x:c r="F99" s="11"/>
      <x:c r="G99" s="11"/>
      <x:c r="H99" s="11"/>
      <x:c r="I99" s="11"/>
      <x:c r="J99" s="11"/>
      <x:c r="K99" s="10"/>
      <x:c r="L99" s="2" t="n">
        <x:f>IF(COUNTA(A99:C99,F99:K99)=0,0,IF(AND(COUNT(A99:C99)=3,COUNT(F99:J99)=5),0,1))</x:f>
        <x:v>0</x:v>
      </x:c>
      <x:c r="M99" s="2" t="n">
        <x:f>IF(COUNTA(A99:C99,F99:K99)=0,0,IF(OR(H99&gt;F99,I99&gt;G99,D99="Код қәте",E99="Код қәте"),1,0))</x:f>
        <x:v>0</x:v>
      </x:c>
      <x:c r="N99" s="2" t="str">
        <x:f>IF(B99="","",_xlfn.IFNA(INDEX('Клиентлер'!$B$8:$B$31,MATCH(B99,'Клиентлер'!$A$8:$A$31,0)),"Код қәте"))</x:f>
      </x:c>
    </x:row>
    <x:row r="100" ht="40" customHeight="1">
      <x:c r="A100" s="12"/>
      <x:c r="B100" s="10"/>
      <x:c r="C100" s="10"/>
      <x:c r="D100" s="13" t="str">
        <x:f>IF(C100="","",_xlfn.IFNA(INDEX('Күнлик реже'!$D$8:$D$390,MATCH(C100,'Күнлик реже'!$A$8:$A$390,0)),"Код қәте"))</x:f>
      </x:c>
      <x:c r="E100" s="2" t="str">
        <x:f>IF(B100="","",_xlfn.IFNA(INDEX('Клиентлер'!$E$8:$E$31,MATCH(B100,'Клиентлер'!$A$8:$A$31,0)),"Код қәте"))</x:f>
      </x:c>
      <x:c r="F100" s="11"/>
      <x:c r="G100" s="11"/>
      <x:c r="H100" s="11"/>
      <x:c r="I100" s="11"/>
      <x:c r="J100" s="11"/>
      <x:c r="K100" s="10"/>
      <x:c r="L100" s="2" t="n">
        <x:f>IF(COUNTA(A100:C100,F100:K100)=0,0,IF(AND(COUNT(A100:C100)=3,COUNT(F100:J100)=5),0,1))</x:f>
        <x:v>0</x:v>
      </x:c>
      <x:c r="M100" s="2" t="n">
        <x:f>IF(COUNTA(A100:C100,F100:K100)=0,0,IF(OR(H100&gt;F100,I100&gt;G100,D100="Код қәте",E100="Код қәте"),1,0))</x:f>
        <x:v>0</x:v>
      </x:c>
      <x:c r="N100" s="2" t="str">
        <x:f>IF(B100="","",_xlfn.IFNA(INDEX('Клиентлер'!$B$8:$B$31,MATCH(B100,'Клиентлер'!$A$8:$A$31,0)),"Код қәте"))</x:f>
      </x:c>
    </x:row>
    <x:row r="101" ht="40" customHeight="1">
      <x:c r="A101" s="12"/>
      <x:c r="B101" s="10"/>
      <x:c r="C101" s="10"/>
      <x:c r="D101" s="13" t="str">
        <x:f>IF(C101="","",_xlfn.IFNA(INDEX('Күнлик реже'!$D$8:$D$390,MATCH(C101,'Күнлик реже'!$A$8:$A$390,0)),"Код қәте"))</x:f>
      </x:c>
      <x:c r="E101" s="2" t="str">
        <x:f>IF(B101="","",_xlfn.IFNA(INDEX('Клиентлер'!$E$8:$E$31,MATCH(B101,'Клиентлер'!$A$8:$A$31,0)),"Код қәте"))</x:f>
      </x:c>
      <x:c r="F101" s="11"/>
      <x:c r="G101" s="11"/>
      <x:c r="H101" s="11"/>
      <x:c r="I101" s="11"/>
      <x:c r="J101" s="11"/>
      <x:c r="K101" s="10"/>
      <x:c r="L101" s="2" t="n">
        <x:f>IF(COUNTA(A101:C101,F101:K101)=0,0,IF(AND(COUNT(A101:C101)=3,COUNT(F101:J101)=5),0,1))</x:f>
        <x:v>0</x:v>
      </x:c>
      <x:c r="M101" s="2" t="n">
        <x:f>IF(COUNTA(A101:C101,F101:K101)=0,0,IF(OR(H101&gt;F101,I101&gt;G101,D101="Код қәте",E101="Код қәте"),1,0))</x:f>
        <x:v>0</x:v>
      </x:c>
      <x:c r="N101" s="2" t="str">
        <x:f>IF(B101="","",_xlfn.IFNA(INDEX('Клиентлер'!$B$8:$B$31,MATCH(B101,'Клиентлер'!$A$8:$A$31,0)),"Код қәте"))</x:f>
      </x:c>
    </x:row>
    <x:row r="102" ht="40" customHeight="1">
      <x:c r="A102" s="12"/>
      <x:c r="B102" s="10"/>
      <x:c r="C102" s="10"/>
      <x:c r="D102" s="13" t="str">
        <x:f>IF(C102="","",_xlfn.IFNA(INDEX('Күнлик реже'!$D$8:$D$390,MATCH(C102,'Күнлик реже'!$A$8:$A$390,0)),"Код қәте"))</x:f>
      </x:c>
      <x:c r="E102" s="2" t="str">
        <x:f>IF(B102="","",_xlfn.IFNA(INDEX('Клиентлер'!$E$8:$E$31,MATCH(B102,'Клиентлер'!$A$8:$A$31,0)),"Код қәте"))</x:f>
      </x:c>
      <x:c r="F102" s="11"/>
      <x:c r="G102" s="11"/>
      <x:c r="H102" s="11"/>
      <x:c r="I102" s="11"/>
      <x:c r="J102" s="11"/>
      <x:c r="K102" s="10"/>
      <x:c r="L102" s="2" t="n">
        <x:f>IF(COUNTA(A102:C102,F102:K102)=0,0,IF(AND(COUNT(A102:C102)=3,COUNT(F102:J102)=5),0,1))</x:f>
        <x:v>0</x:v>
      </x:c>
      <x:c r="M102" s="2" t="n">
        <x:f>IF(COUNTA(A102:C102,F102:K102)=0,0,IF(OR(H102&gt;F102,I102&gt;G102,D102="Код қәте",E102="Код қәте"),1,0))</x:f>
        <x:v>0</x:v>
      </x:c>
      <x:c r="N102" s="2" t="str">
        <x:f>IF(B102="","",_xlfn.IFNA(INDEX('Клиентлер'!$B$8:$B$31,MATCH(B102,'Клиентлер'!$A$8:$A$31,0)),"Код қәте"))</x:f>
      </x:c>
    </x:row>
    <x:row r="103" ht="40" customHeight="1">
      <x:c r="A103" s="12"/>
      <x:c r="B103" s="10"/>
      <x:c r="C103" s="10"/>
      <x:c r="D103" s="13" t="str">
        <x:f>IF(C103="","",_xlfn.IFNA(INDEX('Күнлик реже'!$D$8:$D$390,MATCH(C103,'Күнлик реже'!$A$8:$A$390,0)),"Код қәте"))</x:f>
      </x:c>
      <x:c r="E103" s="2" t="str">
        <x:f>IF(B103="","",_xlfn.IFNA(INDEX('Клиентлер'!$E$8:$E$31,MATCH(B103,'Клиентлер'!$A$8:$A$31,0)),"Код қәте"))</x:f>
      </x:c>
      <x:c r="F103" s="11"/>
      <x:c r="G103" s="11"/>
      <x:c r="H103" s="11"/>
      <x:c r="I103" s="11"/>
      <x:c r="J103" s="11"/>
      <x:c r="K103" s="10"/>
      <x:c r="L103" s="2" t="n">
        <x:f>IF(COUNTA(A103:C103,F103:K103)=0,0,IF(AND(COUNT(A103:C103)=3,COUNT(F103:J103)=5),0,1))</x:f>
        <x:v>0</x:v>
      </x:c>
      <x:c r="M103" s="2" t="n">
        <x:f>IF(COUNTA(A103:C103,F103:K103)=0,0,IF(OR(H103&gt;F103,I103&gt;G103,D103="Код қәте",E103="Код қәте"),1,0))</x:f>
        <x:v>0</x:v>
      </x:c>
      <x:c r="N103" s="2" t="str">
        <x:f>IF(B103="","",_xlfn.IFNA(INDEX('Клиентлер'!$B$8:$B$31,MATCH(B103,'Клиентлер'!$A$8:$A$31,0)),"Код қәте"))</x:f>
      </x:c>
    </x:row>
    <x:row r="104" ht="40" customHeight="1">
      <x:c r="A104" s="12"/>
      <x:c r="B104" s="10"/>
      <x:c r="C104" s="10"/>
      <x:c r="D104" s="13" t="str">
        <x:f>IF(C104="","",_xlfn.IFNA(INDEX('Күнлик реже'!$D$8:$D$390,MATCH(C104,'Күнлик реже'!$A$8:$A$390,0)),"Код қәте"))</x:f>
      </x:c>
      <x:c r="E104" s="2" t="str">
        <x:f>IF(B104="","",_xlfn.IFNA(INDEX('Клиентлер'!$E$8:$E$31,MATCH(B104,'Клиентлер'!$A$8:$A$31,0)),"Код қәте"))</x:f>
      </x:c>
      <x:c r="F104" s="11"/>
      <x:c r="G104" s="11"/>
      <x:c r="H104" s="11"/>
      <x:c r="I104" s="11"/>
      <x:c r="J104" s="11"/>
      <x:c r="K104" s="10"/>
      <x:c r="L104" s="2" t="n">
        <x:f>IF(COUNTA(A104:C104,F104:K104)=0,0,IF(AND(COUNT(A104:C104)=3,COUNT(F104:J104)=5),0,1))</x:f>
        <x:v>0</x:v>
      </x:c>
      <x:c r="M104" s="2" t="n">
        <x:f>IF(COUNTA(A104:C104,F104:K104)=0,0,IF(OR(H104&gt;F104,I104&gt;G104,D104="Код қәте",E104="Код қәте"),1,0))</x:f>
        <x:v>0</x:v>
      </x:c>
      <x:c r="N104" s="2" t="str">
        <x:f>IF(B104="","",_xlfn.IFNA(INDEX('Клиентлер'!$B$8:$B$31,MATCH(B104,'Клиентлер'!$A$8:$A$31,0)),"Код қәте"))</x:f>
      </x:c>
    </x:row>
    <x:row r="105" ht="40" customHeight="1">
      <x:c r="A105" s="12"/>
      <x:c r="B105" s="10"/>
      <x:c r="C105" s="10"/>
      <x:c r="D105" s="13" t="str">
        <x:f>IF(C105="","",_xlfn.IFNA(INDEX('Күнлик реже'!$D$8:$D$390,MATCH(C105,'Күнлик реже'!$A$8:$A$390,0)),"Код қәте"))</x:f>
      </x:c>
      <x:c r="E105" s="2" t="str">
        <x:f>IF(B105="","",_xlfn.IFNA(INDEX('Клиентлер'!$E$8:$E$31,MATCH(B105,'Клиентлер'!$A$8:$A$31,0)),"Код қәте"))</x:f>
      </x:c>
      <x:c r="F105" s="11"/>
      <x:c r="G105" s="11"/>
      <x:c r="H105" s="11"/>
      <x:c r="I105" s="11"/>
      <x:c r="J105" s="11"/>
      <x:c r="K105" s="10"/>
      <x:c r="L105" s="2" t="n">
        <x:f>IF(COUNTA(A105:C105,F105:K105)=0,0,IF(AND(COUNT(A105:C105)=3,COUNT(F105:J105)=5),0,1))</x:f>
        <x:v>0</x:v>
      </x:c>
      <x:c r="M105" s="2" t="n">
        <x:f>IF(COUNTA(A105:C105,F105:K105)=0,0,IF(OR(H105&gt;F105,I105&gt;G105,D105="Код қәте",E105="Код қәте"),1,0))</x:f>
        <x:v>0</x:v>
      </x:c>
      <x:c r="N105" s="2" t="str">
        <x:f>IF(B105="","",_xlfn.IFNA(INDEX('Клиентлер'!$B$8:$B$31,MATCH(B105,'Клиентлер'!$A$8:$A$31,0)),"Код қәте"))</x:f>
      </x:c>
    </x:row>
    <x:row r="106" ht="40" customHeight="1">
      <x:c r="A106" s="12"/>
      <x:c r="B106" s="10"/>
      <x:c r="C106" s="10"/>
      <x:c r="D106" s="13" t="str">
        <x:f>IF(C106="","",_xlfn.IFNA(INDEX('Күнлик реже'!$D$8:$D$390,MATCH(C106,'Күнлик реже'!$A$8:$A$390,0)),"Код қәте"))</x:f>
      </x:c>
      <x:c r="E106" s="2" t="str">
        <x:f>IF(B106="","",_xlfn.IFNA(INDEX('Клиентлер'!$E$8:$E$31,MATCH(B106,'Клиентлер'!$A$8:$A$31,0)),"Код қәте"))</x:f>
      </x:c>
      <x:c r="F106" s="11"/>
      <x:c r="G106" s="11"/>
      <x:c r="H106" s="11"/>
      <x:c r="I106" s="11"/>
      <x:c r="J106" s="11"/>
      <x:c r="K106" s="10"/>
      <x:c r="L106" s="2" t="n">
        <x:f>IF(COUNTA(A106:C106,F106:K106)=0,0,IF(AND(COUNT(A106:C106)=3,COUNT(F106:J106)=5),0,1))</x:f>
        <x:v>0</x:v>
      </x:c>
      <x:c r="M106" s="2" t="n">
        <x:f>IF(COUNTA(A106:C106,F106:K106)=0,0,IF(OR(H106&gt;F106,I106&gt;G106,D106="Код қәте",E106="Код қәте"),1,0))</x:f>
        <x:v>0</x:v>
      </x:c>
      <x:c r="N106" s="2" t="str">
        <x:f>IF(B106="","",_xlfn.IFNA(INDEX('Клиентлер'!$B$8:$B$31,MATCH(B106,'Клиентлер'!$A$8:$A$31,0)),"Код қәте"))</x:f>
      </x:c>
    </x:row>
    <x:row r="107" ht="40" customHeight="1">
      <x:c r="A107" s="12"/>
      <x:c r="B107" s="10"/>
      <x:c r="C107" s="10"/>
      <x:c r="D107" s="13" t="str">
        <x:f>IF(C107="","",_xlfn.IFNA(INDEX('Күнлик реже'!$D$8:$D$390,MATCH(C107,'Күнлик реже'!$A$8:$A$390,0)),"Код қәте"))</x:f>
      </x:c>
      <x:c r="E107" s="2" t="str">
        <x:f>IF(B107="","",_xlfn.IFNA(INDEX('Клиентлер'!$E$8:$E$31,MATCH(B107,'Клиентлер'!$A$8:$A$31,0)),"Код қәте"))</x:f>
      </x:c>
      <x:c r="F107" s="11"/>
      <x:c r="G107" s="11"/>
      <x:c r="H107" s="11"/>
      <x:c r="I107" s="11"/>
      <x:c r="J107" s="11"/>
      <x:c r="K107" s="10"/>
      <x:c r="L107" s="2" t="n">
        <x:f>IF(COUNTA(A107:C107,F107:K107)=0,0,IF(AND(COUNT(A107:C107)=3,COUNT(F107:J107)=5),0,1))</x:f>
        <x:v>0</x:v>
      </x:c>
      <x:c r="M107" s="2" t="n">
        <x:f>IF(COUNTA(A107:C107,F107:K107)=0,0,IF(OR(H107&gt;F107,I107&gt;G107,D107="Код қәте",E107="Код қәте"),1,0))</x:f>
        <x:v>0</x:v>
      </x:c>
      <x:c r="N107" s="2" t="str">
        <x:f>IF(B107="","",_xlfn.IFNA(INDEX('Клиентлер'!$B$8:$B$31,MATCH(B107,'Клиентлер'!$A$8:$A$31,0)),"Код қәте"))</x:f>
      </x:c>
    </x:row>
    <x:row r="108" ht="40" customHeight="1">
      <x:c r="A108" s="12"/>
      <x:c r="B108" s="10"/>
      <x:c r="C108" s="10"/>
      <x:c r="D108" s="13" t="str">
        <x:f>IF(C108="","",_xlfn.IFNA(INDEX('Күнлик реже'!$D$8:$D$390,MATCH(C108,'Күнлик реже'!$A$8:$A$390,0)),"Код қәте"))</x:f>
      </x:c>
      <x:c r="E108" s="2" t="str">
        <x:f>IF(B108="","",_xlfn.IFNA(INDEX('Клиентлер'!$E$8:$E$31,MATCH(B108,'Клиентлер'!$A$8:$A$31,0)),"Код қәте"))</x:f>
      </x:c>
      <x:c r="F108" s="11"/>
      <x:c r="G108" s="11"/>
      <x:c r="H108" s="11"/>
      <x:c r="I108" s="11"/>
      <x:c r="J108" s="11"/>
      <x:c r="K108" s="10"/>
      <x:c r="L108" s="2" t="n">
        <x:f>IF(COUNTA(A108:C108,F108:K108)=0,0,IF(AND(COUNT(A108:C108)=3,COUNT(F108:J108)=5),0,1))</x:f>
        <x:v>0</x:v>
      </x:c>
      <x:c r="M108" s="2" t="n">
        <x:f>IF(COUNTA(A108:C108,F108:K108)=0,0,IF(OR(H108&gt;F108,I108&gt;G108,D108="Код қәте",E108="Код қәте"),1,0))</x:f>
        <x:v>0</x:v>
      </x:c>
      <x:c r="N108" s="2" t="str">
        <x:f>IF(B108="","",_xlfn.IFNA(INDEX('Клиентлер'!$B$8:$B$31,MATCH(B108,'Клиентлер'!$A$8:$A$31,0)),"Код қәте"))</x:f>
      </x:c>
    </x:row>
    <x:row r="109" ht="40" customHeight="1">
      <x:c r="A109" s="12"/>
      <x:c r="B109" s="10"/>
      <x:c r="C109" s="10"/>
      <x:c r="D109" s="13" t="str">
        <x:f>IF(C109="","",_xlfn.IFNA(INDEX('Күнлик реже'!$D$8:$D$390,MATCH(C109,'Күнлик реже'!$A$8:$A$390,0)),"Код қәте"))</x:f>
      </x:c>
      <x:c r="E109" s="2" t="str">
        <x:f>IF(B109="","",_xlfn.IFNA(INDEX('Клиентлер'!$E$8:$E$31,MATCH(B109,'Клиентлер'!$A$8:$A$31,0)),"Код қәте"))</x:f>
      </x:c>
      <x:c r="F109" s="11"/>
      <x:c r="G109" s="11"/>
      <x:c r="H109" s="11"/>
      <x:c r="I109" s="11"/>
      <x:c r="J109" s="11"/>
      <x:c r="K109" s="10"/>
      <x:c r="L109" s="2" t="n">
        <x:f>IF(COUNTA(A109:C109,F109:K109)=0,0,IF(AND(COUNT(A109:C109)=3,COUNT(F109:J109)=5),0,1))</x:f>
        <x:v>0</x:v>
      </x:c>
      <x:c r="M109" s="2" t="n">
        <x:f>IF(COUNTA(A109:C109,F109:K109)=0,0,IF(OR(H109&gt;F109,I109&gt;G109,D109="Код қәте",E109="Код қәте"),1,0))</x:f>
        <x:v>0</x:v>
      </x:c>
      <x:c r="N109" s="2" t="str">
        <x:f>IF(B109="","",_xlfn.IFNA(INDEX('Клиентлер'!$B$8:$B$31,MATCH(B109,'Клиентлер'!$A$8:$A$31,0)),"Код қәте"))</x:f>
      </x:c>
    </x:row>
    <x:row r="110" ht="40" customHeight="1">
      <x:c r="A110" s="12"/>
      <x:c r="B110" s="10"/>
      <x:c r="C110" s="10"/>
      <x:c r="D110" s="13" t="str">
        <x:f>IF(C110="","",_xlfn.IFNA(INDEX('Күнлик реже'!$D$8:$D$390,MATCH(C110,'Күнлик реже'!$A$8:$A$390,0)),"Код қәте"))</x:f>
      </x:c>
      <x:c r="E110" s="2" t="str">
        <x:f>IF(B110="","",_xlfn.IFNA(INDEX('Клиентлер'!$E$8:$E$31,MATCH(B110,'Клиентлер'!$A$8:$A$31,0)),"Код қәте"))</x:f>
      </x:c>
      <x:c r="F110" s="11"/>
      <x:c r="G110" s="11"/>
      <x:c r="H110" s="11"/>
      <x:c r="I110" s="11"/>
      <x:c r="J110" s="11"/>
      <x:c r="K110" s="10"/>
      <x:c r="L110" s="2" t="n">
        <x:f>IF(COUNTA(A110:C110,F110:K110)=0,0,IF(AND(COUNT(A110:C110)=3,COUNT(F110:J110)=5),0,1))</x:f>
        <x:v>0</x:v>
      </x:c>
      <x:c r="M110" s="2" t="n">
        <x:f>IF(COUNTA(A110:C110,F110:K110)=0,0,IF(OR(H110&gt;F110,I110&gt;G110,D110="Код қәте",E110="Код қәте"),1,0))</x:f>
        <x:v>0</x:v>
      </x:c>
      <x:c r="N110" s="2" t="str">
        <x:f>IF(B110="","",_xlfn.IFNA(INDEX('Клиентлер'!$B$8:$B$31,MATCH(B110,'Клиентлер'!$A$8:$A$31,0)),"Код қәте"))</x:f>
      </x:c>
    </x:row>
    <x:row r="111" ht="40" customHeight="1">
      <x:c r="A111" s="12"/>
      <x:c r="B111" s="10"/>
      <x:c r="C111" s="10"/>
      <x:c r="D111" s="13" t="str">
        <x:f>IF(C111="","",_xlfn.IFNA(INDEX('Күнлик реже'!$D$8:$D$390,MATCH(C111,'Күнлик реже'!$A$8:$A$390,0)),"Код қәте"))</x:f>
      </x:c>
      <x:c r="E111" s="2" t="str">
        <x:f>IF(B111="","",_xlfn.IFNA(INDEX('Клиентлер'!$E$8:$E$31,MATCH(B111,'Клиентлер'!$A$8:$A$31,0)),"Код қәте"))</x:f>
      </x:c>
      <x:c r="F111" s="11"/>
      <x:c r="G111" s="11"/>
      <x:c r="H111" s="11"/>
      <x:c r="I111" s="11"/>
      <x:c r="J111" s="11"/>
      <x:c r="K111" s="10"/>
      <x:c r="L111" s="2" t="n">
        <x:f>IF(COUNTA(A111:C111,F111:K111)=0,0,IF(AND(COUNT(A111:C111)=3,COUNT(F111:J111)=5),0,1))</x:f>
        <x:v>0</x:v>
      </x:c>
      <x:c r="M111" s="2" t="n">
        <x:f>IF(COUNTA(A111:C111,F111:K111)=0,0,IF(OR(H111&gt;F111,I111&gt;G111,D111="Код қәте",E111="Код қәте"),1,0))</x:f>
        <x:v>0</x:v>
      </x:c>
      <x:c r="N111" s="2" t="str">
        <x:f>IF(B111="","",_xlfn.IFNA(INDEX('Клиентлер'!$B$8:$B$31,MATCH(B111,'Клиентлер'!$A$8:$A$31,0)),"Код қәте"))</x:f>
      </x:c>
    </x:row>
    <x:row r="112" ht="40" customHeight="1">
      <x:c r="A112" s="12"/>
      <x:c r="B112" s="10"/>
      <x:c r="C112" s="10"/>
      <x:c r="D112" s="13" t="str">
        <x:f>IF(C112="","",_xlfn.IFNA(INDEX('Күнлик реже'!$D$8:$D$390,MATCH(C112,'Күнлик реже'!$A$8:$A$390,0)),"Код қәте"))</x:f>
      </x:c>
      <x:c r="E112" s="2" t="str">
        <x:f>IF(B112="","",_xlfn.IFNA(INDEX('Клиентлер'!$E$8:$E$31,MATCH(B112,'Клиентлер'!$A$8:$A$31,0)),"Код қәте"))</x:f>
      </x:c>
      <x:c r="F112" s="11"/>
      <x:c r="G112" s="11"/>
      <x:c r="H112" s="11"/>
      <x:c r="I112" s="11"/>
      <x:c r="J112" s="11"/>
      <x:c r="K112" s="10"/>
      <x:c r="L112" s="2" t="n">
        <x:f>IF(COUNTA(A112:C112,F112:K112)=0,0,IF(AND(COUNT(A112:C112)=3,COUNT(F112:J112)=5),0,1))</x:f>
        <x:v>0</x:v>
      </x:c>
      <x:c r="M112" s="2" t="n">
        <x:f>IF(COUNTA(A112:C112,F112:K112)=0,0,IF(OR(H112&gt;F112,I112&gt;G112,D112="Код қәте",E112="Код қәте"),1,0))</x:f>
        <x:v>0</x:v>
      </x:c>
      <x:c r="N112" s="2" t="str">
        <x:f>IF(B112="","",_xlfn.IFNA(INDEX('Клиентлер'!$B$8:$B$31,MATCH(B112,'Клиентлер'!$A$8:$A$31,0)),"Код қәте"))</x:f>
      </x:c>
    </x:row>
    <x:row r="113" ht="40" customHeight="1">
      <x:c r="A113" s="12"/>
      <x:c r="B113" s="10"/>
      <x:c r="C113" s="10"/>
      <x:c r="D113" s="13" t="str">
        <x:f>IF(C113="","",_xlfn.IFNA(INDEX('Күнлик реже'!$D$8:$D$390,MATCH(C113,'Күнлик реже'!$A$8:$A$390,0)),"Код қәте"))</x:f>
      </x:c>
      <x:c r="E113" s="2" t="str">
        <x:f>IF(B113="","",_xlfn.IFNA(INDEX('Клиентлер'!$E$8:$E$31,MATCH(B113,'Клиентлер'!$A$8:$A$31,0)),"Код қәте"))</x:f>
      </x:c>
      <x:c r="F113" s="11"/>
      <x:c r="G113" s="11"/>
      <x:c r="H113" s="11"/>
      <x:c r="I113" s="11"/>
      <x:c r="J113" s="11"/>
      <x:c r="K113" s="10"/>
      <x:c r="L113" s="2" t="n">
        <x:f>IF(COUNTA(A113:C113,F113:K113)=0,0,IF(AND(COUNT(A113:C113)=3,COUNT(F113:J113)=5),0,1))</x:f>
        <x:v>0</x:v>
      </x:c>
      <x:c r="M113" s="2" t="n">
        <x:f>IF(COUNTA(A113:C113,F113:K113)=0,0,IF(OR(H113&gt;F113,I113&gt;G113,D113="Код қәте",E113="Код қәте"),1,0))</x:f>
        <x:v>0</x:v>
      </x:c>
      <x:c r="N113" s="2" t="str">
        <x:f>IF(B113="","",_xlfn.IFNA(INDEX('Клиентлер'!$B$8:$B$31,MATCH(B113,'Клиентлер'!$A$8:$A$31,0)),"Код қәте"))</x:f>
      </x:c>
    </x:row>
    <x:row r="114" ht="40" customHeight="1">
      <x:c r="A114" s="12"/>
      <x:c r="B114" s="10"/>
      <x:c r="C114" s="10"/>
      <x:c r="D114" s="13" t="str">
        <x:f>IF(C114="","",_xlfn.IFNA(INDEX('Күнлик реже'!$D$8:$D$390,MATCH(C114,'Күнлик реже'!$A$8:$A$390,0)),"Код қәте"))</x:f>
      </x:c>
      <x:c r="E114" s="2" t="str">
        <x:f>IF(B114="","",_xlfn.IFNA(INDEX('Клиентлер'!$E$8:$E$31,MATCH(B114,'Клиентлер'!$A$8:$A$31,0)),"Код қәте"))</x:f>
      </x:c>
      <x:c r="F114" s="11"/>
      <x:c r="G114" s="11"/>
      <x:c r="H114" s="11"/>
      <x:c r="I114" s="11"/>
      <x:c r="J114" s="11"/>
      <x:c r="K114" s="10"/>
      <x:c r="L114" s="2" t="n">
        <x:f>IF(COUNTA(A114:C114,F114:K114)=0,0,IF(AND(COUNT(A114:C114)=3,COUNT(F114:J114)=5),0,1))</x:f>
        <x:v>0</x:v>
      </x:c>
      <x:c r="M114" s="2" t="n">
        <x:f>IF(COUNTA(A114:C114,F114:K114)=0,0,IF(OR(H114&gt;F114,I114&gt;G114,D114="Код қәте",E114="Код қәте"),1,0))</x:f>
        <x:v>0</x:v>
      </x:c>
      <x:c r="N114" s="2" t="str">
        <x:f>IF(B114="","",_xlfn.IFNA(INDEX('Клиентлер'!$B$8:$B$31,MATCH(B114,'Клиентлер'!$A$8:$A$31,0)),"Код қәте"))</x:f>
      </x:c>
    </x:row>
    <x:row r="115" ht="40" customHeight="1">
      <x:c r="A115" s="12"/>
      <x:c r="B115" s="10"/>
      <x:c r="C115" s="10"/>
      <x:c r="D115" s="13" t="str">
        <x:f>IF(C115="","",_xlfn.IFNA(INDEX('Күнлик реже'!$D$8:$D$390,MATCH(C115,'Күнлик реже'!$A$8:$A$390,0)),"Код қәте"))</x:f>
      </x:c>
      <x:c r="E115" s="2" t="str">
        <x:f>IF(B115="","",_xlfn.IFNA(INDEX('Клиентлер'!$E$8:$E$31,MATCH(B115,'Клиентлер'!$A$8:$A$31,0)),"Код қәте"))</x:f>
      </x:c>
      <x:c r="F115" s="11"/>
      <x:c r="G115" s="11"/>
      <x:c r="H115" s="11"/>
      <x:c r="I115" s="11"/>
      <x:c r="J115" s="11"/>
      <x:c r="K115" s="10"/>
      <x:c r="L115" s="2" t="n">
        <x:f>IF(COUNTA(A115:C115,F115:K115)=0,0,IF(AND(COUNT(A115:C115)=3,COUNT(F115:J115)=5),0,1))</x:f>
        <x:v>0</x:v>
      </x:c>
      <x:c r="M115" s="2" t="n">
        <x:f>IF(COUNTA(A115:C115,F115:K115)=0,0,IF(OR(H115&gt;F115,I115&gt;G115,D115="Код қәте",E115="Код қәте"),1,0))</x:f>
        <x:v>0</x:v>
      </x:c>
      <x:c r="N115" s="2" t="str">
        <x:f>IF(B115="","",_xlfn.IFNA(INDEX('Клиентлер'!$B$8:$B$31,MATCH(B115,'Клиентлер'!$A$8:$A$31,0)),"Код қәте"))</x:f>
      </x:c>
    </x:row>
    <x:row r="116" ht="40" customHeight="1">
      <x:c r="A116" s="12"/>
      <x:c r="B116" s="10"/>
      <x:c r="C116" s="10"/>
      <x:c r="D116" s="13" t="str">
        <x:f>IF(C116="","",_xlfn.IFNA(INDEX('Күнлик реже'!$D$8:$D$390,MATCH(C116,'Күнлик реже'!$A$8:$A$390,0)),"Код қәте"))</x:f>
      </x:c>
      <x:c r="E116" s="2" t="str">
        <x:f>IF(B116="","",_xlfn.IFNA(INDEX('Клиентлер'!$E$8:$E$31,MATCH(B116,'Клиентлер'!$A$8:$A$31,0)),"Код қәте"))</x:f>
      </x:c>
      <x:c r="F116" s="11"/>
      <x:c r="G116" s="11"/>
      <x:c r="H116" s="11"/>
      <x:c r="I116" s="11"/>
      <x:c r="J116" s="11"/>
      <x:c r="K116" s="10"/>
      <x:c r="L116" s="2" t="n">
        <x:f>IF(COUNTA(A116:C116,F116:K116)=0,0,IF(AND(COUNT(A116:C116)=3,COUNT(F116:J116)=5),0,1))</x:f>
        <x:v>0</x:v>
      </x:c>
      <x:c r="M116" s="2" t="n">
        <x:f>IF(COUNTA(A116:C116,F116:K116)=0,0,IF(OR(H116&gt;F116,I116&gt;G116,D116="Код қәте",E116="Код қәте"),1,0))</x:f>
        <x:v>0</x:v>
      </x:c>
      <x:c r="N116" s="2" t="str">
        <x:f>IF(B116="","",_xlfn.IFNA(INDEX('Клиентлер'!$B$8:$B$31,MATCH(B116,'Клиентлер'!$A$8:$A$31,0)),"Код қәте"))</x:f>
      </x:c>
    </x:row>
    <x:row r="117" ht="40" customHeight="1">
      <x:c r="A117" s="12"/>
      <x:c r="B117" s="10"/>
      <x:c r="C117" s="10"/>
      <x:c r="D117" s="13" t="str">
        <x:f>IF(C117="","",_xlfn.IFNA(INDEX('Күнлик реже'!$D$8:$D$390,MATCH(C117,'Күнлик реже'!$A$8:$A$390,0)),"Код қәте"))</x:f>
      </x:c>
      <x:c r="E117" s="2" t="str">
        <x:f>IF(B117="","",_xlfn.IFNA(INDEX('Клиентлер'!$E$8:$E$31,MATCH(B117,'Клиентлер'!$A$8:$A$31,0)),"Код қәте"))</x:f>
      </x:c>
      <x:c r="F117" s="11"/>
      <x:c r="G117" s="11"/>
      <x:c r="H117" s="11"/>
      <x:c r="I117" s="11"/>
      <x:c r="J117" s="11"/>
      <x:c r="K117" s="10"/>
      <x:c r="L117" s="2" t="n">
        <x:f>IF(COUNTA(A117:C117,F117:K117)=0,0,IF(AND(COUNT(A117:C117)=3,COUNT(F117:J117)=5),0,1))</x:f>
        <x:v>0</x:v>
      </x:c>
      <x:c r="M117" s="2" t="n">
        <x:f>IF(COUNTA(A117:C117,F117:K117)=0,0,IF(OR(H117&gt;F117,I117&gt;G117,D117="Код қәте",E117="Код қәте"),1,0))</x:f>
        <x:v>0</x:v>
      </x:c>
      <x:c r="N117" s="2" t="str">
        <x:f>IF(B117="","",_xlfn.IFNA(INDEX('Клиентлер'!$B$8:$B$31,MATCH(B117,'Клиентлер'!$A$8:$A$31,0)),"Код қәте"))</x:f>
      </x:c>
    </x:row>
    <x:row r="118" ht="40" customHeight="1">
      <x:c r="A118" s="12"/>
      <x:c r="B118" s="10"/>
      <x:c r="C118" s="10"/>
      <x:c r="D118" s="13" t="str">
        <x:f>IF(C118="","",_xlfn.IFNA(INDEX('Күнлик реже'!$D$8:$D$390,MATCH(C118,'Күнлик реже'!$A$8:$A$390,0)),"Код қәте"))</x:f>
      </x:c>
      <x:c r="E118" s="2" t="str">
        <x:f>IF(B118="","",_xlfn.IFNA(INDEX('Клиентлер'!$E$8:$E$31,MATCH(B118,'Клиентлер'!$A$8:$A$31,0)),"Код қәте"))</x:f>
      </x:c>
      <x:c r="F118" s="11"/>
      <x:c r="G118" s="11"/>
      <x:c r="H118" s="11"/>
      <x:c r="I118" s="11"/>
      <x:c r="J118" s="11"/>
      <x:c r="K118" s="10"/>
      <x:c r="L118" s="2" t="n">
        <x:f>IF(COUNTA(A118:C118,F118:K118)=0,0,IF(AND(COUNT(A118:C118)=3,COUNT(F118:J118)=5),0,1))</x:f>
        <x:v>0</x:v>
      </x:c>
      <x:c r="M118" s="2" t="n">
        <x:f>IF(COUNTA(A118:C118,F118:K118)=0,0,IF(OR(H118&gt;F118,I118&gt;G118,D118="Код қәте",E118="Код қәте"),1,0))</x:f>
        <x:v>0</x:v>
      </x:c>
      <x:c r="N118" s="2" t="str">
        <x:f>IF(B118="","",_xlfn.IFNA(INDEX('Клиентлер'!$B$8:$B$31,MATCH(B118,'Клиентлер'!$A$8:$A$31,0)),"Код қәте"))</x:f>
      </x:c>
    </x:row>
    <x:row r="119" ht="40" customHeight="1">
      <x:c r="A119" s="12"/>
      <x:c r="B119" s="10"/>
      <x:c r="C119" s="10"/>
      <x:c r="D119" s="13" t="str">
        <x:f>IF(C119="","",_xlfn.IFNA(INDEX('Күнлик реже'!$D$8:$D$390,MATCH(C119,'Күнлик реже'!$A$8:$A$390,0)),"Код қәте"))</x:f>
      </x:c>
      <x:c r="E119" s="2" t="str">
        <x:f>IF(B119="","",_xlfn.IFNA(INDEX('Клиентлер'!$E$8:$E$31,MATCH(B119,'Клиентлер'!$A$8:$A$31,0)),"Код қәте"))</x:f>
      </x:c>
      <x:c r="F119" s="11"/>
      <x:c r="G119" s="11"/>
      <x:c r="H119" s="11"/>
      <x:c r="I119" s="11"/>
      <x:c r="J119" s="11"/>
      <x:c r="K119" s="10"/>
      <x:c r="L119" s="2" t="n">
        <x:f>IF(COUNTA(A119:C119,F119:K119)=0,0,IF(AND(COUNT(A119:C119)=3,COUNT(F119:J119)=5),0,1))</x:f>
        <x:v>0</x:v>
      </x:c>
      <x:c r="M119" s="2" t="n">
        <x:f>IF(COUNTA(A119:C119,F119:K119)=0,0,IF(OR(H119&gt;F119,I119&gt;G119,D119="Код қәте",E119="Код қәте"),1,0))</x:f>
        <x:v>0</x:v>
      </x:c>
      <x:c r="N119" s="2" t="str">
        <x:f>IF(B119="","",_xlfn.IFNA(INDEX('Клиентлер'!$B$8:$B$31,MATCH(B119,'Клиентлер'!$A$8:$A$31,0)),"Код қәте"))</x:f>
      </x:c>
    </x:row>
    <x:row r="120" ht="40" customHeight="1">
      <x:c r="A120" s="12"/>
      <x:c r="B120" s="10"/>
      <x:c r="C120" s="10"/>
      <x:c r="D120" s="13" t="str">
        <x:f>IF(C120="","",_xlfn.IFNA(INDEX('Күнлик реже'!$D$8:$D$390,MATCH(C120,'Күнлик реже'!$A$8:$A$390,0)),"Код қәте"))</x:f>
      </x:c>
      <x:c r="E120" s="2" t="str">
        <x:f>IF(B120="","",_xlfn.IFNA(INDEX('Клиентлер'!$E$8:$E$31,MATCH(B120,'Клиентлер'!$A$8:$A$31,0)),"Код қәте"))</x:f>
      </x:c>
      <x:c r="F120" s="11"/>
      <x:c r="G120" s="11"/>
      <x:c r="H120" s="11"/>
      <x:c r="I120" s="11"/>
      <x:c r="J120" s="11"/>
      <x:c r="K120" s="10"/>
      <x:c r="L120" s="2" t="n">
        <x:f>IF(COUNTA(A120:C120,F120:K120)=0,0,IF(AND(COUNT(A120:C120)=3,COUNT(F120:J120)=5),0,1))</x:f>
        <x:v>0</x:v>
      </x:c>
      <x:c r="M120" s="2" t="n">
        <x:f>IF(COUNTA(A120:C120,F120:K120)=0,0,IF(OR(H120&gt;F120,I120&gt;G120,D120="Код қәте",E120="Код қәте"),1,0))</x:f>
        <x:v>0</x:v>
      </x:c>
      <x:c r="N120" s="2" t="str">
        <x:f>IF(B120="","",_xlfn.IFNA(INDEX('Клиентлер'!$B$8:$B$31,MATCH(B120,'Клиентлер'!$A$8:$A$31,0)),"Код қәте"))</x:f>
      </x:c>
    </x:row>
    <x:row r="121" ht="40" customHeight="1">
      <x:c r="A121" s="12"/>
      <x:c r="B121" s="10"/>
      <x:c r="C121" s="10"/>
      <x:c r="D121" s="13" t="str">
        <x:f>IF(C121="","",_xlfn.IFNA(INDEX('Күнлик реже'!$D$8:$D$390,MATCH(C121,'Күнлик реже'!$A$8:$A$390,0)),"Код қәте"))</x:f>
      </x:c>
      <x:c r="E121" s="2" t="str">
        <x:f>IF(B121="","",_xlfn.IFNA(INDEX('Клиентлер'!$E$8:$E$31,MATCH(B121,'Клиентлер'!$A$8:$A$31,0)),"Код қәте"))</x:f>
      </x:c>
      <x:c r="F121" s="11"/>
      <x:c r="G121" s="11"/>
      <x:c r="H121" s="11"/>
      <x:c r="I121" s="11"/>
      <x:c r="J121" s="11"/>
      <x:c r="K121" s="10"/>
      <x:c r="L121" s="2" t="n">
        <x:f>IF(COUNTA(A121:C121,F121:K121)=0,0,IF(AND(COUNT(A121:C121)=3,COUNT(F121:J121)=5),0,1))</x:f>
        <x:v>0</x:v>
      </x:c>
      <x:c r="M121" s="2" t="n">
        <x:f>IF(COUNTA(A121:C121,F121:K121)=0,0,IF(OR(H121&gt;F121,I121&gt;G121,D121="Код қәте",E121="Код қәте"),1,0))</x:f>
        <x:v>0</x:v>
      </x:c>
      <x:c r="N121" s="2" t="str">
        <x:f>IF(B121="","",_xlfn.IFNA(INDEX('Клиентлер'!$B$8:$B$31,MATCH(B121,'Клиентлер'!$A$8:$A$31,0)),"Код қәте"))</x:f>
      </x:c>
    </x:row>
    <x:row r="122" ht="40" customHeight="1">
      <x:c r="A122" s="12"/>
      <x:c r="B122" s="10"/>
      <x:c r="C122" s="10"/>
      <x:c r="D122" s="13" t="str">
        <x:f>IF(C122="","",_xlfn.IFNA(INDEX('Күнлик реже'!$D$8:$D$390,MATCH(C122,'Күнлик реже'!$A$8:$A$390,0)),"Код қәте"))</x:f>
      </x:c>
      <x:c r="E122" s="2" t="str">
        <x:f>IF(B122="","",_xlfn.IFNA(INDEX('Клиентлер'!$E$8:$E$31,MATCH(B122,'Клиентлер'!$A$8:$A$31,0)),"Код қәте"))</x:f>
      </x:c>
      <x:c r="F122" s="11"/>
      <x:c r="G122" s="11"/>
      <x:c r="H122" s="11"/>
      <x:c r="I122" s="11"/>
      <x:c r="J122" s="11"/>
      <x:c r="K122" s="10"/>
      <x:c r="L122" s="2" t="n">
        <x:f>IF(COUNTA(A122:C122,F122:K122)=0,0,IF(AND(COUNT(A122:C122)=3,COUNT(F122:J122)=5),0,1))</x:f>
        <x:v>0</x:v>
      </x:c>
      <x:c r="M122" s="2" t="n">
        <x:f>IF(COUNTA(A122:C122,F122:K122)=0,0,IF(OR(H122&gt;F122,I122&gt;G122,D122="Код қәте",E122="Код қәте"),1,0))</x:f>
        <x:v>0</x:v>
      </x:c>
      <x:c r="N122" s="2" t="str">
        <x:f>IF(B122="","",_xlfn.IFNA(INDEX('Клиентлер'!$B$8:$B$31,MATCH(B122,'Клиентлер'!$A$8:$A$31,0)),"Код қәте"))</x:f>
      </x:c>
    </x:row>
    <x:row r="123" ht="40" customHeight="1">
      <x:c r="A123" s="12"/>
      <x:c r="B123" s="10"/>
      <x:c r="C123" s="10"/>
      <x:c r="D123" s="13" t="str">
        <x:f>IF(C123="","",_xlfn.IFNA(INDEX('Күнлик реже'!$D$8:$D$390,MATCH(C123,'Күнлик реже'!$A$8:$A$390,0)),"Код қәте"))</x:f>
      </x:c>
      <x:c r="E123" s="2" t="str">
        <x:f>IF(B123="","",_xlfn.IFNA(INDEX('Клиентлер'!$E$8:$E$31,MATCH(B123,'Клиентлер'!$A$8:$A$31,0)),"Код қәте"))</x:f>
      </x:c>
      <x:c r="F123" s="11"/>
      <x:c r="G123" s="11"/>
      <x:c r="H123" s="11"/>
      <x:c r="I123" s="11"/>
      <x:c r="J123" s="11"/>
      <x:c r="K123" s="10"/>
      <x:c r="L123" s="2" t="n">
        <x:f>IF(COUNTA(A123:C123,F123:K123)=0,0,IF(AND(COUNT(A123:C123)=3,COUNT(F123:J123)=5),0,1))</x:f>
        <x:v>0</x:v>
      </x:c>
      <x:c r="M123" s="2" t="n">
        <x:f>IF(COUNTA(A123:C123,F123:K123)=0,0,IF(OR(H123&gt;F123,I123&gt;G123,D123="Код қәте",E123="Код қәте"),1,0))</x:f>
        <x:v>0</x:v>
      </x:c>
      <x:c r="N123" s="2" t="str">
        <x:f>IF(B123="","",_xlfn.IFNA(INDEX('Клиентлер'!$B$8:$B$31,MATCH(B123,'Клиентлер'!$A$8:$A$31,0)),"Код қәте"))</x:f>
      </x:c>
    </x:row>
    <x:row r="124" ht="40" customHeight="1">
      <x:c r="A124" s="12"/>
      <x:c r="B124" s="10"/>
      <x:c r="C124" s="10"/>
      <x:c r="D124" s="13" t="str">
        <x:f>IF(C124="","",_xlfn.IFNA(INDEX('Күнлик реже'!$D$8:$D$390,MATCH(C124,'Күнлик реже'!$A$8:$A$390,0)),"Код қәте"))</x:f>
      </x:c>
      <x:c r="E124" s="2" t="str">
        <x:f>IF(B124="","",_xlfn.IFNA(INDEX('Клиентлер'!$E$8:$E$31,MATCH(B124,'Клиентлер'!$A$8:$A$31,0)),"Код қәте"))</x:f>
      </x:c>
      <x:c r="F124" s="11"/>
      <x:c r="G124" s="11"/>
      <x:c r="H124" s="11"/>
      <x:c r="I124" s="11"/>
      <x:c r="J124" s="11"/>
      <x:c r="K124" s="10"/>
      <x:c r="L124" s="2" t="n">
        <x:f>IF(COUNTA(A124:C124,F124:K124)=0,0,IF(AND(COUNT(A124:C124)=3,COUNT(F124:J124)=5),0,1))</x:f>
        <x:v>0</x:v>
      </x:c>
      <x:c r="M124" s="2" t="n">
        <x:f>IF(COUNTA(A124:C124,F124:K124)=0,0,IF(OR(H124&gt;F124,I124&gt;G124,D124="Код қәте",E124="Код қәте"),1,0))</x:f>
        <x:v>0</x:v>
      </x:c>
      <x:c r="N124" s="2" t="str">
        <x:f>IF(B124="","",_xlfn.IFNA(INDEX('Клиентлер'!$B$8:$B$31,MATCH(B124,'Клиентлер'!$A$8:$A$31,0)),"Код қәте"))</x:f>
      </x:c>
    </x:row>
    <x:row r="125" ht="40" customHeight="1">
      <x:c r="A125" s="12"/>
      <x:c r="B125" s="10"/>
      <x:c r="C125" s="10"/>
      <x:c r="D125" s="13" t="str">
        <x:f>IF(C125="","",_xlfn.IFNA(INDEX('Күнлик реже'!$D$8:$D$390,MATCH(C125,'Күнлик реже'!$A$8:$A$390,0)),"Код қәте"))</x:f>
      </x:c>
      <x:c r="E125" s="2" t="str">
        <x:f>IF(B125="","",_xlfn.IFNA(INDEX('Клиентлер'!$E$8:$E$31,MATCH(B125,'Клиентлер'!$A$8:$A$31,0)),"Код қәте"))</x:f>
      </x:c>
      <x:c r="F125" s="11"/>
      <x:c r="G125" s="11"/>
      <x:c r="H125" s="11"/>
      <x:c r="I125" s="11"/>
      <x:c r="J125" s="11"/>
      <x:c r="K125" s="10"/>
      <x:c r="L125" s="2" t="n">
        <x:f>IF(COUNTA(A125:C125,F125:K125)=0,0,IF(AND(COUNT(A125:C125)=3,COUNT(F125:J125)=5),0,1))</x:f>
        <x:v>0</x:v>
      </x:c>
      <x:c r="M125" s="2" t="n">
        <x:f>IF(COUNTA(A125:C125,F125:K125)=0,0,IF(OR(H125&gt;F125,I125&gt;G125,D125="Код қәте",E125="Код қәте"),1,0))</x:f>
        <x:v>0</x:v>
      </x:c>
      <x:c r="N125" s="2" t="str">
        <x:f>IF(B125="","",_xlfn.IFNA(INDEX('Клиентлер'!$B$8:$B$31,MATCH(B125,'Клиентлер'!$A$8:$A$31,0)),"Код қәте"))</x:f>
      </x:c>
    </x:row>
    <x:row r="126" ht="40" customHeight="1">
      <x:c r="A126" s="12"/>
      <x:c r="B126" s="10"/>
      <x:c r="C126" s="10"/>
      <x:c r="D126" s="13" t="str">
        <x:f>IF(C126="","",_xlfn.IFNA(INDEX('Күнлик реже'!$D$8:$D$390,MATCH(C126,'Күнлик реже'!$A$8:$A$390,0)),"Код қәте"))</x:f>
      </x:c>
      <x:c r="E126" s="2" t="str">
        <x:f>IF(B126="","",_xlfn.IFNA(INDEX('Клиентлер'!$E$8:$E$31,MATCH(B126,'Клиентлер'!$A$8:$A$31,0)),"Код қәте"))</x:f>
      </x:c>
      <x:c r="F126" s="11"/>
      <x:c r="G126" s="11"/>
      <x:c r="H126" s="11"/>
      <x:c r="I126" s="11"/>
      <x:c r="J126" s="11"/>
      <x:c r="K126" s="10"/>
      <x:c r="L126" s="2" t="n">
        <x:f>IF(COUNTA(A126:C126,F126:K126)=0,0,IF(AND(COUNT(A126:C126)=3,COUNT(F126:J126)=5),0,1))</x:f>
        <x:v>0</x:v>
      </x:c>
      <x:c r="M126" s="2" t="n">
        <x:f>IF(COUNTA(A126:C126,F126:K126)=0,0,IF(OR(H126&gt;F126,I126&gt;G126,D126="Код қәте",E126="Код қәте"),1,0))</x:f>
        <x:v>0</x:v>
      </x:c>
      <x:c r="N126" s="2" t="str">
        <x:f>IF(B126="","",_xlfn.IFNA(INDEX('Клиентлер'!$B$8:$B$31,MATCH(B126,'Клиентлер'!$A$8:$A$31,0)),"Код қәте"))</x:f>
      </x:c>
    </x:row>
    <x:row r="127" ht="40" customHeight="1">
      <x:c r="A127" s="12"/>
      <x:c r="B127" s="10"/>
      <x:c r="C127" s="10"/>
      <x:c r="D127" s="13" t="str">
        <x:f>IF(C127="","",_xlfn.IFNA(INDEX('Күнлик реже'!$D$8:$D$390,MATCH(C127,'Күнлик реже'!$A$8:$A$390,0)),"Код қәте"))</x:f>
      </x:c>
      <x:c r="E127" s="2" t="str">
        <x:f>IF(B127="","",_xlfn.IFNA(INDEX('Клиентлер'!$E$8:$E$31,MATCH(B127,'Клиентлер'!$A$8:$A$31,0)),"Код қәте"))</x:f>
      </x:c>
      <x:c r="F127" s="11"/>
      <x:c r="G127" s="11"/>
      <x:c r="H127" s="11"/>
      <x:c r="I127" s="11"/>
      <x:c r="J127" s="11"/>
      <x:c r="K127" s="10"/>
      <x:c r="L127" s="2" t="n">
        <x:f>IF(COUNTA(A127:C127,F127:K127)=0,0,IF(AND(COUNT(A127:C127)=3,COUNT(F127:J127)=5),0,1))</x:f>
        <x:v>0</x:v>
      </x:c>
      <x:c r="M127" s="2" t="n">
        <x:f>IF(COUNTA(A127:C127,F127:K127)=0,0,IF(OR(H127&gt;F127,I127&gt;G127,D127="Код қәте",E127="Код қәте"),1,0))</x:f>
        <x:v>0</x:v>
      </x:c>
      <x:c r="N127" s="2" t="str">
        <x:f>IF(B127="","",_xlfn.IFNA(INDEX('Клиентлер'!$B$8:$B$31,MATCH(B127,'Клиентлер'!$A$8:$A$31,0)),"Код қәте"))</x:f>
      </x:c>
    </x:row>
    <x:row r="128" ht="40" customHeight="1">
      <x:c r="A128" s="12"/>
      <x:c r="B128" s="10"/>
      <x:c r="C128" s="10"/>
      <x:c r="D128" s="13" t="str">
        <x:f>IF(C128="","",_xlfn.IFNA(INDEX('Күнлик реже'!$D$8:$D$390,MATCH(C128,'Күнлик реже'!$A$8:$A$390,0)),"Код қәте"))</x:f>
      </x:c>
      <x:c r="E128" s="2" t="str">
        <x:f>IF(B128="","",_xlfn.IFNA(INDEX('Клиентлер'!$E$8:$E$31,MATCH(B128,'Клиентлер'!$A$8:$A$31,0)),"Код қәте"))</x:f>
      </x:c>
      <x:c r="F128" s="11"/>
      <x:c r="G128" s="11"/>
      <x:c r="H128" s="11"/>
      <x:c r="I128" s="11"/>
      <x:c r="J128" s="11"/>
      <x:c r="K128" s="10"/>
      <x:c r="L128" s="2" t="n">
        <x:f>IF(COUNTA(A128:C128,F128:K128)=0,0,IF(AND(COUNT(A128:C128)=3,COUNT(F128:J128)=5),0,1))</x:f>
        <x:v>0</x:v>
      </x:c>
      <x:c r="M128" s="2" t="n">
        <x:f>IF(COUNTA(A128:C128,F128:K128)=0,0,IF(OR(H128&gt;F128,I128&gt;G128,D128="Код қәте",E128="Код қәте"),1,0))</x:f>
        <x:v>0</x:v>
      </x:c>
      <x:c r="N128" s="2" t="str">
        <x:f>IF(B128="","",_xlfn.IFNA(INDEX('Клиентлер'!$B$8:$B$31,MATCH(B128,'Клиентлер'!$A$8:$A$31,0)),"Код қәте"))</x:f>
      </x:c>
    </x:row>
    <x:row r="129" ht="40" customHeight="1">
      <x:c r="A129" s="12"/>
      <x:c r="B129" s="10"/>
      <x:c r="C129" s="10"/>
      <x:c r="D129" s="13" t="str">
        <x:f>IF(C129="","",_xlfn.IFNA(INDEX('Күнлик реже'!$D$8:$D$390,MATCH(C129,'Күнлик реже'!$A$8:$A$390,0)),"Код қәте"))</x:f>
      </x:c>
      <x:c r="E129" s="2" t="str">
        <x:f>IF(B129="","",_xlfn.IFNA(INDEX('Клиентлер'!$E$8:$E$31,MATCH(B129,'Клиентлер'!$A$8:$A$31,0)),"Код қәте"))</x:f>
      </x:c>
      <x:c r="F129" s="11"/>
      <x:c r="G129" s="11"/>
      <x:c r="H129" s="11"/>
      <x:c r="I129" s="11"/>
      <x:c r="J129" s="11"/>
      <x:c r="K129" s="10"/>
      <x:c r="L129" s="2" t="n">
        <x:f>IF(COUNTA(A129:C129,F129:K129)=0,0,IF(AND(COUNT(A129:C129)=3,COUNT(F129:J129)=5),0,1))</x:f>
        <x:v>0</x:v>
      </x:c>
      <x:c r="M129" s="2" t="n">
        <x:f>IF(COUNTA(A129:C129,F129:K129)=0,0,IF(OR(H129&gt;F129,I129&gt;G129,D129="Код қәте",E129="Код қәте"),1,0))</x:f>
        <x:v>0</x:v>
      </x:c>
      <x:c r="N129" s="2" t="str">
        <x:f>IF(B129="","",_xlfn.IFNA(INDEX('Клиентлер'!$B$8:$B$31,MATCH(B129,'Клиентлер'!$A$8:$A$31,0)),"Код қәте"))</x:f>
      </x:c>
    </x:row>
    <x:row r="130" ht="40" customHeight="1">
      <x:c r="A130" s="12"/>
      <x:c r="B130" s="10"/>
      <x:c r="C130" s="10"/>
      <x:c r="D130" s="13" t="str">
        <x:f>IF(C130="","",_xlfn.IFNA(INDEX('Күнлик реже'!$D$8:$D$390,MATCH(C130,'Күнлик реже'!$A$8:$A$390,0)),"Код қәте"))</x:f>
      </x:c>
      <x:c r="E130" s="2" t="str">
        <x:f>IF(B130="","",_xlfn.IFNA(INDEX('Клиентлер'!$E$8:$E$31,MATCH(B130,'Клиентлер'!$A$8:$A$31,0)),"Код қәте"))</x:f>
      </x:c>
      <x:c r="F130" s="11"/>
      <x:c r="G130" s="11"/>
      <x:c r="H130" s="11"/>
      <x:c r="I130" s="11"/>
      <x:c r="J130" s="11"/>
      <x:c r="K130" s="10"/>
      <x:c r="L130" s="2" t="n">
        <x:f>IF(COUNTA(A130:C130,F130:K130)=0,0,IF(AND(COUNT(A130:C130)=3,COUNT(F130:J130)=5),0,1))</x:f>
        <x:v>0</x:v>
      </x:c>
      <x:c r="M130" s="2" t="n">
        <x:f>IF(COUNTA(A130:C130,F130:K130)=0,0,IF(OR(H130&gt;F130,I130&gt;G130,D130="Код қәте",E130="Код қәте"),1,0))</x:f>
        <x:v>0</x:v>
      </x:c>
      <x:c r="N130" s="2" t="str">
        <x:f>IF(B130="","",_xlfn.IFNA(INDEX('Клиентлер'!$B$8:$B$31,MATCH(B130,'Клиентлер'!$A$8:$A$31,0)),"Код қәте"))</x:f>
      </x:c>
    </x:row>
    <x:row r="131" ht="40" customHeight="1">
      <x:c r="A131" s="12"/>
      <x:c r="B131" s="10"/>
      <x:c r="C131" s="10"/>
      <x:c r="D131" s="13" t="str">
        <x:f>IF(C131="","",_xlfn.IFNA(INDEX('Күнлик реже'!$D$8:$D$390,MATCH(C131,'Күнлик реже'!$A$8:$A$390,0)),"Код қәте"))</x:f>
      </x:c>
      <x:c r="E131" s="2" t="str">
        <x:f>IF(B131="","",_xlfn.IFNA(INDEX('Клиентлер'!$E$8:$E$31,MATCH(B131,'Клиентлер'!$A$8:$A$31,0)),"Код қәте"))</x:f>
      </x:c>
      <x:c r="F131" s="11"/>
      <x:c r="G131" s="11"/>
      <x:c r="H131" s="11"/>
      <x:c r="I131" s="11"/>
      <x:c r="J131" s="11"/>
      <x:c r="K131" s="10"/>
      <x:c r="L131" s="2" t="n">
        <x:f>IF(COUNTA(A131:C131,F131:K131)=0,0,IF(AND(COUNT(A131:C131)=3,COUNT(F131:J131)=5),0,1))</x:f>
        <x:v>0</x:v>
      </x:c>
      <x:c r="M131" s="2" t="n">
        <x:f>IF(COUNTA(A131:C131,F131:K131)=0,0,IF(OR(H131&gt;F131,I131&gt;G131,D131="Код қәте",E131="Код қәте"),1,0))</x:f>
        <x:v>0</x:v>
      </x:c>
      <x:c r="N131" s="2" t="str">
        <x:f>IF(B131="","",_xlfn.IFNA(INDEX('Клиентлер'!$B$8:$B$31,MATCH(B131,'Клиентлер'!$A$8:$A$31,0)),"Код қәте"))</x:f>
      </x:c>
    </x:row>
    <x:row r="132" ht="40" customHeight="1">
      <x:c r="A132" s="12"/>
      <x:c r="B132" s="10"/>
      <x:c r="C132" s="10"/>
      <x:c r="D132" s="13" t="str">
        <x:f>IF(C132="","",_xlfn.IFNA(INDEX('Күнлик реже'!$D$8:$D$390,MATCH(C132,'Күнлик реже'!$A$8:$A$390,0)),"Код қәте"))</x:f>
      </x:c>
      <x:c r="E132" s="2" t="str">
        <x:f>IF(B132="","",_xlfn.IFNA(INDEX('Клиентлер'!$E$8:$E$31,MATCH(B132,'Клиентлер'!$A$8:$A$31,0)),"Код қәте"))</x:f>
      </x:c>
      <x:c r="F132" s="11"/>
      <x:c r="G132" s="11"/>
      <x:c r="H132" s="11"/>
      <x:c r="I132" s="11"/>
      <x:c r="J132" s="11"/>
      <x:c r="K132" s="10"/>
      <x:c r="L132" s="2" t="n">
        <x:f>IF(COUNTA(A132:C132,F132:K132)=0,0,IF(AND(COUNT(A132:C132)=3,COUNT(F132:J132)=5),0,1))</x:f>
        <x:v>0</x:v>
      </x:c>
      <x:c r="M132" s="2" t="n">
        <x:f>IF(COUNTA(A132:C132,F132:K132)=0,0,IF(OR(H132&gt;F132,I132&gt;G132,D132="Код қәте",E132="Код қәте"),1,0))</x:f>
        <x:v>0</x:v>
      </x:c>
      <x:c r="N132" s="2" t="str">
        <x:f>IF(B132="","",_xlfn.IFNA(INDEX('Клиентлер'!$B$8:$B$31,MATCH(B132,'Клиентлер'!$A$8:$A$31,0)),"Код қәте"))</x:f>
      </x:c>
    </x:row>
    <x:row r="133" ht="40" customHeight="1">
      <x:c r="A133" s="12"/>
      <x:c r="B133" s="10"/>
      <x:c r="C133" s="10"/>
      <x:c r="D133" s="13" t="str">
        <x:f>IF(C133="","",_xlfn.IFNA(INDEX('Күнлик реже'!$D$8:$D$390,MATCH(C133,'Күнлик реже'!$A$8:$A$390,0)),"Код қәте"))</x:f>
      </x:c>
      <x:c r="E133" s="2" t="str">
        <x:f>IF(B133="","",_xlfn.IFNA(INDEX('Клиентлер'!$E$8:$E$31,MATCH(B133,'Клиентлер'!$A$8:$A$31,0)),"Код қәте"))</x:f>
      </x:c>
      <x:c r="F133" s="11"/>
      <x:c r="G133" s="11"/>
      <x:c r="H133" s="11"/>
      <x:c r="I133" s="11"/>
      <x:c r="J133" s="11"/>
      <x:c r="K133" s="10"/>
      <x:c r="L133" s="2" t="n">
        <x:f>IF(COUNTA(A133:C133,F133:K133)=0,0,IF(AND(COUNT(A133:C133)=3,COUNT(F133:J133)=5),0,1))</x:f>
        <x:v>0</x:v>
      </x:c>
      <x:c r="M133" s="2" t="n">
        <x:f>IF(COUNTA(A133:C133,F133:K133)=0,0,IF(OR(H133&gt;F133,I133&gt;G133,D133="Код қәте",E133="Код қәте"),1,0))</x:f>
        <x:v>0</x:v>
      </x:c>
      <x:c r="N133" s="2" t="str">
        <x:f>IF(B133="","",_xlfn.IFNA(INDEX('Клиентлер'!$B$8:$B$31,MATCH(B133,'Клиентлер'!$A$8:$A$31,0)),"Код қәте"))</x:f>
      </x:c>
    </x:row>
    <x:row r="134" ht="40" customHeight="1">
      <x:c r="A134" s="12"/>
      <x:c r="B134" s="10"/>
      <x:c r="C134" s="10"/>
      <x:c r="D134" s="13" t="str">
        <x:f>IF(C134="","",_xlfn.IFNA(INDEX('Күнлик реже'!$D$8:$D$390,MATCH(C134,'Күнлик реже'!$A$8:$A$390,0)),"Код қәте"))</x:f>
      </x:c>
      <x:c r="E134" s="2" t="str">
        <x:f>IF(B134="","",_xlfn.IFNA(INDEX('Клиентлер'!$E$8:$E$31,MATCH(B134,'Клиентлер'!$A$8:$A$31,0)),"Код қәте"))</x:f>
      </x:c>
      <x:c r="F134" s="11"/>
      <x:c r="G134" s="11"/>
      <x:c r="H134" s="11"/>
      <x:c r="I134" s="11"/>
      <x:c r="J134" s="11"/>
      <x:c r="K134" s="10"/>
      <x:c r="L134" s="2" t="n">
        <x:f>IF(COUNTA(A134:C134,F134:K134)=0,0,IF(AND(COUNT(A134:C134)=3,COUNT(F134:J134)=5),0,1))</x:f>
        <x:v>0</x:v>
      </x:c>
      <x:c r="M134" s="2" t="n">
        <x:f>IF(COUNTA(A134:C134,F134:K134)=0,0,IF(OR(H134&gt;F134,I134&gt;G134,D134="Код қәте",E134="Код қәте"),1,0))</x:f>
        <x:v>0</x:v>
      </x:c>
      <x:c r="N134" s="2" t="str">
        <x:f>IF(B134="","",_xlfn.IFNA(INDEX('Клиентлер'!$B$8:$B$31,MATCH(B134,'Клиентлер'!$A$8:$A$31,0)),"Код қәте"))</x:f>
      </x:c>
    </x:row>
    <x:row r="135" ht="40" customHeight="1">
      <x:c r="A135" s="12"/>
      <x:c r="B135" s="10"/>
      <x:c r="C135" s="10"/>
      <x:c r="D135" s="13" t="str">
        <x:f>IF(C135="","",_xlfn.IFNA(INDEX('Күнлик реже'!$D$8:$D$390,MATCH(C135,'Күнлик реже'!$A$8:$A$390,0)),"Код қәте"))</x:f>
      </x:c>
      <x:c r="E135" s="2" t="str">
        <x:f>IF(B135="","",_xlfn.IFNA(INDEX('Клиентлер'!$E$8:$E$31,MATCH(B135,'Клиентлер'!$A$8:$A$31,0)),"Код қәте"))</x:f>
      </x:c>
      <x:c r="F135" s="11"/>
      <x:c r="G135" s="11"/>
      <x:c r="H135" s="11"/>
      <x:c r="I135" s="11"/>
      <x:c r="J135" s="11"/>
      <x:c r="K135" s="10"/>
      <x:c r="L135" s="2" t="n">
        <x:f>IF(COUNTA(A135:C135,F135:K135)=0,0,IF(AND(COUNT(A135:C135)=3,COUNT(F135:J135)=5),0,1))</x:f>
        <x:v>0</x:v>
      </x:c>
      <x:c r="M135" s="2" t="n">
        <x:f>IF(COUNTA(A135:C135,F135:K135)=0,0,IF(OR(H135&gt;F135,I135&gt;G135,D135="Код қәте",E135="Код қәте"),1,0))</x:f>
        <x:v>0</x:v>
      </x:c>
      <x:c r="N135" s="2" t="str">
        <x:f>IF(B135="","",_xlfn.IFNA(INDEX('Клиентлер'!$B$8:$B$31,MATCH(B135,'Клиентлер'!$A$8:$A$31,0)),"Код қәте"))</x:f>
      </x:c>
    </x:row>
    <x:row r="136" ht="40" customHeight="1">
      <x:c r="A136" s="12"/>
      <x:c r="B136" s="10"/>
      <x:c r="C136" s="10"/>
      <x:c r="D136" s="13" t="str">
        <x:f>IF(C136="","",_xlfn.IFNA(INDEX('Күнлик реже'!$D$8:$D$390,MATCH(C136,'Күнлик реже'!$A$8:$A$390,0)),"Код қәте"))</x:f>
      </x:c>
      <x:c r="E136" s="2" t="str">
        <x:f>IF(B136="","",_xlfn.IFNA(INDEX('Клиентлер'!$E$8:$E$31,MATCH(B136,'Клиентлер'!$A$8:$A$31,0)),"Код қәте"))</x:f>
      </x:c>
      <x:c r="F136" s="11"/>
      <x:c r="G136" s="11"/>
      <x:c r="H136" s="11"/>
      <x:c r="I136" s="11"/>
      <x:c r="J136" s="11"/>
      <x:c r="K136" s="10"/>
      <x:c r="L136" s="2" t="n">
        <x:f>IF(COUNTA(A136:C136,F136:K136)=0,0,IF(AND(COUNT(A136:C136)=3,COUNT(F136:J136)=5),0,1))</x:f>
        <x:v>0</x:v>
      </x:c>
      <x:c r="M136" s="2" t="n">
        <x:f>IF(COUNTA(A136:C136,F136:K136)=0,0,IF(OR(H136&gt;F136,I136&gt;G136,D136="Код қәте",E136="Код қәте"),1,0))</x:f>
        <x:v>0</x:v>
      </x:c>
      <x:c r="N136" s="2" t="str">
        <x:f>IF(B136="","",_xlfn.IFNA(INDEX('Клиентлер'!$B$8:$B$31,MATCH(B136,'Клиентлер'!$A$8:$A$31,0)),"Код қәте"))</x:f>
      </x:c>
    </x:row>
    <x:row r="137" ht="40" customHeight="1">
      <x:c r="A137" s="12"/>
      <x:c r="B137" s="10"/>
      <x:c r="C137" s="10"/>
      <x:c r="D137" s="13" t="str">
        <x:f>IF(C137="","",_xlfn.IFNA(INDEX('Күнлик реже'!$D$8:$D$390,MATCH(C137,'Күнлик реже'!$A$8:$A$390,0)),"Код қәте"))</x:f>
      </x:c>
      <x:c r="E137" s="2" t="str">
        <x:f>IF(B137="","",_xlfn.IFNA(INDEX('Клиентлер'!$E$8:$E$31,MATCH(B137,'Клиентлер'!$A$8:$A$31,0)),"Код қәте"))</x:f>
      </x:c>
      <x:c r="F137" s="11"/>
      <x:c r="G137" s="11"/>
      <x:c r="H137" s="11"/>
      <x:c r="I137" s="11"/>
      <x:c r="J137" s="11"/>
      <x:c r="K137" s="10"/>
      <x:c r="L137" s="2" t="n">
        <x:f>IF(COUNTA(A137:C137,F137:K137)=0,0,IF(AND(COUNT(A137:C137)=3,COUNT(F137:J137)=5),0,1))</x:f>
        <x:v>0</x:v>
      </x:c>
      <x:c r="M137" s="2" t="n">
        <x:f>IF(COUNTA(A137:C137,F137:K137)=0,0,IF(OR(H137&gt;F137,I137&gt;G137,D137="Код қәте",E137="Код қәте"),1,0))</x:f>
        <x:v>0</x:v>
      </x:c>
      <x:c r="N137" s="2" t="str">
        <x:f>IF(B137="","",_xlfn.IFNA(INDEX('Клиентлер'!$B$8:$B$31,MATCH(B137,'Клиентлер'!$A$8:$A$31,0)),"Код қәте"))</x:f>
      </x:c>
    </x:row>
    <x:row r="138" ht="40" customHeight="1">
      <x:c r="A138" s="12"/>
      <x:c r="B138" s="10"/>
      <x:c r="C138" s="10"/>
      <x:c r="D138" s="13" t="str">
        <x:f>IF(C138="","",_xlfn.IFNA(INDEX('Күнлик реже'!$D$8:$D$390,MATCH(C138,'Күнлик реже'!$A$8:$A$390,0)),"Код қәте"))</x:f>
      </x:c>
      <x:c r="E138" s="2" t="str">
        <x:f>IF(B138="","",_xlfn.IFNA(INDEX('Клиентлер'!$E$8:$E$31,MATCH(B138,'Клиентлер'!$A$8:$A$31,0)),"Код қәте"))</x:f>
      </x:c>
      <x:c r="F138" s="11"/>
      <x:c r="G138" s="11"/>
      <x:c r="H138" s="11"/>
      <x:c r="I138" s="11"/>
      <x:c r="J138" s="11"/>
      <x:c r="K138" s="10"/>
      <x:c r="L138" s="2" t="n">
        <x:f>IF(COUNTA(A138:C138,F138:K138)=0,0,IF(AND(COUNT(A138:C138)=3,COUNT(F138:J138)=5),0,1))</x:f>
        <x:v>0</x:v>
      </x:c>
      <x:c r="M138" s="2" t="n">
        <x:f>IF(COUNTA(A138:C138,F138:K138)=0,0,IF(OR(H138&gt;F138,I138&gt;G138,D138="Код қәте",E138="Код қәте"),1,0))</x:f>
        <x:v>0</x:v>
      </x:c>
      <x:c r="N138" s="2" t="str">
        <x:f>IF(B138="","",_xlfn.IFNA(INDEX('Клиентлер'!$B$8:$B$31,MATCH(B138,'Клиентлер'!$A$8:$A$31,0)),"Код қәте"))</x:f>
      </x:c>
    </x:row>
    <x:row r="139" ht="40" customHeight="1">
      <x:c r="A139" s="12"/>
      <x:c r="B139" s="10"/>
      <x:c r="C139" s="10"/>
      <x:c r="D139" s="13" t="str">
        <x:f>IF(C139="","",_xlfn.IFNA(INDEX('Күнлик реже'!$D$8:$D$390,MATCH(C139,'Күнлик реже'!$A$8:$A$390,0)),"Код қәте"))</x:f>
      </x:c>
      <x:c r="E139" s="2" t="str">
        <x:f>IF(B139="","",_xlfn.IFNA(INDEX('Клиентлер'!$E$8:$E$31,MATCH(B139,'Клиентлер'!$A$8:$A$31,0)),"Код қәте"))</x:f>
      </x:c>
      <x:c r="F139" s="11"/>
      <x:c r="G139" s="11"/>
      <x:c r="H139" s="11"/>
      <x:c r="I139" s="11"/>
      <x:c r="J139" s="11"/>
      <x:c r="K139" s="10"/>
      <x:c r="L139" s="2" t="n">
        <x:f>IF(COUNTA(A139:C139,F139:K139)=0,0,IF(AND(COUNT(A139:C139)=3,COUNT(F139:J139)=5),0,1))</x:f>
        <x:v>0</x:v>
      </x:c>
      <x:c r="M139" s="2" t="n">
        <x:f>IF(COUNTA(A139:C139,F139:K139)=0,0,IF(OR(H139&gt;F139,I139&gt;G139,D139="Код қәте",E139="Код қәте"),1,0))</x:f>
        <x:v>0</x:v>
      </x:c>
      <x:c r="N139" s="2" t="str">
        <x:f>IF(B139="","",_xlfn.IFNA(INDEX('Клиентлер'!$B$8:$B$31,MATCH(B139,'Клиентлер'!$A$8:$A$31,0)),"Код қәте"))</x:f>
      </x:c>
    </x:row>
    <x:row r="140" ht="40" customHeight="1">
      <x:c r="A140" s="12"/>
      <x:c r="B140" s="10"/>
      <x:c r="C140" s="10"/>
      <x:c r="D140" s="13" t="str">
        <x:f>IF(C140="","",_xlfn.IFNA(INDEX('Күнлик реже'!$D$8:$D$390,MATCH(C140,'Күнлик реже'!$A$8:$A$390,0)),"Код қәте"))</x:f>
      </x:c>
      <x:c r="E140" s="2" t="str">
        <x:f>IF(B140="","",_xlfn.IFNA(INDEX('Клиентлер'!$E$8:$E$31,MATCH(B140,'Клиентлер'!$A$8:$A$31,0)),"Код қәте"))</x:f>
      </x:c>
      <x:c r="F140" s="11"/>
      <x:c r="G140" s="11"/>
      <x:c r="H140" s="11"/>
      <x:c r="I140" s="11"/>
      <x:c r="J140" s="11"/>
      <x:c r="K140" s="10"/>
      <x:c r="L140" s="2" t="n">
        <x:f>IF(COUNTA(A140:C140,F140:K140)=0,0,IF(AND(COUNT(A140:C140)=3,COUNT(F140:J140)=5),0,1))</x:f>
        <x:v>0</x:v>
      </x:c>
      <x:c r="M140" s="2" t="n">
        <x:f>IF(COUNTA(A140:C140,F140:K140)=0,0,IF(OR(H140&gt;F140,I140&gt;G140,D140="Код қәте",E140="Код қәте"),1,0))</x:f>
        <x:v>0</x:v>
      </x:c>
      <x:c r="N140" s="2" t="str">
        <x:f>IF(B140="","",_xlfn.IFNA(INDEX('Клиентлер'!$B$8:$B$31,MATCH(B140,'Клиентлер'!$A$8:$A$31,0)),"Код қәте"))</x:f>
      </x:c>
    </x:row>
    <x:row r="141" ht="40" customHeight="1">
      <x:c r="A141" s="12"/>
      <x:c r="B141" s="10"/>
      <x:c r="C141" s="10"/>
      <x:c r="D141" s="13" t="str">
        <x:f>IF(C141="","",_xlfn.IFNA(INDEX('Күнлик реже'!$D$8:$D$390,MATCH(C141,'Күнлик реже'!$A$8:$A$390,0)),"Код қәте"))</x:f>
      </x:c>
      <x:c r="E141" s="2" t="str">
        <x:f>IF(B141="","",_xlfn.IFNA(INDEX('Клиентлер'!$E$8:$E$31,MATCH(B141,'Клиентлер'!$A$8:$A$31,0)),"Код қәте"))</x:f>
      </x:c>
      <x:c r="F141" s="11"/>
      <x:c r="G141" s="11"/>
      <x:c r="H141" s="11"/>
      <x:c r="I141" s="11"/>
      <x:c r="J141" s="11"/>
      <x:c r="K141" s="10"/>
      <x:c r="L141" s="2" t="n">
        <x:f>IF(COUNTA(A141:C141,F141:K141)=0,0,IF(AND(COUNT(A141:C141)=3,COUNT(F141:J141)=5),0,1))</x:f>
        <x:v>0</x:v>
      </x:c>
      <x:c r="M141" s="2" t="n">
        <x:f>IF(COUNTA(A141:C141,F141:K141)=0,0,IF(OR(H141&gt;F141,I141&gt;G141,D141="Код қәте",E141="Код қәте"),1,0))</x:f>
        <x:v>0</x:v>
      </x:c>
      <x:c r="N141" s="2" t="str">
        <x:f>IF(B141="","",_xlfn.IFNA(INDEX('Клиентлер'!$B$8:$B$31,MATCH(B141,'Клиентлер'!$A$8:$A$31,0)),"Код қәте"))</x:f>
      </x:c>
    </x:row>
    <x:row r="142" ht="40" customHeight="1">
      <x:c r="A142" s="12"/>
      <x:c r="B142" s="10"/>
      <x:c r="C142" s="10"/>
      <x:c r="D142" s="13" t="str">
        <x:f>IF(C142="","",_xlfn.IFNA(INDEX('Күнлик реже'!$D$8:$D$390,MATCH(C142,'Күнлик реже'!$A$8:$A$390,0)),"Код қәте"))</x:f>
      </x:c>
      <x:c r="E142" s="2" t="str">
        <x:f>IF(B142="","",_xlfn.IFNA(INDEX('Клиентлер'!$E$8:$E$31,MATCH(B142,'Клиентлер'!$A$8:$A$31,0)),"Код қәте"))</x:f>
      </x:c>
      <x:c r="F142" s="11"/>
      <x:c r="G142" s="11"/>
      <x:c r="H142" s="11"/>
      <x:c r="I142" s="11"/>
      <x:c r="J142" s="11"/>
      <x:c r="K142" s="10"/>
      <x:c r="L142" s="2" t="n">
        <x:f>IF(COUNTA(A142:C142,F142:K142)=0,0,IF(AND(COUNT(A142:C142)=3,COUNT(F142:J142)=5),0,1))</x:f>
        <x:v>0</x:v>
      </x:c>
      <x:c r="M142" s="2" t="n">
        <x:f>IF(COUNTA(A142:C142,F142:K142)=0,0,IF(OR(H142&gt;F142,I142&gt;G142,D142="Код қәте",E142="Код қәте"),1,0))</x:f>
        <x:v>0</x:v>
      </x:c>
      <x:c r="N142" s="2" t="str">
        <x:f>IF(B142="","",_xlfn.IFNA(INDEX('Клиентлер'!$B$8:$B$31,MATCH(B142,'Клиентлер'!$A$8:$A$31,0)),"Код қәте"))</x:f>
      </x:c>
    </x:row>
    <x:row r="143" ht="40" customHeight="1">
      <x:c r="A143" s="12"/>
      <x:c r="B143" s="10"/>
      <x:c r="C143" s="10"/>
      <x:c r="D143" s="13" t="str">
        <x:f>IF(C143="","",_xlfn.IFNA(INDEX('Күнлик реже'!$D$8:$D$390,MATCH(C143,'Күнлик реже'!$A$8:$A$390,0)),"Код қәте"))</x:f>
      </x:c>
      <x:c r="E143" s="2" t="str">
        <x:f>IF(B143="","",_xlfn.IFNA(INDEX('Клиентлер'!$E$8:$E$31,MATCH(B143,'Клиентлер'!$A$8:$A$31,0)),"Код қәте"))</x:f>
      </x:c>
      <x:c r="F143" s="11"/>
      <x:c r="G143" s="11"/>
      <x:c r="H143" s="11"/>
      <x:c r="I143" s="11"/>
      <x:c r="J143" s="11"/>
      <x:c r="K143" s="10"/>
      <x:c r="L143" s="2" t="n">
        <x:f>IF(COUNTA(A143:C143,F143:K143)=0,0,IF(AND(COUNT(A143:C143)=3,COUNT(F143:J143)=5),0,1))</x:f>
        <x:v>0</x:v>
      </x:c>
      <x:c r="M143" s="2" t="n">
        <x:f>IF(COUNTA(A143:C143,F143:K143)=0,0,IF(OR(H143&gt;F143,I143&gt;G143,D143="Код қәте",E143="Код қәте"),1,0))</x:f>
        <x:v>0</x:v>
      </x:c>
      <x:c r="N143" s="2" t="str">
        <x:f>IF(B143="","",_xlfn.IFNA(INDEX('Клиентлер'!$B$8:$B$31,MATCH(B143,'Клиентлер'!$A$8:$A$31,0)),"Код қәте"))</x:f>
      </x:c>
    </x:row>
    <x:row r="144" ht="40" customHeight="1">
      <x:c r="A144" s="12"/>
      <x:c r="B144" s="10"/>
      <x:c r="C144" s="10"/>
      <x:c r="D144" s="13" t="str">
        <x:f>IF(C144="","",_xlfn.IFNA(INDEX('Күнлик реже'!$D$8:$D$390,MATCH(C144,'Күнлик реже'!$A$8:$A$390,0)),"Код қәте"))</x:f>
      </x:c>
      <x:c r="E144" s="2" t="str">
        <x:f>IF(B144="","",_xlfn.IFNA(INDEX('Клиентлер'!$E$8:$E$31,MATCH(B144,'Клиентлер'!$A$8:$A$31,0)),"Код қәте"))</x:f>
      </x:c>
      <x:c r="F144" s="11"/>
      <x:c r="G144" s="11"/>
      <x:c r="H144" s="11"/>
      <x:c r="I144" s="11"/>
      <x:c r="J144" s="11"/>
      <x:c r="K144" s="10"/>
      <x:c r="L144" s="2" t="n">
        <x:f>IF(COUNTA(A144:C144,F144:K144)=0,0,IF(AND(COUNT(A144:C144)=3,COUNT(F144:J144)=5),0,1))</x:f>
        <x:v>0</x:v>
      </x:c>
      <x:c r="M144" s="2" t="n">
        <x:f>IF(COUNTA(A144:C144,F144:K144)=0,0,IF(OR(H144&gt;F144,I144&gt;G144,D144="Код қәте",E144="Код қәте"),1,0))</x:f>
        <x:v>0</x:v>
      </x:c>
      <x:c r="N144" s="2" t="str">
        <x:f>IF(B144="","",_xlfn.IFNA(INDEX('Клиентлер'!$B$8:$B$31,MATCH(B144,'Клиентлер'!$A$8:$A$31,0)),"Код қәте"))</x:f>
      </x:c>
    </x:row>
    <x:row r="145" ht="40" customHeight="1">
      <x:c r="A145" s="12"/>
      <x:c r="B145" s="10"/>
      <x:c r="C145" s="10"/>
      <x:c r="D145" s="13" t="str">
        <x:f>IF(C145="","",_xlfn.IFNA(INDEX('Күнлик реже'!$D$8:$D$390,MATCH(C145,'Күнлик реже'!$A$8:$A$390,0)),"Код қәте"))</x:f>
      </x:c>
      <x:c r="E145" s="2" t="str">
        <x:f>IF(B145="","",_xlfn.IFNA(INDEX('Клиентлер'!$E$8:$E$31,MATCH(B145,'Клиентлер'!$A$8:$A$31,0)),"Код қәте"))</x:f>
      </x:c>
      <x:c r="F145" s="11"/>
      <x:c r="G145" s="11"/>
      <x:c r="H145" s="11"/>
      <x:c r="I145" s="11"/>
      <x:c r="J145" s="11"/>
      <x:c r="K145" s="10"/>
      <x:c r="L145" s="2" t="n">
        <x:f>IF(COUNTA(A145:C145,F145:K145)=0,0,IF(AND(COUNT(A145:C145)=3,COUNT(F145:J145)=5),0,1))</x:f>
        <x:v>0</x:v>
      </x:c>
      <x:c r="M145" s="2" t="n">
        <x:f>IF(COUNTA(A145:C145,F145:K145)=0,0,IF(OR(H145&gt;F145,I145&gt;G145,D145="Код қәте",E145="Код қәте"),1,0))</x:f>
        <x:v>0</x:v>
      </x:c>
      <x:c r="N145" s="2" t="str">
        <x:f>IF(B145="","",_xlfn.IFNA(INDEX('Клиентлер'!$B$8:$B$31,MATCH(B145,'Клиентлер'!$A$8:$A$31,0)),"Код қәте"))</x:f>
      </x:c>
    </x:row>
    <x:row r="146" ht="40" customHeight="1">
      <x:c r="A146" s="12"/>
      <x:c r="B146" s="10"/>
      <x:c r="C146" s="10"/>
      <x:c r="D146" s="13" t="str">
        <x:f>IF(C146="","",_xlfn.IFNA(INDEX('Күнлик реже'!$D$8:$D$390,MATCH(C146,'Күнлик реже'!$A$8:$A$390,0)),"Код қәте"))</x:f>
      </x:c>
      <x:c r="E146" s="2" t="str">
        <x:f>IF(B146="","",_xlfn.IFNA(INDEX('Клиентлер'!$E$8:$E$31,MATCH(B146,'Клиентлер'!$A$8:$A$31,0)),"Код қәте"))</x:f>
      </x:c>
      <x:c r="F146" s="11"/>
      <x:c r="G146" s="11"/>
      <x:c r="H146" s="11"/>
      <x:c r="I146" s="11"/>
      <x:c r="J146" s="11"/>
      <x:c r="K146" s="10"/>
      <x:c r="L146" s="2" t="n">
        <x:f>IF(COUNTA(A146:C146,F146:K146)=0,0,IF(AND(COUNT(A146:C146)=3,COUNT(F146:J146)=5),0,1))</x:f>
        <x:v>0</x:v>
      </x:c>
      <x:c r="M146" s="2" t="n">
        <x:f>IF(COUNTA(A146:C146,F146:K146)=0,0,IF(OR(H146&gt;F146,I146&gt;G146,D146="Код қәте",E146="Код қәте"),1,0))</x:f>
        <x:v>0</x:v>
      </x:c>
      <x:c r="N146" s="2" t="str">
        <x:f>IF(B146="","",_xlfn.IFNA(INDEX('Клиентлер'!$B$8:$B$31,MATCH(B146,'Клиентлер'!$A$8:$A$31,0)),"Код қәте"))</x:f>
      </x:c>
    </x:row>
    <x:row r="147" ht="40" customHeight="1">
      <x:c r="A147" s="12"/>
      <x:c r="B147" s="10"/>
      <x:c r="C147" s="10"/>
      <x:c r="D147" s="13" t="str">
        <x:f>IF(C147="","",_xlfn.IFNA(INDEX('Күнлик реже'!$D$8:$D$390,MATCH(C147,'Күнлик реже'!$A$8:$A$390,0)),"Код қәте"))</x:f>
      </x:c>
      <x:c r="E147" s="2" t="str">
        <x:f>IF(B147="","",_xlfn.IFNA(INDEX('Клиентлер'!$E$8:$E$31,MATCH(B147,'Клиентлер'!$A$8:$A$31,0)),"Код қәте"))</x:f>
      </x:c>
      <x:c r="F147" s="11"/>
      <x:c r="G147" s="11"/>
      <x:c r="H147" s="11"/>
      <x:c r="I147" s="11"/>
      <x:c r="J147" s="11"/>
      <x:c r="K147" s="10"/>
      <x:c r="L147" s="2" t="n">
        <x:f>IF(COUNTA(A147:C147,F147:K147)=0,0,IF(AND(COUNT(A147:C147)=3,COUNT(F147:J147)=5),0,1))</x:f>
        <x:v>0</x:v>
      </x:c>
      <x:c r="M147" s="2" t="n">
        <x:f>IF(COUNTA(A147:C147,F147:K147)=0,0,IF(OR(H147&gt;F147,I147&gt;G147,D147="Код қәте",E147="Код қәте"),1,0))</x:f>
        <x:v>0</x:v>
      </x:c>
      <x:c r="N147" s="2" t="str">
        <x:f>IF(B147="","",_xlfn.IFNA(INDEX('Клиентлер'!$B$8:$B$31,MATCH(B147,'Клиентлер'!$A$8:$A$31,0)),"Код қәте"))</x:f>
      </x:c>
    </x:row>
    <x:row r="148" ht="40" customHeight="1">
      <x:c r="A148" s="12"/>
      <x:c r="B148" s="10"/>
      <x:c r="C148" s="10"/>
      <x:c r="D148" s="13" t="str">
        <x:f>IF(C148="","",_xlfn.IFNA(INDEX('Күнлик реже'!$D$8:$D$390,MATCH(C148,'Күнлик реже'!$A$8:$A$390,0)),"Код қәте"))</x:f>
      </x:c>
      <x:c r="E148" s="2" t="str">
        <x:f>IF(B148="","",_xlfn.IFNA(INDEX('Клиентлер'!$E$8:$E$31,MATCH(B148,'Клиентлер'!$A$8:$A$31,0)),"Код қәте"))</x:f>
      </x:c>
      <x:c r="F148" s="11"/>
      <x:c r="G148" s="11"/>
      <x:c r="H148" s="11"/>
      <x:c r="I148" s="11"/>
      <x:c r="J148" s="11"/>
      <x:c r="K148" s="10"/>
      <x:c r="L148" s="2" t="n">
        <x:f>IF(COUNTA(A148:C148,F148:K148)=0,0,IF(AND(COUNT(A148:C148)=3,COUNT(F148:J148)=5),0,1))</x:f>
        <x:v>0</x:v>
      </x:c>
      <x:c r="M148" s="2" t="n">
        <x:f>IF(COUNTA(A148:C148,F148:K148)=0,0,IF(OR(H148&gt;F148,I148&gt;G148,D148="Код қәте",E148="Код қәте"),1,0))</x:f>
        <x:v>0</x:v>
      </x:c>
      <x:c r="N148" s="2" t="str">
        <x:f>IF(B148="","",_xlfn.IFNA(INDEX('Клиентлер'!$B$8:$B$31,MATCH(B148,'Клиентлер'!$A$8:$A$31,0)),"Код қәте"))</x:f>
      </x:c>
    </x:row>
    <x:row r="149" ht="40" customHeight="1">
      <x:c r="A149" s="12"/>
      <x:c r="B149" s="10"/>
      <x:c r="C149" s="10"/>
      <x:c r="D149" s="13" t="str">
        <x:f>IF(C149="","",_xlfn.IFNA(INDEX('Күнлик реже'!$D$8:$D$390,MATCH(C149,'Күнлик реже'!$A$8:$A$390,0)),"Код қәте"))</x:f>
      </x:c>
      <x:c r="E149" s="2" t="str">
        <x:f>IF(B149="","",_xlfn.IFNA(INDEX('Клиентлер'!$E$8:$E$31,MATCH(B149,'Клиентлер'!$A$8:$A$31,0)),"Код қәте"))</x:f>
      </x:c>
      <x:c r="F149" s="11"/>
      <x:c r="G149" s="11"/>
      <x:c r="H149" s="11"/>
      <x:c r="I149" s="11"/>
      <x:c r="J149" s="11"/>
      <x:c r="K149" s="10"/>
      <x:c r="L149" s="2" t="n">
        <x:f>IF(COUNTA(A149:C149,F149:K149)=0,0,IF(AND(COUNT(A149:C149)=3,COUNT(F149:J149)=5),0,1))</x:f>
        <x:v>0</x:v>
      </x:c>
      <x:c r="M149" s="2" t="n">
        <x:f>IF(COUNTA(A149:C149,F149:K149)=0,0,IF(OR(H149&gt;F149,I149&gt;G149,D149="Код қәте",E149="Код қәте"),1,0))</x:f>
        <x:v>0</x:v>
      </x:c>
      <x:c r="N149" s="2" t="str">
        <x:f>IF(B149="","",_xlfn.IFNA(INDEX('Клиентлер'!$B$8:$B$31,MATCH(B149,'Клиентлер'!$A$8:$A$31,0)),"Код қәте"))</x:f>
      </x:c>
    </x:row>
    <x:row r="150" ht="40" customHeight="1">
      <x:c r="A150" s="12"/>
      <x:c r="B150" s="10"/>
      <x:c r="C150" s="10"/>
      <x:c r="D150" s="13" t="str">
        <x:f>IF(C150="","",_xlfn.IFNA(INDEX('Күнлик реже'!$D$8:$D$390,MATCH(C150,'Күнлик реже'!$A$8:$A$390,0)),"Код қәте"))</x:f>
      </x:c>
      <x:c r="E150" s="2" t="str">
        <x:f>IF(B150="","",_xlfn.IFNA(INDEX('Клиентлер'!$E$8:$E$31,MATCH(B150,'Клиентлер'!$A$8:$A$31,0)),"Код қәте"))</x:f>
      </x:c>
      <x:c r="F150" s="11"/>
      <x:c r="G150" s="11"/>
      <x:c r="H150" s="11"/>
      <x:c r="I150" s="11"/>
      <x:c r="J150" s="11"/>
      <x:c r="K150" s="10"/>
      <x:c r="L150" s="2" t="n">
        <x:f>IF(COUNTA(A150:C150,F150:K150)=0,0,IF(AND(COUNT(A150:C150)=3,COUNT(F150:J150)=5),0,1))</x:f>
        <x:v>0</x:v>
      </x:c>
      <x:c r="M150" s="2" t="n">
        <x:f>IF(COUNTA(A150:C150,F150:K150)=0,0,IF(OR(H150&gt;F150,I150&gt;G150,D150="Код қәте",E150="Код қәте"),1,0))</x:f>
        <x:v>0</x:v>
      </x:c>
      <x:c r="N150" s="2" t="str">
        <x:f>IF(B150="","",_xlfn.IFNA(INDEX('Клиентлер'!$B$8:$B$31,MATCH(B150,'Клиентлер'!$A$8:$A$31,0)),"Код қәте"))</x:f>
      </x:c>
    </x:row>
    <x:row r="151" ht="40" customHeight="1">
      <x:c r="A151" s="12"/>
      <x:c r="B151" s="10"/>
      <x:c r="C151" s="10"/>
      <x:c r="D151" s="13" t="str">
        <x:f>IF(C151="","",_xlfn.IFNA(INDEX('Күнлик реже'!$D$8:$D$390,MATCH(C151,'Күнлик реже'!$A$8:$A$390,0)),"Код қәте"))</x:f>
      </x:c>
      <x:c r="E151" s="2" t="str">
        <x:f>IF(B151="","",_xlfn.IFNA(INDEX('Клиентлер'!$E$8:$E$31,MATCH(B151,'Клиентлер'!$A$8:$A$31,0)),"Код қәте"))</x:f>
      </x:c>
      <x:c r="F151" s="11"/>
      <x:c r="G151" s="11"/>
      <x:c r="H151" s="11"/>
      <x:c r="I151" s="11"/>
      <x:c r="J151" s="11"/>
      <x:c r="K151" s="10"/>
      <x:c r="L151" s="2" t="n">
        <x:f>IF(COUNTA(A151:C151,F151:K151)=0,0,IF(AND(COUNT(A151:C151)=3,COUNT(F151:J151)=5),0,1))</x:f>
        <x:v>0</x:v>
      </x:c>
      <x:c r="M151" s="2" t="n">
        <x:f>IF(COUNTA(A151:C151,F151:K151)=0,0,IF(OR(H151&gt;F151,I151&gt;G151,D151="Код қәте",E151="Код қәте"),1,0))</x:f>
        <x:v>0</x:v>
      </x:c>
      <x:c r="N151" s="2" t="str">
        <x:f>IF(B151="","",_xlfn.IFNA(INDEX('Клиентлер'!$B$8:$B$31,MATCH(B151,'Клиентлер'!$A$8:$A$31,0)),"Код қәте"))</x:f>
      </x:c>
    </x:row>
    <x:row r="152" ht="40" customHeight="1">
      <x:c r="A152" s="12"/>
      <x:c r="B152" s="10"/>
      <x:c r="C152" s="10"/>
      <x:c r="D152" s="13" t="str">
        <x:f>IF(C152="","",_xlfn.IFNA(INDEX('Күнлик реже'!$D$8:$D$390,MATCH(C152,'Күнлик реже'!$A$8:$A$390,0)),"Код қәте"))</x:f>
      </x:c>
      <x:c r="E152" s="2" t="str">
        <x:f>IF(B152="","",_xlfn.IFNA(INDEX('Клиентлер'!$E$8:$E$31,MATCH(B152,'Клиентлер'!$A$8:$A$31,0)),"Код қәте"))</x:f>
      </x:c>
      <x:c r="F152" s="11"/>
      <x:c r="G152" s="11"/>
      <x:c r="H152" s="11"/>
      <x:c r="I152" s="11"/>
      <x:c r="J152" s="11"/>
      <x:c r="K152" s="10"/>
      <x:c r="L152" s="2" t="n">
        <x:f>IF(COUNTA(A152:C152,F152:K152)=0,0,IF(AND(COUNT(A152:C152)=3,COUNT(F152:J152)=5),0,1))</x:f>
        <x:v>0</x:v>
      </x:c>
      <x:c r="M152" s="2" t="n">
        <x:f>IF(COUNTA(A152:C152,F152:K152)=0,0,IF(OR(H152&gt;F152,I152&gt;G152,D152="Код қәте",E152="Код қәте"),1,0))</x:f>
        <x:v>0</x:v>
      </x:c>
      <x:c r="N152" s="2" t="str">
        <x:f>IF(B152="","",_xlfn.IFNA(INDEX('Клиентлер'!$B$8:$B$31,MATCH(B152,'Клиентлер'!$A$8:$A$31,0)),"Код қәте"))</x:f>
      </x:c>
    </x:row>
    <x:row r="153" ht="40" customHeight="1">
      <x:c r="A153" s="12"/>
      <x:c r="B153" s="10"/>
      <x:c r="C153" s="10"/>
      <x:c r="D153" s="13" t="str">
        <x:f>IF(C153="","",_xlfn.IFNA(INDEX('Күнлик реже'!$D$8:$D$390,MATCH(C153,'Күнлик реже'!$A$8:$A$390,0)),"Код қәте"))</x:f>
      </x:c>
      <x:c r="E153" s="2" t="str">
        <x:f>IF(B153="","",_xlfn.IFNA(INDEX('Клиентлер'!$E$8:$E$31,MATCH(B153,'Клиентлер'!$A$8:$A$31,0)),"Код қәте"))</x:f>
      </x:c>
      <x:c r="F153" s="11"/>
      <x:c r="G153" s="11"/>
      <x:c r="H153" s="11"/>
      <x:c r="I153" s="11"/>
      <x:c r="J153" s="11"/>
      <x:c r="K153" s="10"/>
      <x:c r="L153" s="2" t="n">
        <x:f>IF(COUNTA(A153:C153,F153:K153)=0,0,IF(AND(COUNT(A153:C153)=3,COUNT(F153:J153)=5),0,1))</x:f>
        <x:v>0</x:v>
      </x:c>
      <x:c r="M153" s="2" t="n">
        <x:f>IF(COUNTA(A153:C153,F153:K153)=0,0,IF(OR(H153&gt;F153,I153&gt;G153,D153="Код қәте",E153="Код қәте"),1,0))</x:f>
        <x:v>0</x:v>
      </x:c>
      <x:c r="N153" s="2" t="str">
        <x:f>IF(B153="","",_xlfn.IFNA(INDEX('Клиентлер'!$B$8:$B$31,MATCH(B153,'Клиентлер'!$A$8:$A$31,0)),"Код қәте"))</x:f>
      </x:c>
    </x:row>
    <x:row r="154" ht="40" customHeight="1">
      <x:c r="A154" s="12"/>
      <x:c r="B154" s="10"/>
      <x:c r="C154" s="10"/>
      <x:c r="D154" s="13" t="str">
        <x:f>IF(C154="","",_xlfn.IFNA(INDEX('Күнлик реже'!$D$8:$D$390,MATCH(C154,'Күнлик реже'!$A$8:$A$390,0)),"Код қәте"))</x:f>
      </x:c>
      <x:c r="E154" s="2" t="str">
        <x:f>IF(B154="","",_xlfn.IFNA(INDEX('Клиентлер'!$E$8:$E$31,MATCH(B154,'Клиентлер'!$A$8:$A$31,0)),"Код қәте"))</x:f>
      </x:c>
      <x:c r="F154" s="11"/>
      <x:c r="G154" s="11"/>
      <x:c r="H154" s="11"/>
      <x:c r="I154" s="11"/>
      <x:c r="J154" s="11"/>
      <x:c r="K154" s="10"/>
      <x:c r="L154" s="2" t="n">
        <x:f>IF(COUNTA(A154:C154,F154:K154)=0,0,IF(AND(COUNT(A154:C154)=3,COUNT(F154:J154)=5),0,1))</x:f>
        <x:v>0</x:v>
      </x:c>
      <x:c r="M154" s="2" t="n">
        <x:f>IF(COUNTA(A154:C154,F154:K154)=0,0,IF(OR(H154&gt;F154,I154&gt;G154,D154="Код қәте",E154="Код қәте"),1,0))</x:f>
        <x:v>0</x:v>
      </x:c>
      <x:c r="N154" s="2" t="str">
        <x:f>IF(B154="","",_xlfn.IFNA(INDEX('Клиентлер'!$B$8:$B$31,MATCH(B154,'Клиентлер'!$A$8:$A$31,0)),"Код қәте"))</x:f>
      </x:c>
    </x:row>
    <x:row r="155" ht="40" customHeight="1">
      <x:c r="A155" s="12"/>
      <x:c r="B155" s="10"/>
      <x:c r="C155" s="10"/>
      <x:c r="D155" s="13" t="str">
        <x:f>IF(C155="","",_xlfn.IFNA(INDEX('Күнлик реже'!$D$8:$D$390,MATCH(C155,'Күнлик реже'!$A$8:$A$390,0)),"Код қәте"))</x:f>
      </x:c>
      <x:c r="E155" s="2" t="str">
        <x:f>IF(B155="","",_xlfn.IFNA(INDEX('Клиентлер'!$E$8:$E$31,MATCH(B155,'Клиентлер'!$A$8:$A$31,0)),"Код қәте"))</x:f>
      </x:c>
      <x:c r="F155" s="11"/>
      <x:c r="G155" s="11"/>
      <x:c r="H155" s="11"/>
      <x:c r="I155" s="11"/>
      <x:c r="J155" s="11"/>
      <x:c r="K155" s="10"/>
      <x:c r="L155" s="2" t="n">
        <x:f>IF(COUNTA(A155:C155,F155:K155)=0,0,IF(AND(COUNT(A155:C155)=3,COUNT(F155:J155)=5),0,1))</x:f>
        <x:v>0</x:v>
      </x:c>
      <x:c r="M155" s="2" t="n">
        <x:f>IF(COUNTA(A155:C155,F155:K155)=0,0,IF(OR(H155&gt;F155,I155&gt;G155,D155="Код қәте",E155="Код қәте"),1,0))</x:f>
        <x:v>0</x:v>
      </x:c>
      <x:c r="N155" s="2" t="str">
        <x:f>IF(B155="","",_xlfn.IFNA(INDEX('Клиентлер'!$B$8:$B$31,MATCH(B155,'Клиентлер'!$A$8:$A$31,0)),"Код қәте"))</x:f>
      </x:c>
    </x:row>
    <x:row r="156" ht="40" customHeight="1">
      <x:c r="A156" s="12"/>
      <x:c r="B156" s="10"/>
      <x:c r="C156" s="10"/>
      <x:c r="D156" s="13" t="str">
        <x:f>IF(C156="","",_xlfn.IFNA(INDEX('Күнлик реже'!$D$8:$D$390,MATCH(C156,'Күнлик реже'!$A$8:$A$390,0)),"Код қәте"))</x:f>
      </x:c>
      <x:c r="E156" s="2" t="str">
        <x:f>IF(B156="","",_xlfn.IFNA(INDEX('Клиентлер'!$E$8:$E$31,MATCH(B156,'Клиентлер'!$A$8:$A$31,0)),"Код қәте"))</x:f>
      </x:c>
      <x:c r="F156" s="11"/>
      <x:c r="G156" s="11"/>
      <x:c r="H156" s="11"/>
      <x:c r="I156" s="11"/>
      <x:c r="J156" s="11"/>
      <x:c r="K156" s="10"/>
      <x:c r="L156" s="2" t="n">
        <x:f>IF(COUNTA(A156:C156,F156:K156)=0,0,IF(AND(COUNT(A156:C156)=3,COUNT(F156:J156)=5),0,1))</x:f>
        <x:v>0</x:v>
      </x:c>
      <x:c r="M156" s="2" t="n">
        <x:f>IF(COUNTA(A156:C156,F156:K156)=0,0,IF(OR(H156&gt;F156,I156&gt;G156,D156="Код қәте",E156="Код қәте"),1,0))</x:f>
        <x:v>0</x:v>
      </x:c>
      <x:c r="N156" s="2" t="str">
        <x:f>IF(B156="","",_xlfn.IFNA(INDEX('Клиентлер'!$B$8:$B$31,MATCH(B156,'Клиентлер'!$A$8:$A$31,0)),"Код қәте"))</x:f>
      </x:c>
    </x:row>
    <x:row r="157" ht="40" customHeight="1">
      <x:c r="A157" s="12"/>
      <x:c r="B157" s="10"/>
      <x:c r="C157" s="10"/>
      <x:c r="D157" s="13" t="str">
        <x:f>IF(C157="","",_xlfn.IFNA(INDEX('Күнлик реже'!$D$8:$D$390,MATCH(C157,'Күнлик реже'!$A$8:$A$390,0)),"Код қәте"))</x:f>
      </x:c>
      <x:c r="E157" s="2" t="str">
        <x:f>IF(B157="","",_xlfn.IFNA(INDEX('Клиентлер'!$E$8:$E$31,MATCH(B157,'Клиентлер'!$A$8:$A$31,0)),"Код қәте"))</x:f>
      </x:c>
      <x:c r="F157" s="11"/>
      <x:c r="G157" s="11"/>
      <x:c r="H157" s="11"/>
      <x:c r="I157" s="11"/>
      <x:c r="J157" s="11"/>
      <x:c r="K157" s="10"/>
      <x:c r="L157" s="2" t="n">
        <x:f>IF(COUNTA(A157:C157,F157:K157)=0,0,IF(AND(COUNT(A157:C157)=3,COUNT(F157:J157)=5),0,1))</x:f>
        <x:v>0</x:v>
      </x:c>
      <x:c r="M157" s="2" t="n">
        <x:f>IF(COUNTA(A157:C157,F157:K157)=0,0,IF(OR(H157&gt;F157,I157&gt;G157,D157="Код қәте",E157="Код қәте"),1,0))</x:f>
        <x:v>0</x:v>
      </x:c>
      <x:c r="N157" s="2" t="str">
        <x:f>IF(B157="","",_xlfn.IFNA(INDEX('Клиентлер'!$B$8:$B$31,MATCH(B157,'Клиентлер'!$A$8:$A$31,0)),"Код қәте"))</x:f>
      </x:c>
    </x:row>
    <x:row r="158" ht="40" customHeight="1">
      <x:c r="A158" s="12"/>
      <x:c r="B158" s="10"/>
      <x:c r="C158" s="10"/>
      <x:c r="D158" s="13" t="str">
        <x:f>IF(C158="","",_xlfn.IFNA(INDEX('Күнлик реже'!$D$8:$D$390,MATCH(C158,'Күнлик реже'!$A$8:$A$390,0)),"Код қәте"))</x:f>
      </x:c>
      <x:c r="E158" s="2" t="str">
        <x:f>IF(B158="","",_xlfn.IFNA(INDEX('Клиентлер'!$E$8:$E$31,MATCH(B158,'Клиентлер'!$A$8:$A$31,0)),"Код қәте"))</x:f>
      </x:c>
      <x:c r="F158" s="11"/>
      <x:c r="G158" s="11"/>
      <x:c r="H158" s="11"/>
      <x:c r="I158" s="11"/>
      <x:c r="J158" s="11"/>
      <x:c r="K158" s="10"/>
      <x:c r="L158" s="2" t="n">
        <x:f>IF(COUNTA(A158:C158,F158:K158)=0,0,IF(AND(COUNT(A158:C158)=3,COUNT(F158:J158)=5),0,1))</x:f>
        <x:v>0</x:v>
      </x:c>
      <x:c r="M158" s="2" t="n">
        <x:f>IF(COUNTA(A158:C158,F158:K158)=0,0,IF(OR(H158&gt;F158,I158&gt;G158,D158="Код қәте",E158="Код қәте"),1,0))</x:f>
        <x:v>0</x:v>
      </x:c>
      <x:c r="N158" s="2" t="str">
        <x:f>IF(B158="","",_xlfn.IFNA(INDEX('Клиентлер'!$B$8:$B$31,MATCH(B158,'Клиентлер'!$A$8:$A$31,0)),"Код қәте"))</x:f>
      </x:c>
    </x:row>
    <x:row r="159" ht="40" customHeight="1">
      <x:c r="A159" s="12"/>
      <x:c r="B159" s="10"/>
      <x:c r="C159" s="10"/>
      <x:c r="D159" s="13" t="str">
        <x:f>IF(C159="","",_xlfn.IFNA(INDEX('Күнлик реже'!$D$8:$D$390,MATCH(C159,'Күнлик реже'!$A$8:$A$390,0)),"Код қәте"))</x:f>
      </x:c>
      <x:c r="E159" s="2" t="str">
        <x:f>IF(B159="","",_xlfn.IFNA(INDEX('Клиентлер'!$E$8:$E$31,MATCH(B159,'Клиентлер'!$A$8:$A$31,0)),"Код қәте"))</x:f>
      </x:c>
      <x:c r="F159" s="11"/>
      <x:c r="G159" s="11"/>
      <x:c r="H159" s="11"/>
      <x:c r="I159" s="11"/>
      <x:c r="J159" s="11"/>
      <x:c r="K159" s="10"/>
      <x:c r="L159" s="2" t="n">
        <x:f>IF(COUNTA(A159:C159,F159:K159)=0,0,IF(AND(COUNT(A159:C159)=3,COUNT(F159:J159)=5),0,1))</x:f>
        <x:v>0</x:v>
      </x:c>
      <x:c r="M159" s="2" t="n">
        <x:f>IF(COUNTA(A159:C159,F159:K159)=0,0,IF(OR(H159&gt;F159,I159&gt;G159,D159="Код қәте",E159="Код қәте"),1,0))</x:f>
        <x:v>0</x:v>
      </x:c>
      <x:c r="N159" s="2" t="str">
        <x:f>IF(B159="","",_xlfn.IFNA(INDEX('Клиентлер'!$B$8:$B$31,MATCH(B159,'Клиентлер'!$A$8:$A$31,0)),"Код қәте"))</x:f>
      </x:c>
    </x:row>
    <x:row r="160" ht="40" customHeight="1">
      <x:c r="A160" s="12"/>
      <x:c r="B160" s="10"/>
      <x:c r="C160" s="10"/>
      <x:c r="D160" s="13" t="str">
        <x:f>IF(C160="","",_xlfn.IFNA(INDEX('Күнлик реже'!$D$8:$D$390,MATCH(C160,'Күнлик реже'!$A$8:$A$390,0)),"Код қәте"))</x:f>
      </x:c>
      <x:c r="E160" s="2" t="str">
        <x:f>IF(B160="","",_xlfn.IFNA(INDEX('Клиентлер'!$E$8:$E$31,MATCH(B160,'Клиентлер'!$A$8:$A$31,0)),"Код қәте"))</x:f>
      </x:c>
      <x:c r="F160" s="11"/>
      <x:c r="G160" s="11"/>
      <x:c r="H160" s="11"/>
      <x:c r="I160" s="11"/>
      <x:c r="J160" s="11"/>
      <x:c r="K160" s="10"/>
      <x:c r="L160" s="2" t="n">
        <x:f>IF(COUNTA(A160:C160,F160:K160)=0,0,IF(AND(COUNT(A160:C160)=3,COUNT(F160:J160)=5),0,1))</x:f>
        <x:v>0</x:v>
      </x:c>
      <x:c r="M160" s="2" t="n">
        <x:f>IF(COUNTA(A160:C160,F160:K160)=0,0,IF(OR(H160&gt;F160,I160&gt;G160,D160="Код қәте",E160="Код қәте"),1,0))</x:f>
        <x:v>0</x:v>
      </x:c>
      <x:c r="N160" s="2" t="str">
        <x:f>IF(B160="","",_xlfn.IFNA(INDEX('Клиентлер'!$B$8:$B$31,MATCH(B160,'Клиентлер'!$A$8:$A$31,0)),"Код қәте"))</x:f>
      </x:c>
    </x:row>
    <x:row r="161" ht="40" customHeight="1">
      <x:c r="A161" s="12"/>
      <x:c r="B161" s="10"/>
      <x:c r="C161" s="10"/>
      <x:c r="D161" s="13" t="str">
        <x:f>IF(C161="","",_xlfn.IFNA(INDEX('Күнлик реже'!$D$8:$D$390,MATCH(C161,'Күнлик реже'!$A$8:$A$390,0)),"Код қәте"))</x:f>
      </x:c>
      <x:c r="E161" s="2" t="str">
        <x:f>IF(B161="","",_xlfn.IFNA(INDEX('Клиентлер'!$E$8:$E$31,MATCH(B161,'Клиентлер'!$A$8:$A$31,0)),"Код қәте"))</x:f>
      </x:c>
      <x:c r="F161" s="11"/>
      <x:c r="G161" s="11"/>
      <x:c r="H161" s="11"/>
      <x:c r="I161" s="11"/>
      <x:c r="J161" s="11"/>
      <x:c r="K161" s="10"/>
      <x:c r="L161" s="2" t="n">
        <x:f>IF(COUNTA(A161:C161,F161:K161)=0,0,IF(AND(COUNT(A161:C161)=3,COUNT(F161:J161)=5),0,1))</x:f>
        <x:v>0</x:v>
      </x:c>
      <x:c r="M161" s="2" t="n">
        <x:f>IF(COUNTA(A161:C161,F161:K161)=0,0,IF(OR(H161&gt;F161,I161&gt;G161,D161="Код қәте",E161="Код қәте"),1,0))</x:f>
        <x:v>0</x:v>
      </x:c>
      <x:c r="N161" s="2" t="str">
        <x:f>IF(B161="","",_xlfn.IFNA(INDEX('Клиентлер'!$B$8:$B$31,MATCH(B161,'Клиентлер'!$A$8:$A$31,0)),"Код қәте"))</x:f>
      </x:c>
    </x:row>
    <x:row r="162" ht="40" customHeight="1">
      <x:c r="A162" s="12"/>
      <x:c r="B162" s="10"/>
      <x:c r="C162" s="10"/>
      <x:c r="D162" s="13" t="str">
        <x:f>IF(C162="","",_xlfn.IFNA(INDEX('Күнлик реже'!$D$8:$D$390,MATCH(C162,'Күнлик реже'!$A$8:$A$390,0)),"Код қәте"))</x:f>
      </x:c>
      <x:c r="E162" s="2" t="str">
        <x:f>IF(B162="","",_xlfn.IFNA(INDEX('Клиентлер'!$E$8:$E$31,MATCH(B162,'Клиентлер'!$A$8:$A$31,0)),"Код қәте"))</x:f>
      </x:c>
      <x:c r="F162" s="11"/>
      <x:c r="G162" s="11"/>
      <x:c r="H162" s="11"/>
      <x:c r="I162" s="11"/>
      <x:c r="J162" s="11"/>
      <x:c r="K162" s="10"/>
      <x:c r="L162" s="2" t="n">
        <x:f>IF(COUNTA(A162:C162,F162:K162)=0,0,IF(AND(COUNT(A162:C162)=3,COUNT(F162:J162)=5),0,1))</x:f>
        <x:v>0</x:v>
      </x:c>
      <x:c r="M162" s="2" t="n">
        <x:f>IF(COUNTA(A162:C162,F162:K162)=0,0,IF(OR(H162&gt;F162,I162&gt;G162,D162="Код қәте",E162="Код қәте"),1,0))</x:f>
        <x:v>0</x:v>
      </x:c>
      <x:c r="N162" s="2" t="str">
        <x:f>IF(B162="","",_xlfn.IFNA(INDEX('Клиентлер'!$B$8:$B$31,MATCH(B162,'Клиентлер'!$A$8:$A$31,0)),"Код қәте"))</x:f>
      </x:c>
    </x:row>
    <x:row r="163" ht="40" customHeight="1">
      <x:c r="A163" s="12"/>
      <x:c r="B163" s="10"/>
      <x:c r="C163" s="10"/>
      <x:c r="D163" s="13" t="str">
        <x:f>IF(C163="","",_xlfn.IFNA(INDEX('Күнлик реже'!$D$8:$D$390,MATCH(C163,'Күнлик реже'!$A$8:$A$390,0)),"Код қәте"))</x:f>
      </x:c>
      <x:c r="E163" s="2" t="str">
        <x:f>IF(B163="","",_xlfn.IFNA(INDEX('Клиентлер'!$E$8:$E$31,MATCH(B163,'Клиентлер'!$A$8:$A$31,0)),"Код қәте"))</x:f>
      </x:c>
      <x:c r="F163" s="11"/>
      <x:c r="G163" s="11"/>
      <x:c r="H163" s="11"/>
      <x:c r="I163" s="11"/>
      <x:c r="J163" s="11"/>
      <x:c r="K163" s="10"/>
      <x:c r="L163" s="2" t="n">
        <x:f>IF(COUNTA(A163:C163,F163:K163)=0,0,IF(AND(COUNT(A163:C163)=3,COUNT(F163:J163)=5),0,1))</x:f>
        <x:v>0</x:v>
      </x:c>
      <x:c r="M163" s="2" t="n">
        <x:f>IF(COUNTA(A163:C163,F163:K163)=0,0,IF(OR(H163&gt;F163,I163&gt;G163,D163="Код қәте",E163="Код қәте"),1,0))</x:f>
        <x:v>0</x:v>
      </x:c>
      <x:c r="N163" s="2" t="str">
        <x:f>IF(B163="","",_xlfn.IFNA(INDEX('Клиентлер'!$B$8:$B$31,MATCH(B163,'Клиентлер'!$A$8:$A$31,0)),"Код қәте"))</x:f>
      </x:c>
    </x:row>
    <x:row r="164" ht="40" customHeight="1">
      <x:c r="A164" s="12"/>
      <x:c r="B164" s="10"/>
      <x:c r="C164" s="10"/>
      <x:c r="D164" s="13" t="str">
        <x:f>IF(C164="","",_xlfn.IFNA(INDEX('Күнлик реже'!$D$8:$D$390,MATCH(C164,'Күнлик реже'!$A$8:$A$390,0)),"Код қәте"))</x:f>
      </x:c>
      <x:c r="E164" s="2" t="str">
        <x:f>IF(B164="","",_xlfn.IFNA(INDEX('Клиентлер'!$E$8:$E$31,MATCH(B164,'Клиентлер'!$A$8:$A$31,0)),"Код қәте"))</x:f>
      </x:c>
      <x:c r="F164" s="11"/>
      <x:c r="G164" s="11"/>
      <x:c r="H164" s="11"/>
      <x:c r="I164" s="11"/>
      <x:c r="J164" s="11"/>
      <x:c r="K164" s="10"/>
      <x:c r="L164" s="2" t="n">
        <x:f>IF(COUNTA(A164:C164,F164:K164)=0,0,IF(AND(COUNT(A164:C164)=3,COUNT(F164:J164)=5),0,1))</x:f>
        <x:v>0</x:v>
      </x:c>
      <x:c r="M164" s="2" t="n">
        <x:f>IF(COUNTA(A164:C164,F164:K164)=0,0,IF(OR(H164&gt;F164,I164&gt;G164,D164="Код қәте",E164="Код қәте"),1,0))</x:f>
        <x:v>0</x:v>
      </x:c>
      <x:c r="N164" s="2" t="str">
        <x:f>IF(B164="","",_xlfn.IFNA(INDEX('Клиентлер'!$B$8:$B$31,MATCH(B164,'Клиентлер'!$A$8:$A$31,0)),"Код қәте"))</x:f>
      </x:c>
    </x:row>
    <x:row r="165" ht="40" customHeight="1">
      <x:c r="A165" s="12"/>
      <x:c r="B165" s="10"/>
      <x:c r="C165" s="10"/>
      <x:c r="D165" s="13" t="str">
        <x:f>IF(C165="","",_xlfn.IFNA(INDEX('Күнлик реже'!$D$8:$D$390,MATCH(C165,'Күнлик реже'!$A$8:$A$390,0)),"Код қәте"))</x:f>
      </x:c>
      <x:c r="E165" s="2" t="str">
        <x:f>IF(B165="","",_xlfn.IFNA(INDEX('Клиентлер'!$E$8:$E$31,MATCH(B165,'Клиентлер'!$A$8:$A$31,0)),"Код қәте"))</x:f>
      </x:c>
      <x:c r="F165" s="11"/>
      <x:c r="G165" s="11"/>
      <x:c r="H165" s="11"/>
      <x:c r="I165" s="11"/>
      <x:c r="J165" s="11"/>
      <x:c r="K165" s="10"/>
      <x:c r="L165" s="2" t="n">
        <x:f>IF(COUNTA(A165:C165,F165:K165)=0,0,IF(AND(COUNT(A165:C165)=3,COUNT(F165:J165)=5),0,1))</x:f>
        <x:v>0</x:v>
      </x:c>
      <x:c r="M165" s="2" t="n">
        <x:f>IF(COUNTA(A165:C165,F165:K165)=0,0,IF(OR(H165&gt;F165,I165&gt;G165,D165="Код қәте",E165="Код қәте"),1,0))</x:f>
        <x:v>0</x:v>
      </x:c>
      <x:c r="N165" s="2" t="str">
        <x:f>IF(B165="","",_xlfn.IFNA(INDEX('Клиентлер'!$B$8:$B$31,MATCH(B165,'Клиентлер'!$A$8:$A$31,0)),"Код қәте"))</x:f>
      </x:c>
    </x:row>
    <x:row r="166" ht="40" customHeight="1">
      <x:c r="A166" s="12"/>
      <x:c r="B166" s="10"/>
      <x:c r="C166" s="10"/>
      <x:c r="D166" s="13" t="str">
        <x:f>IF(C166="","",_xlfn.IFNA(INDEX('Күнлик реже'!$D$8:$D$390,MATCH(C166,'Күнлик реже'!$A$8:$A$390,0)),"Код қәте"))</x:f>
      </x:c>
      <x:c r="E166" s="2" t="str">
        <x:f>IF(B166="","",_xlfn.IFNA(INDEX('Клиентлер'!$E$8:$E$31,MATCH(B166,'Клиентлер'!$A$8:$A$31,0)),"Код қәте"))</x:f>
      </x:c>
      <x:c r="F166" s="11"/>
      <x:c r="G166" s="11"/>
      <x:c r="H166" s="11"/>
      <x:c r="I166" s="11"/>
      <x:c r="J166" s="11"/>
      <x:c r="K166" s="10"/>
      <x:c r="L166" s="2" t="n">
        <x:f>IF(COUNTA(A166:C166,F166:K166)=0,0,IF(AND(COUNT(A166:C166)=3,COUNT(F166:J166)=5),0,1))</x:f>
        <x:v>0</x:v>
      </x:c>
      <x:c r="M166" s="2" t="n">
        <x:f>IF(COUNTA(A166:C166,F166:K166)=0,0,IF(OR(H166&gt;F166,I166&gt;G166,D166="Код қәте",E166="Код қәте"),1,0))</x:f>
        <x:v>0</x:v>
      </x:c>
      <x:c r="N166" s="2" t="str">
        <x:f>IF(B166="","",_xlfn.IFNA(INDEX('Клиентлер'!$B$8:$B$31,MATCH(B166,'Клиентлер'!$A$8:$A$31,0)),"Код қәте"))</x:f>
      </x:c>
    </x:row>
    <x:row r="167" ht="40" customHeight="1">
      <x:c r="A167" s="12"/>
      <x:c r="B167" s="10"/>
      <x:c r="C167" s="10"/>
      <x:c r="D167" s="13" t="str">
        <x:f>IF(C167="","",_xlfn.IFNA(INDEX('Күнлик реже'!$D$8:$D$390,MATCH(C167,'Күнлик реже'!$A$8:$A$390,0)),"Код қәте"))</x:f>
      </x:c>
      <x:c r="E167" s="2" t="str">
        <x:f>IF(B167="","",_xlfn.IFNA(INDEX('Клиентлер'!$E$8:$E$31,MATCH(B167,'Клиентлер'!$A$8:$A$31,0)),"Код қәте"))</x:f>
      </x:c>
      <x:c r="F167" s="11"/>
      <x:c r="G167" s="11"/>
      <x:c r="H167" s="11"/>
      <x:c r="I167" s="11"/>
      <x:c r="J167" s="11"/>
      <x:c r="K167" s="10"/>
      <x:c r="L167" s="2" t="n">
        <x:f>IF(COUNTA(A167:C167,F167:K167)=0,0,IF(AND(COUNT(A167:C167)=3,COUNT(F167:J167)=5),0,1))</x:f>
        <x:v>0</x:v>
      </x:c>
      <x:c r="M167" s="2" t="n">
        <x:f>IF(COUNTA(A167:C167,F167:K167)=0,0,IF(OR(H167&gt;F167,I167&gt;G167,D167="Код қәте",E167="Код қәте"),1,0))</x:f>
        <x:v>0</x:v>
      </x:c>
      <x:c r="N167" s="2" t="str">
        <x:f>IF(B167="","",_xlfn.IFNA(INDEX('Клиентлер'!$B$8:$B$31,MATCH(B167,'Клиентлер'!$A$8:$A$31,0)),"Код қәте"))</x:f>
      </x:c>
    </x:row>
    <x:row r="168" ht="40" customHeight="1">
      <x:c r="A168" s="12"/>
      <x:c r="B168" s="10"/>
      <x:c r="C168" s="10"/>
      <x:c r="D168" s="13" t="str">
        <x:f>IF(C168="","",_xlfn.IFNA(INDEX('Күнлик реже'!$D$8:$D$390,MATCH(C168,'Күнлик реже'!$A$8:$A$390,0)),"Код қәте"))</x:f>
      </x:c>
      <x:c r="E168" s="2" t="str">
        <x:f>IF(B168="","",_xlfn.IFNA(INDEX('Клиентлер'!$E$8:$E$31,MATCH(B168,'Клиентлер'!$A$8:$A$31,0)),"Код қәте"))</x:f>
      </x:c>
      <x:c r="F168" s="11"/>
      <x:c r="G168" s="11"/>
      <x:c r="H168" s="11"/>
      <x:c r="I168" s="11"/>
      <x:c r="J168" s="11"/>
      <x:c r="K168" s="10"/>
      <x:c r="L168" s="2" t="n">
        <x:f>IF(COUNTA(A168:C168,F168:K168)=0,0,IF(AND(COUNT(A168:C168)=3,COUNT(F168:J168)=5),0,1))</x:f>
        <x:v>0</x:v>
      </x:c>
      <x:c r="M168" s="2" t="n">
        <x:f>IF(COUNTA(A168:C168,F168:K168)=0,0,IF(OR(H168&gt;F168,I168&gt;G168,D168="Код қәте",E168="Код қәте"),1,0))</x:f>
        <x:v>0</x:v>
      </x:c>
      <x:c r="N168" s="2" t="str">
        <x:f>IF(B168="","",_xlfn.IFNA(INDEX('Клиентлер'!$B$8:$B$31,MATCH(B168,'Клиентлер'!$A$8:$A$31,0)),"Код қәте"))</x:f>
      </x:c>
    </x:row>
    <x:row r="169" ht="40" customHeight="1">
      <x:c r="A169" s="12"/>
      <x:c r="B169" s="10"/>
      <x:c r="C169" s="10"/>
      <x:c r="D169" s="13" t="str">
        <x:f>IF(C169="","",_xlfn.IFNA(INDEX('Күнлик реже'!$D$8:$D$390,MATCH(C169,'Күнлик реже'!$A$8:$A$390,0)),"Код қәте"))</x:f>
      </x:c>
      <x:c r="E169" s="2" t="str">
        <x:f>IF(B169="","",_xlfn.IFNA(INDEX('Клиентлер'!$E$8:$E$31,MATCH(B169,'Клиентлер'!$A$8:$A$31,0)),"Код қәте"))</x:f>
      </x:c>
      <x:c r="F169" s="11"/>
      <x:c r="G169" s="11"/>
      <x:c r="H169" s="11"/>
      <x:c r="I169" s="11"/>
      <x:c r="J169" s="11"/>
      <x:c r="K169" s="10"/>
      <x:c r="L169" s="2" t="n">
        <x:f>IF(COUNTA(A169:C169,F169:K169)=0,0,IF(AND(COUNT(A169:C169)=3,COUNT(F169:J169)=5),0,1))</x:f>
        <x:v>0</x:v>
      </x:c>
      <x:c r="M169" s="2" t="n">
        <x:f>IF(COUNTA(A169:C169,F169:K169)=0,0,IF(OR(H169&gt;F169,I169&gt;G169,D169="Код қәте",E169="Код қәте"),1,0))</x:f>
        <x:v>0</x:v>
      </x:c>
      <x:c r="N169" s="2" t="str">
        <x:f>IF(B169="","",_xlfn.IFNA(INDEX('Клиентлер'!$B$8:$B$31,MATCH(B169,'Клиентлер'!$A$8:$A$31,0)),"Код қәте"))</x:f>
      </x:c>
    </x:row>
    <x:row r="170" ht="40" customHeight="1">
      <x:c r="A170" s="12"/>
      <x:c r="B170" s="10"/>
      <x:c r="C170" s="10"/>
      <x:c r="D170" s="13" t="str">
        <x:f>IF(C170="","",_xlfn.IFNA(INDEX('Күнлик реже'!$D$8:$D$390,MATCH(C170,'Күнлик реже'!$A$8:$A$390,0)),"Код қәте"))</x:f>
      </x:c>
      <x:c r="E170" s="2" t="str">
        <x:f>IF(B170="","",_xlfn.IFNA(INDEX('Клиентлер'!$E$8:$E$31,MATCH(B170,'Клиентлер'!$A$8:$A$31,0)),"Код қәте"))</x:f>
      </x:c>
      <x:c r="F170" s="11"/>
      <x:c r="G170" s="11"/>
      <x:c r="H170" s="11"/>
      <x:c r="I170" s="11"/>
      <x:c r="J170" s="11"/>
      <x:c r="K170" s="10"/>
      <x:c r="L170" s="2" t="n">
        <x:f>IF(COUNTA(A170:C170,F170:K170)=0,0,IF(AND(COUNT(A170:C170)=3,COUNT(F170:J170)=5),0,1))</x:f>
        <x:v>0</x:v>
      </x:c>
      <x:c r="M170" s="2" t="n">
        <x:f>IF(COUNTA(A170:C170,F170:K170)=0,0,IF(OR(H170&gt;F170,I170&gt;G170,D170="Код қәте",E170="Код қәте"),1,0))</x:f>
        <x:v>0</x:v>
      </x:c>
      <x:c r="N170" s="2" t="str">
        <x:f>IF(B170="","",_xlfn.IFNA(INDEX('Клиентлер'!$B$8:$B$31,MATCH(B170,'Клиентлер'!$A$8:$A$31,0)),"Код қәте"))</x:f>
      </x:c>
    </x:row>
    <x:row r="171" ht="40" customHeight="1">
      <x:c r="A171" s="12"/>
      <x:c r="B171" s="10"/>
      <x:c r="C171" s="10"/>
      <x:c r="D171" s="13" t="str">
        <x:f>IF(C171="","",_xlfn.IFNA(INDEX('Күнлик реже'!$D$8:$D$390,MATCH(C171,'Күнлик реже'!$A$8:$A$390,0)),"Код қәте"))</x:f>
      </x:c>
      <x:c r="E171" s="2" t="str">
        <x:f>IF(B171="","",_xlfn.IFNA(INDEX('Клиентлер'!$E$8:$E$31,MATCH(B171,'Клиентлер'!$A$8:$A$31,0)),"Код қәте"))</x:f>
      </x:c>
      <x:c r="F171" s="11"/>
      <x:c r="G171" s="11"/>
      <x:c r="H171" s="11"/>
      <x:c r="I171" s="11"/>
      <x:c r="J171" s="11"/>
      <x:c r="K171" s="10"/>
      <x:c r="L171" s="2" t="n">
        <x:f>IF(COUNTA(A171:C171,F171:K171)=0,0,IF(AND(COUNT(A171:C171)=3,COUNT(F171:J171)=5),0,1))</x:f>
        <x:v>0</x:v>
      </x:c>
      <x:c r="M171" s="2" t="n">
        <x:f>IF(COUNTA(A171:C171,F171:K171)=0,0,IF(OR(H171&gt;F171,I171&gt;G171,D171="Код қәте",E171="Код қәте"),1,0))</x:f>
        <x:v>0</x:v>
      </x:c>
      <x:c r="N171" s="2" t="str">
        <x:f>IF(B171="","",_xlfn.IFNA(INDEX('Клиентлер'!$B$8:$B$31,MATCH(B171,'Клиентлер'!$A$8:$A$31,0)),"Код қәте"))</x:f>
      </x:c>
    </x:row>
    <x:row r="172" ht="40" customHeight="1">
      <x:c r="A172" s="12"/>
      <x:c r="B172" s="10"/>
      <x:c r="C172" s="10"/>
      <x:c r="D172" s="13" t="str">
        <x:f>IF(C172="","",_xlfn.IFNA(INDEX('Күнлик реже'!$D$8:$D$390,MATCH(C172,'Күнлик реже'!$A$8:$A$390,0)),"Код қәте"))</x:f>
      </x:c>
      <x:c r="E172" s="2" t="str">
        <x:f>IF(B172="","",_xlfn.IFNA(INDEX('Клиентлер'!$E$8:$E$31,MATCH(B172,'Клиентлер'!$A$8:$A$31,0)),"Код қәте"))</x:f>
      </x:c>
      <x:c r="F172" s="11"/>
      <x:c r="G172" s="11"/>
      <x:c r="H172" s="11"/>
      <x:c r="I172" s="11"/>
      <x:c r="J172" s="11"/>
      <x:c r="K172" s="10"/>
      <x:c r="L172" s="2" t="n">
        <x:f>IF(COUNTA(A172:C172,F172:K172)=0,0,IF(AND(COUNT(A172:C172)=3,COUNT(F172:J172)=5),0,1))</x:f>
        <x:v>0</x:v>
      </x:c>
      <x:c r="M172" s="2" t="n">
        <x:f>IF(COUNTA(A172:C172,F172:K172)=0,0,IF(OR(H172&gt;F172,I172&gt;G172,D172="Код қәте",E172="Код қәте"),1,0))</x:f>
        <x:v>0</x:v>
      </x:c>
      <x:c r="N172" s="2" t="str">
        <x:f>IF(B172="","",_xlfn.IFNA(INDEX('Клиентлер'!$B$8:$B$31,MATCH(B172,'Клиентлер'!$A$8:$A$31,0)),"Код қәте"))</x:f>
      </x:c>
    </x:row>
    <x:row r="173" ht="40" customHeight="1">
      <x:c r="A173" s="12"/>
      <x:c r="B173" s="10"/>
      <x:c r="C173" s="10"/>
      <x:c r="D173" s="13" t="str">
        <x:f>IF(C173="","",_xlfn.IFNA(INDEX('Күнлик реже'!$D$8:$D$390,MATCH(C173,'Күнлик реже'!$A$8:$A$390,0)),"Код қәте"))</x:f>
      </x:c>
      <x:c r="E173" s="2" t="str">
        <x:f>IF(B173="","",_xlfn.IFNA(INDEX('Клиентлер'!$E$8:$E$31,MATCH(B173,'Клиентлер'!$A$8:$A$31,0)),"Код қәте"))</x:f>
      </x:c>
      <x:c r="F173" s="11"/>
      <x:c r="G173" s="11"/>
      <x:c r="H173" s="11"/>
      <x:c r="I173" s="11"/>
      <x:c r="J173" s="11"/>
      <x:c r="K173" s="10"/>
      <x:c r="L173" s="2" t="n">
        <x:f>IF(COUNTA(A173:C173,F173:K173)=0,0,IF(AND(COUNT(A173:C173)=3,COUNT(F173:J173)=5),0,1))</x:f>
        <x:v>0</x:v>
      </x:c>
      <x:c r="M173" s="2" t="n">
        <x:f>IF(COUNTA(A173:C173,F173:K173)=0,0,IF(OR(H173&gt;F173,I173&gt;G173,D173="Код қәте",E173="Код қәте"),1,0))</x:f>
        <x:v>0</x:v>
      </x:c>
      <x:c r="N173" s="2" t="str">
        <x:f>IF(B173="","",_xlfn.IFNA(INDEX('Клиентлер'!$B$8:$B$31,MATCH(B173,'Клиентлер'!$A$8:$A$31,0)),"Код қәте"))</x:f>
      </x:c>
    </x:row>
    <x:row r="174" ht="40" customHeight="1">
      <x:c r="A174" s="12"/>
      <x:c r="B174" s="10"/>
      <x:c r="C174" s="10"/>
      <x:c r="D174" s="13" t="str">
        <x:f>IF(C174="","",_xlfn.IFNA(INDEX('Күнлик реже'!$D$8:$D$390,MATCH(C174,'Күнлик реже'!$A$8:$A$390,0)),"Код қәте"))</x:f>
      </x:c>
      <x:c r="E174" s="2" t="str">
        <x:f>IF(B174="","",_xlfn.IFNA(INDEX('Клиентлер'!$E$8:$E$31,MATCH(B174,'Клиентлер'!$A$8:$A$31,0)),"Код қәте"))</x:f>
      </x:c>
      <x:c r="F174" s="11"/>
      <x:c r="G174" s="11"/>
      <x:c r="H174" s="11"/>
      <x:c r="I174" s="11"/>
      <x:c r="J174" s="11"/>
      <x:c r="K174" s="10"/>
      <x:c r="L174" s="2" t="n">
        <x:f>IF(COUNTA(A174:C174,F174:K174)=0,0,IF(AND(COUNT(A174:C174)=3,COUNT(F174:J174)=5),0,1))</x:f>
        <x:v>0</x:v>
      </x:c>
      <x:c r="M174" s="2" t="n">
        <x:f>IF(COUNTA(A174:C174,F174:K174)=0,0,IF(OR(H174&gt;F174,I174&gt;G174,D174="Код қәте",E174="Код қәте"),1,0))</x:f>
        <x:v>0</x:v>
      </x:c>
      <x:c r="N174" s="2" t="str">
        <x:f>IF(B174="","",_xlfn.IFNA(INDEX('Клиентлер'!$B$8:$B$31,MATCH(B174,'Клиентлер'!$A$8:$A$31,0)),"Код қәте"))</x:f>
      </x:c>
    </x:row>
    <x:row r="175" ht="40" customHeight="1">
      <x:c r="A175" s="12"/>
      <x:c r="B175" s="10"/>
      <x:c r="C175" s="10"/>
      <x:c r="D175" s="13" t="str">
        <x:f>IF(C175="","",_xlfn.IFNA(INDEX('Күнлик реже'!$D$8:$D$390,MATCH(C175,'Күнлик реже'!$A$8:$A$390,0)),"Код қәте"))</x:f>
      </x:c>
      <x:c r="E175" s="2" t="str">
        <x:f>IF(B175="","",_xlfn.IFNA(INDEX('Клиентлер'!$E$8:$E$31,MATCH(B175,'Клиентлер'!$A$8:$A$31,0)),"Код қәте"))</x:f>
      </x:c>
      <x:c r="F175" s="11"/>
      <x:c r="G175" s="11"/>
      <x:c r="H175" s="11"/>
      <x:c r="I175" s="11"/>
      <x:c r="J175" s="11"/>
      <x:c r="K175" s="10"/>
      <x:c r="L175" s="2" t="n">
        <x:f>IF(COUNTA(A175:C175,F175:K175)=0,0,IF(AND(COUNT(A175:C175)=3,COUNT(F175:J175)=5),0,1))</x:f>
        <x:v>0</x:v>
      </x:c>
      <x:c r="M175" s="2" t="n">
        <x:f>IF(COUNTA(A175:C175,F175:K175)=0,0,IF(OR(H175&gt;F175,I175&gt;G175,D175="Код қәте",E175="Код қәте"),1,0))</x:f>
        <x:v>0</x:v>
      </x:c>
      <x:c r="N175" s="2" t="str">
        <x:f>IF(B175="","",_xlfn.IFNA(INDEX('Клиентлер'!$B$8:$B$31,MATCH(B175,'Клиентлер'!$A$8:$A$31,0)),"Код қәте"))</x:f>
      </x:c>
    </x:row>
    <x:row r="176" ht="40" customHeight="1">
      <x:c r="A176" s="12"/>
      <x:c r="B176" s="10"/>
      <x:c r="C176" s="10"/>
      <x:c r="D176" s="13" t="str">
        <x:f>IF(C176="","",_xlfn.IFNA(INDEX('Күнлик реже'!$D$8:$D$390,MATCH(C176,'Күнлик реже'!$A$8:$A$390,0)),"Код қәте"))</x:f>
      </x:c>
      <x:c r="E176" s="2" t="str">
        <x:f>IF(B176="","",_xlfn.IFNA(INDEX('Клиентлер'!$E$8:$E$31,MATCH(B176,'Клиентлер'!$A$8:$A$31,0)),"Код қәте"))</x:f>
      </x:c>
      <x:c r="F176" s="11"/>
      <x:c r="G176" s="11"/>
      <x:c r="H176" s="11"/>
      <x:c r="I176" s="11"/>
      <x:c r="J176" s="11"/>
      <x:c r="K176" s="10"/>
      <x:c r="L176" s="2" t="n">
        <x:f>IF(COUNTA(A176:C176,F176:K176)=0,0,IF(AND(COUNT(A176:C176)=3,COUNT(F176:J176)=5),0,1))</x:f>
        <x:v>0</x:v>
      </x:c>
      <x:c r="M176" s="2" t="n">
        <x:f>IF(COUNTA(A176:C176,F176:K176)=0,0,IF(OR(H176&gt;F176,I176&gt;G176,D176="Код қәте",E176="Код қәте"),1,0))</x:f>
        <x:v>0</x:v>
      </x:c>
      <x:c r="N176" s="2" t="str">
        <x:f>IF(B176="","",_xlfn.IFNA(INDEX('Клиентлер'!$B$8:$B$31,MATCH(B176,'Клиентлер'!$A$8:$A$31,0)),"Код қәте"))</x:f>
      </x:c>
    </x:row>
    <x:row r="177" ht="40" customHeight="1">
      <x:c r="A177" s="12"/>
      <x:c r="B177" s="10"/>
      <x:c r="C177" s="10"/>
      <x:c r="D177" s="13" t="str">
        <x:f>IF(C177="","",_xlfn.IFNA(INDEX('Күнлик реже'!$D$8:$D$390,MATCH(C177,'Күнлик реже'!$A$8:$A$390,0)),"Код қәте"))</x:f>
      </x:c>
      <x:c r="E177" s="2" t="str">
        <x:f>IF(B177="","",_xlfn.IFNA(INDEX('Клиентлер'!$E$8:$E$31,MATCH(B177,'Клиентлер'!$A$8:$A$31,0)),"Код қәте"))</x:f>
      </x:c>
      <x:c r="F177" s="11"/>
      <x:c r="G177" s="11"/>
      <x:c r="H177" s="11"/>
      <x:c r="I177" s="11"/>
      <x:c r="J177" s="11"/>
      <x:c r="K177" s="10"/>
      <x:c r="L177" s="2" t="n">
        <x:f>IF(COUNTA(A177:C177,F177:K177)=0,0,IF(AND(COUNT(A177:C177)=3,COUNT(F177:J177)=5),0,1))</x:f>
        <x:v>0</x:v>
      </x:c>
      <x:c r="M177" s="2" t="n">
        <x:f>IF(COUNTA(A177:C177,F177:K177)=0,0,IF(OR(H177&gt;F177,I177&gt;G177,D177="Код қәте",E177="Код қәте"),1,0))</x:f>
        <x:v>0</x:v>
      </x:c>
      <x:c r="N177" s="2" t="str">
        <x:f>IF(B177="","",_xlfn.IFNA(INDEX('Клиентлер'!$B$8:$B$31,MATCH(B177,'Клиентлер'!$A$8:$A$31,0)),"Код қәте"))</x:f>
      </x:c>
    </x:row>
    <x:row r="178" ht="40" customHeight="1">
      <x:c r="A178" s="12"/>
      <x:c r="B178" s="10"/>
      <x:c r="C178" s="10"/>
      <x:c r="D178" s="13" t="str">
        <x:f>IF(C178="","",_xlfn.IFNA(INDEX('Күнлик реже'!$D$8:$D$390,MATCH(C178,'Күнлик реже'!$A$8:$A$390,0)),"Код қәте"))</x:f>
      </x:c>
      <x:c r="E178" s="2" t="str">
        <x:f>IF(B178="","",_xlfn.IFNA(INDEX('Клиентлер'!$E$8:$E$31,MATCH(B178,'Клиентлер'!$A$8:$A$31,0)),"Код қәте"))</x:f>
      </x:c>
      <x:c r="F178" s="11"/>
      <x:c r="G178" s="11"/>
      <x:c r="H178" s="11"/>
      <x:c r="I178" s="11"/>
      <x:c r="J178" s="11"/>
      <x:c r="K178" s="10"/>
      <x:c r="L178" s="2" t="n">
        <x:f>IF(COUNTA(A178:C178,F178:K178)=0,0,IF(AND(COUNT(A178:C178)=3,COUNT(F178:J178)=5),0,1))</x:f>
        <x:v>0</x:v>
      </x:c>
      <x:c r="M178" s="2" t="n">
        <x:f>IF(COUNTA(A178:C178,F178:K178)=0,0,IF(OR(H178&gt;F178,I178&gt;G178,D178="Код қәте",E178="Код қәте"),1,0))</x:f>
        <x:v>0</x:v>
      </x:c>
      <x:c r="N178" s="2" t="str">
        <x:f>IF(B178="","",_xlfn.IFNA(INDEX('Клиентлер'!$B$8:$B$31,MATCH(B178,'Клиентлер'!$A$8:$A$31,0)),"Код қәте"))</x:f>
      </x:c>
    </x:row>
    <x:row r="179" ht="40" customHeight="1">
      <x:c r="A179" s="12"/>
      <x:c r="B179" s="10"/>
      <x:c r="C179" s="10"/>
      <x:c r="D179" s="13" t="str">
        <x:f>IF(C179="","",_xlfn.IFNA(INDEX('Күнлик реже'!$D$8:$D$390,MATCH(C179,'Күнлик реже'!$A$8:$A$390,0)),"Код қәте"))</x:f>
      </x:c>
      <x:c r="E179" s="2" t="str">
        <x:f>IF(B179="","",_xlfn.IFNA(INDEX('Клиентлер'!$E$8:$E$31,MATCH(B179,'Клиентлер'!$A$8:$A$31,0)),"Код қәте"))</x:f>
      </x:c>
      <x:c r="F179" s="11"/>
      <x:c r="G179" s="11"/>
      <x:c r="H179" s="11"/>
      <x:c r="I179" s="11"/>
      <x:c r="J179" s="11"/>
      <x:c r="K179" s="10"/>
      <x:c r="L179" s="2" t="n">
        <x:f>IF(COUNTA(A179:C179,F179:K179)=0,0,IF(AND(COUNT(A179:C179)=3,COUNT(F179:J179)=5),0,1))</x:f>
        <x:v>0</x:v>
      </x:c>
      <x:c r="M179" s="2" t="n">
        <x:f>IF(COUNTA(A179:C179,F179:K179)=0,0,IF(OR(H179&gt;F179,I179&gt;G179,D179="Код қәте",E179="Код қәте"),1,0))</x:f>
        <x:v>0</x:v>
      </x:c>
      <x:c r="N179" s="2" t="str">
        <x:f>IF(B179="","",_xlfn.IFNA(INDEX('Клиентлер'!$B$8:$B$31,MATCH(B179,'Клиентлер'!$A$8:$A$31,0)),"Код қәте"))</x:f>
      </x:c>
    </x:row>
    <x:row r="180" ht="40" customHeight="1">
      <x:c r="A180" s="12"/>
      <x:c r="B180" s="10"/>
      <x:c r="C180" s="10"/>
      <x:c r="D180" s="13" t="str">
        <x:f>IF(C180="","",_xlfn.IFNA(INDEX('Күнлик реже'!$D$8:$D$390,MATCH(C180,'Күнлик реже'!$A$8:$A$390,0)),"Код қәте"))</x:f>
      </x:c>
      <x:c r="E180" s="2" t="str">
        <x:f>IF(B180="","",_xlfn.IFNA(INDEX('Клиентлер'!$E$8:$E$31,MATCH(B180,'Клиентлер'!$A$8:$A$31,0)),"Код қәте"))</x:f>
      </x:c>
      <x:c r="F180" s="11"/>
      <x:c r="G180" s="11"/>
      <x:c r="H180" s="11"/>
      <x:c r="I180" s="11"/>
      <x:c r="J180" s="11"/>
      <x:c r="K180" s="10"/>
      <x:c r="L180" s="2" t="n">
        <x:f>IF(COUNTA(A180:C180,F180:K180)=0,0,IF(AND(COUNT(A180:C180)=3,COUNT(F180:J180)=5),0,1))</x:f>
        <x:v>0</x:v>
      </x:c>
      <x:c r="M180" s="2" t="n">
        <x:f>IF(COUNTA(A180:C180,F180:K180)=0,0,IF(OR(H180&gt;F180,I180&gt;G180,D180="Код қәте",E180="Код қәте"),1,0))</x:f>
        <x:v>0</x:v>
      </x:c>
      <x:c r="N180" s="2" t="str">
        <x:f>IF(B180="","",_xlfn.IFNA(INDEX('Клиентлер'!$B$8:$B$31,MATCH(B180,'Клиентлер'!$A$8:$A$31,0)),"Код қәте"))</x:f>
      </x:c>
    </x:row>
    <x:row r="181" ht="40" customHeight="1">
      <x:c r="A181" s="12"/>
      <x:c r="B181" s="10"/>
      <x:c r="C181" s="10"/>
      <x:c r="D181" s="13" t="str">
        <x:f>IF(C181="","",_xlfn.IFNA(INDEX('Күнлик реже'!$D$8:$D$390,MATCH(C181,'Күнлик реже'!$A$8:$A$390,0)),"Код қәте"))</x:f>
      </x:c>
      <x:c r="E181" s="2" t="str">
        <x:f>IF(B181="","",_xlfn.IFNA(INDEX('Клиентлер'!$E$8:$E$31,MATCH(B181,'Клиентлер'!$A$8:$A$31,0)),"Код қәте"))</x:f>
      </x:c>
      <x:c r="F181" s="11"/>
      <x:c r="G181" s="11"/>
      <x:c r="H181" s="11"/>
      <x:c r="I181" s="11"/>
      <x:c r="J181" s="11"/>
      <x:c r="K181" s="10"/>
      <x:c r="L181" s="2" t="n">
        <x:f>IF(COUNTA(A181:C181,F181:K181)=0,0,IF(AND(COUNT(A181:C181)=3,COUNT(F181:J181)=5),0,1))</x:f>
        <x:v>0</x:v>
      </x:c>
      <x:c r="M181" s="2" t="n">
        <x:f>IF(COUNTA(A181:C181,F181:K181)=0,0,IF(OR(H181&gt;F181,I181&gt;G181,D181="Код қәте",E181="Код қәте"),1,0))</x:f>
        <x:v>0</x:v>
      </x:c>
      <x:c r="N181" s="2" t="str">
        <x:f>IF(B181="","",_xlfn.IFNA(INDEX('Клиентлер'!$B$8:$B$31,MATCH(B181,'Клиентлер'!$A$8:$A$31,0)),"Код қәте"))</x:f>
      </x:c>
    </x:row>
    <x:row r="182" ht="40" customHeight="1">
      <x:c r="A182" s="12"/>
      <x:c r="B182" s="10"/>
      <x:c r="C182" s="10"/>
      <x:c r="D182" s="13" t="str">
        <x:f>IF(C182="","",_xlfn.IFNA(INDEX('Күнлик реже'!$D$8:$D$390,MATCH(C182,'Күнлик реже'!$A$8:$A$390,0)),"Код қәте"))</x:f>
      </x:c>
      <x:c r="E182" s="2" t="str">
        <x:f>IF(B182="","",_xlfn.IFNA(INDEX('Клиентлер'!$E$8:$E$31,MATCH(B182,'Клиентлер'!$A$8:$A$31,0)),"Код қәте"))</x:f>
      </x:c>
      <x:c r="F182" s="11"/>
      <x:c r="G182" s="11"/>
      <x:c r="H182" s="11"/>
      <x:c r="I182" s="11"/>
      <x:c r="J182" s="11"/>
      <x:c r="K182" s="10"/>
      <x:c r="L182" s="2" t="n">
        <x:f>IF(COUNTA(A182:C182,F182:K182)=0,0,IF(AND(COUNT(A182:C182)=3,COUNT(F182:J182)=5),0,1))</x:f>
        <x:v>0</x:v>
      </x:c>
      <x:c r="M182" s="2" t="n">
        <x:f>IF(COUNTA(A182:C182,F182:K182)=0,0,IF(OR(H182&gt;F182,I182&gt;G182,D182="Код қәте",E182="Код қәте"),1,0))</x:f>
        <x:v>0</x:v>
      </x:c>
      <x:c r="N182" s="2" t="str">
        <x:f>IF(B182="","",_xlfn.IFNA(INDEX('Клиентлер'!$B$8:$B$31,MATCH(B182,'Клиентлер'!$A$8:$A$31,0)),"Код қәте"))</x:f>
      </x:c>
    </x:row>
    <x:row r="183" ht="40" customHeight="1">
      <x:c r="A183" s="12"/>
      <x:c r="B183" s="10"/>
      <x:c r="C183" s="10"/>
      <x:c r="D183" s="13" t="str">
        <x:f>IF(C183="","",_xlfn.IFNA(INDEX('Күнлик реже'!$D$8:$D$390,MATCH(C183,'Күнлик реже'!$A$8:$A$390,0)),"Код қәте"))</x:f>
      </x:c>
      <x:c r="E183" s="2" t="str">
        <x:f>IF(B183="","",_xlfn.IFNA(INDEX('Клиентлер'!$E$8:$E$31,MATCH(B183,'Клиентлер'!$A$8:$A$31,0)),"Код қәте"))</x:f>
      </x:c>
      <x:c r="F183" s="11"/>
      <x:c r="G183" s="11"/>
      <x:c r="H183" s="11"/>
      <x:c r="I183" s="11"/>
      <x:c r="J183" s="11"/>
      <x:c r="K183" s="10"/>
      <x:c r="L183" s="2" t="n">
        <x:f>IF(COUNTA(A183:C183,F183:K183)=0,0,IF(AND(COUNT(A183:C183)=3,COUNT(F183:J183)=5),0,1))</x:f>
        <x:v>0</x:v>
      </x:c>
      <x:c r="M183" s="2" t="n">
        <x:f>IF(COUNTA(A183:C183,F183:K183)=0,0,IF(OR(H183&gt;F183,I183&gt;G183,D183="Код қәте",E183="Код қәте"),1,0))</x:f>
        <x:v>0</x:v>
      </x:c>
      <x:c r="N183" s="2" t="str">
        <x:f>IF(B183="","",_xlfn.IFNA(INDEX('Клиентлер'!$B$8:$B$31,MATCH(B183,'Клиентлер'!$A$8:$A$31,0)),"Код қәте"))</x:f>
      </x:c>
    </x:row>
    <x:row r="184" ht="40" customHeight="1">
      <x:c r="A184" s="12"/>
      <x:c r="B184" s="10"/>
      <x:c r="C184" s="10"/>
      <x:c r="D184" s="13" t="str">
        <x:f>IF(C184="","",_xlfn.IFNA(INDEX('Күнлик реже'!$D$8:$D$390,MATCH(C184,'Күнлик реже'!$A$8:$A$390,0)),"Код қәте"))</x:f>
      </x:c>
      <x:c r="E184" s="2" t="str">
        <x:f>IF(B184="","",_xlfn.IFNA(INDEX('Клиентлер'!$E$8:$E$31,MATCH(B184,'Клиентлер'!$A$8:$A$31,0)),"Код қәте"))</x:f>
      </x:c>
      <x:c r="F184" s="11"/>
      <x:c r="G184" s="11"/>
      <x:c r="H184" s="11"/>
      <x:c r="I184" s="11"/>
      <x:c r="J184" s="11"/>
      <x:c r="K184" s="10"/>
      <x:c r="L184" s="2" t="n">
        <x:f>IF(COUNTA(A184:C184,F184:K184)=0,0,IF(AND(COUNT(A184:C184)=3,COUNT(F184:J184)=5),0,1))</x:f>
        <x:v>0</x:v>
      </x:c>
      <x:c r="M184" s="2" t="n">
        <x:f>IF(COUNTA(A184:C184,F184:K184)=0,0,IF(OR(H184&gt;F184,I184&gt;G184,D184="Код қәте",E184="Код қәте"),1,0))</x:f>
        <x:v>0</x:v>
      </x:c>
      <x:c r="N184" s="2" t="str">
        <x:f>IF(B184="","",_xlfn.IFNA(INDEX('Клиентлер'!$B$8:$B$31,MATCH(B184,'Клиентлер'!$A$8:$A$31,0)),"Код қәте"))</x:f>
      </x:c>
    </x:row>
    <x:row r="185" ht="40" customHeight="1">
      <x:c r="A185" s="12"/>
      <x:c r="B185" s="10"/>
      <x:c r="C185" s="10"/>
      <x:c r="D185" s="13" t="str">
        <x:f>IF(C185="","",_xlfn.IFNA(INDEX('Күнлик реже'!$D$8:$D$390,MATCH(C185,'Күнлик реже'!$A$8:$A$390,0)),"Код қәте"))</x:f>
      </x:c>
      <x:c r="E185" s="2" t="str">
        <x:f>IF(B185="","",_xlfn.IFNA(INDEX('Клиентлер'!$E$8:$E$31,MATCH(B185,'Клиентлер'!$A$8:$A$31,0)),"Код қәте"))</x:f>
      </x:c>
      <x:c r="F185" s="11"/>
      <x:c r="G185" s="11"/>
      <x:c r="H185" s="11"/>
      <x:c r="I185" s="11"/>
      <x:c r="J185" s="11"/>
      <x:c r="K185" s="10"/>
      <x:c r="L185" s="2" t="n">
        <x:f>IF(COUNTA(A185:C185,F185:K185)=0,0,IF(AND(COUNT(A185:C185)=3,COUNT(F185:J185)=5),0,1))</x:f>
        <x:v>0</x:v>
      </x:c>
      <x:c r="M185" s="2" t="n">
        <x:f>IF(COUNTA(A185:C185,F185:K185)=0,0,IF(OR(H185&gt;F185,I185&gt;G185,D185="Код қәте",E185="Код қәте"),1,0))</x:f>
        <x:v>0</x:v>
      </x:c>
      <x:c r="N185" s="2" t="str">
        <x:f>IF(B185="","",_xlfn.IFNA(INDEX('Клиентлер'!$B$8:$B$31,MATCH(B185,'Клиентлер'!$A$8:$A$31,0)),"Код қәте"))</x:f>
      </x:c>
    </x:row>
    <x:row r="186" ht="40" customHeight="1">
      <x:c r="A186" s="12"/>
      <x:c r="B186" s="10"/>
      <x:c r="C186" s="10"/>
      <x:c r="D186" s="13" t="str">
        <x:f>IF(C186="","",_xlfn.IFNA(INDEX('Күнлик реже'!$D$8:$D$390,MATCH(C186,'Күнлик реже'!$A$8:$A$390,0)),"Код қәте"))</x:f>
      </x:c>
      <x:c r="E186" s="2" t="str">
        <x:f>IF(B186="","",_xlfn.IFNA(INDEX('Клиентлер'!$E$8:$E$31,MATCH(B186,'Клиентлер'!$A$8:$A$31,0)),"Код қәте"))</x:f>
      </x:c>
      <x:c r="F186" s="11"/>
      <x:c r="G186" s="11"/>
      <x:c r="H186" s="11"/>
      <x:c r="I186" s="11"/>
      <x:c r="J186" s="11"/>
      <x:c r="K186" s="10"/>
      <x:c r="L186" s="2" t="n">
        <x:f>IF(COUNTA(A186:C186,F186:K186)=0,0,IF(AND(COUNT(A186:C186)=3,COUNT(F186:J186)=5),0,1))</x:f>
        <x:v>0</x:v>
      </x:c>
      <x:c r="M186" s="2" t="n">
        <x:f>IF(COUNTA(A186:C186,F186:K186)=0,0,IF(OR(H186&gt;F186,I186&gt;G186,D186="Код қәте",E186="Код қәте"),1,0))</x:f>
        <x:v>0</x:v>
      </x:c>
      <x:c r="N186" s="2" t="str">
        <x:f>IF(B186="","",_xlfn.IFNA(INDEX('Клиентлер'!$B$8:$B$31,MATCH(B186,'Клиентлер'!$A$8:$A$31,0)),"Код қәте"))</x:f>
      </x:c>
    </x:row>
    <x:row r="187" ht="40" customHeight="1">
      <x:c r="A187" s="12"/>
      <x:c r="B187" s="10"/>
      <x:c r="C187" s="10"/>
      <x:c r="D187" s="13" t="str">
        <x:f>IF(C187="","",_xlfn.IFNA(INDEX('Күнлик реже'!$D$8:$D$390,MATCH(C187,'Күнлик реже'!$A$8:$A$390,0)),"Код қәте"))</x:f>
      </x:c>
      <x:c r="E187" s="2" t="str">
        <x:f>IF(B187="","",_xlfn.IFNA(INDEX('Клиентлер'!$E$8:$E$31,MATCH(B187,'Клиентлер'!$A$8:$A$31,0)),"Код қәте"))</x:f>
      </x:c>
      <x:c r="F187" s="11"/>
      <x:c r="G187" s="11"/>
      <x:c r="H187" s="11"/>
      <x:c r="I187" s="11"/>
      <x:c r="J187" s="11"/>
      <x:c r="K187" s="10"/>
      <x:c r="L187" s="2" t="n">
        <x:f>IF(COUNTA(A187:C187,F187:K187)=0,0,IF(AND(COUNT(A187:C187)=3,COUNT(F187:J187)=5),0,1))</x:f>
        <x:v>0</x:v>
      </x:c>
      <x:c r="M187" s="2" t="n">
        <x:f>IF(COUNTA(A187:C187,F187:K187)=0,0,IF(OR(H187&gt;F187,I187&gt;G187,D187="Код қәте",E187="Код қәте"),1,0))</x:f>
        <x:v>0</x:v>
      </x:c>
      <x:c r="N187" s="2" t="str">
        <x:f>IF(B187="","",_xlfn.IFNA(INDEX('Клиентлер'!$B$8:$B$31,MATCH(B187,'Клиентлер'!$A$8:$A$31,0)),"Код қәте"))</x:f>
      </x:c>
    </x:row>
    <x:row r="188" ht="40" customHeight="1">
      <x:c r="A188" s="12"/>
      <x:c r="B188" s="10"/>
      <x:c r="C188" s="10"/>
      <x:c r="D188" s="13" t="str">
        <x:f>IF(C188="","",_xlfn.IFNA(INDEX('Күнлик реже'!$D$8:$D$390,MATCH(C188,'Күнлик реже'!$A$8:$A$390,0)),"Код қәте"))</x:f>
      </x:c>
      <x:c r="E188" s="2" t="str">
        <x:f>IF(B188="","",_xlfn.IFNA(INDEX('Клиентлер'!$E$8:$E$31,MATCH(B188,'Клиентлер'!$A$8:$A$31,0)),"Код қәте"))</x:f>
      </x:c>
      <x:c r="F188" s="11"/>
      <x:c r="G188" s="11"/>
      <x:c r="H188" s="11"/>
      <x:c r="I188" s="11"/>
      <x:c r="J188" s="11"/>
      <x:c r="K188" s="10"/>
      <x:c r="L188" s="2" t="n">
        <x:f>IF(COUNTA(A188:C188,F188:K188)=0,0,IF(AND(COUNT(A188:C188)=3,COUNT(F188:J188)=5),0,1))</x:f>
        <x:v>0</x:v>
      </x:c>
      <x:c r="M188" s="2" t="n">
        <x:f>IF(COUNTA(A188:C188,F188:K188)=0,0,IF(OR(H188&gt;F188,I188&gt;G188,D188="Код қәте",E188="Код қәте"),1,0))</x:f>
        <x:v>0</x:v>
      </x:c>
      <x:c r="N188" s="2" t="str">
        <x:f>IF(B188="","",_xlfn.IFNA(INDEX('Клиентлер'!$B$8:$B$31,MATCH(B188,'Клиентлер'!$A$8:$A$31,0)),"Код қәте"))</x:f>
      </x:c>
    </x:row>
    <x:row r="189" ht="40" customHeight="1">
      <x:c r="A189" s="12"/>
      <x:c r="B189" s="10"/>
      <x:c r="C189" s="10"/>
      <x:c r="D189" s="13" t="str">
        <x:f>IF(C189="","",_xlfn.IFNA(INDEX('Күнлик реже'!$D$8:$D$390,MATCH(C189,'Күнлик реже'!$A$8:$A$390,0)),"Код қәте"))</x:f>
      </x:c>
      <x:c r="E189" s="2" t="str">
        <x:f>IF(B189="","",_xlfn.IFNA(INDEX('Клиентлер'!$E$8:$E$31,MATCH(B189,'Клиентлер'!$A$8:$A$31,0)),"Код қәте"))</x:f>
      </x:c>
      <x:c r="F189" s="11"/>
      <x:c r="G189" s="11"/>
      <x:c r="H189" s="11"/>
      <x:c r="I189" s="11"/>
      <x:c r="J189" s="11"/>
      <x:c r="K189" s="10"/>
      <x:c r="L189" s="2" t="n">
        <x:f>IF(COUNTA(A189:C189,F189:K189)=0,0,IF(AND(COUNT(A189:C189)=3,COUNT(F189:J189)=5),0,1))</x:f>
        <x:v>0</x:v>
      </x:c>
      <x:c r="M189" s="2" t="n">
        <x:f>IF(COUNTA(A189:C189,F189:K189)=0,0,IF(OR(H189&gt;F189,I189&gt;G189,D189="Код қәте",E189="Код қәте"),1,0))</x:f>
        <x:v>0</x:v>
      </x:c>
      <x:c r="N189" s="2" t="str">
        <x:f>IF(B189="","",_xlfn.IFNA(INDEX('Клиентлер'!$B$8:$B$31,MATCH(B189,'Клиентлер'!$A$8:$A$31,0)),"Код қәте"))</x:f>
      </x:c>
    </x:row>
    <x:row r="190" ht="40" customHeight="1">
      <x:c r="A190" s="12"/>
      <x:c r="B190" s="10"/>
      <x:c r="C190" s="10"/>
      <x:c r="D190" s="13" t="str">
        <x:f>IF(C190="","",_xlfn.IFNA(INDEX('Күнлик реже'!$D$8:$D$390,MATCH(C190,'Күнлик реже'!$A$8:$A$390,0)),"Код қәте"))</x:f>
      </x:c>
      <x:c r="E190" s="2" t="str">
        <x:f>IF(B190="","",_xlfn.IFNA(INDEX('Клиентлер'!$E$8:$E$31,MATCH(B190,'Клиентлер'!$A$8:$A$31,0)),"Код қәте"))</x:f>
      </x:c>
      <x:c r="F190" s="11"/>
      <x:c r="G190" s="11"/>
      <x:c r="H190" s="11"/>
      <x:c r="I190" s="11"/>
      <x:c r="J190" s="11"/>
      <x:c r="K190" s="10"/>
      <x:c r="L190" s="2" t="n">
        <x:f>IF(COUNTA(A190:C190,F190:K190)=0,0,IF(AND(COUNT(A190:C190)=3,COUNT(F190:J190)=5),0,1))</x:f>
        <x:v>0</x:v>
      </x:c>
      <x:c r="M190" s="2" t="n">
        <x:f>IF(COUNTA(A190:C190,F190:K190)=0,0,IF(OR(H190&gt;F190,I190&gt;G190,D190="Код қәте",E190="Код қәте"),1,0))</x:f>
        <x:v>0</x:v>
      </x:c>
      <x:c r="N190" s="2" t="str">
        <x:f>IF(B190="","",_xlfn.IFNA(INDEX('Клиентлер'!$B$8:$B$31,MATCH(B190,'Клиентлер'!$A$8:$A$31,0)),"Код қәте"))</x:f>
      </x:c>
    </x:row>
    <x:row r="191" ht="40" customHeight="1">
      <x:c r="A191" s="12"/>
      <x:c r="B191" s="10"/>
      <x:c r="C191" s="10"/>
      <x:c r="D191" s="13" t="str">
        <x:f>IF(C191="","",_xlfn.IFNA(INDEX('Күнлик реже'!$D$8:$D$390,MATCH(C191,'Күнлик реже'!$A$8:$A$390,0)),"Код қәте"))</x:f>
      </x:c>
      <x:c r="E191" s="2" t="str">
        <x:f>IF(B191="","",_xlfn.IFNA(INDEX('Клиентлер'!$E$8:$E$31,MATCH(B191,'Клиентлер'!$A$8:$A$31,0)),"Код қәте"))</x:f>
      </x:c>
      <x:c r="F191" s="11"/>
      <x:c r="G191" s="11"/>
      <x:c r="H191" s="11"/>
      <x:c r="I191" s="11"/>
      <x:c r="J191" s="11"/>
      <x:c r="K191" s="10"/>
      <x:c r="L191" s="2" t="n">
        <x:f>IF(COUNTA(A191:C191,F191:K191)=0,0,IF(AND(COUNT(A191:C191)=3,COUNT(F191:J191)=5),0,1))</x:f>
        <x:v>0</x:v>
      </x:c>
      <x:c r="M191" s="2" t="n">
        <x:f>IF(COUNTA(A191:C191,F191:K191)=0,0,IF(OR(H191&gt;F191,I191&gt;G191,D191="Код қәте",E191="Код қәте"),1,0))</x:f>
        <x:v>0</x:v>
      </x:c>
      <x:c r="N191" s="2" t="str">
        <x:f>IF(B191="","",_xlfn.IFNA(INDEX('Клиентлер'!$B$8:$B$31,MATCH(B191,'Клиентлер'!$A$8:$A$31,0)),"Код қәте"))</x:f>
      </x:c>
    </x:row>
    <x:row r="192" ht="40" customHeight="1">
      <x:c r="A192" s="12"/>
      <x:c r="B192" s="10"/>
      <x:c r="C192" s="10"/>
      <x:c r="D192" s="13" t="str">
        <x:f>IF(C192="","",_xlfn.IFNA(INDEX('Күнлик реже'!$D$8:$D$390,MATCH(C192,'Күнлик реже'!$A$8:$A$390,0)),"Код қәте"))</x:f>
      </x:c>
      <x:c r="E192" s="2" t="str">
        <x:f>IF(B192="","",_xlfn.IFNA(INDEX('Клиентлер'!$E$8:$E$31,MATCH(B192,'Клиентлер'!$A$8:$A$31,0)),"Код қәте"))</x:f>
      </x:c>
      <x:c r="F192" s="11"/>
      <x:c r="G192" s="11"/>
      <x:c r="H192" s="11"/>
      <x:c r="I192" s="11"/>
      <x:c r="J192" s="11"/>
      <x:c r="K192" s="10"/>
      <x:c r="L192" s="2" t="n">
        <x:f>IF(COUNTA(A192:C192,F192:K192)=0,0,IF(AND(COUNT(A192:C192)=3,COUNT(F192:J192)=5),0,1))</x:f>
        <x:v>0</x:v>
      </x:c>
      <x:c r="M192" s="2" t="n">
        <x:f>IF(COUNTA(A192:C192,F192:K192)=0,0,IF(OR(H192&gt;F192,I192&gt;G192,D192="Код қәте",E192="Код қәте"),1,0))</x:f>
        <x:v>0</x:v>
      </x:c>
      <x:c r="N192" s="2" t="str">
        <x:f>IF(B192="","",_xlfn.IFNA(INDEX('Клиентлер'!$B$8:$B$31,MATCH(B192,'Клиентлер'!$A$8:$A$31,0)),"Код қәте"))</x:f>
      </x:c>
    </x:row>
    <x:row r="193" ht="40" customHeight="1">
      <x:c r="A193" s="12"/>
      <x:c r="B193" s="10"/>
      <x:c r="C193" s="10"/>
      <x:c r="D193" s="13" t="str">
        <x:f>IF(C193="","",_xlfn.IFNA(INDEX('Күнлик реже'!$D$8:$D$390,MATCH(C193,'Күнлик реже'!$A$8:$A$390,0)),"Код қәте"))</x:f>
      </x:c>
      <x:c r="E193" s="2" t="str">
        <x:f>IF(B193="","",_xlfn.IFNA(INDEX('Клиентлер'!$E$8:$E$31,MATCH(B193,'Клиентлер'!$A$8:$A$31,0)),"Код қәте"))</x:f>
      </x:c>
      <x:c r="F193" s="11"/>
      <x:c r="G193" s="11"/>
      <x:c r="H193" s="11"/>
      <x:c r="I193" s="11"/>
      <x:c r="J193" s="11"/>
      <x:c r="K193" s="10"/>
      <x:c r="L193" s="2" t="n">
        <x:f>IF(COUNTA(A193:C193,F193:K193)=0,0,IF(AND(COUNT(A193:C193)=3,COUNT(F193:J193)=5),0,1))</x:f>
        <x:v>0</x:v>
      </x:c>
      <x:c r="M193" s="2" t="n">
        <x:f>IF(COUNTA(A193:C193,F193:K193)=0,0,IF(OR(H193&gt;F193,I193&gt;G193,D193="Код қәте",E193="Код қәте"),1,0))</x:f>
        <x:v>0</x:v>
      </x:c>
      <x:c r="N193" s="2" t="str">
        <x:f>IF(B193="","",_xlfn.IFNA(INDEX('Клиентлер'!$B$8:$B$31,MATCH(B193,'Клиентлер'!$A$8:$A$31,0)),"Код қәте"))</x:f>
      </x:c>
    </x:row>
    <x:row r="194" ht="40" customHeight="1">
      <x:c r="A194" s="12"/>
      <x:c r="B194" s="10"/>
      <x:c r="C194" s="10"/>
      <x:c r="D194" s="13" t="str">
        <x:f>IF(C194="","",_xlfn.IFNA(INDEX('Күнлик реже'!$D$8:$D$390,MATCH(C194,'Күнлик реже'!$A$8:$A$390,0)),"Код қәте"))</x:f>
      </x:c>
      <x:c r="E194" s="2" t="str">
        <x:f>IF(B194="","",_xlfn.IFNA(INDEX('Клиентлер'!$E$8:$E$31,MATCH(B194,'Клиентлер'!$A$8:$A$31,0)),"Код қәте"))</x:f>
      </x:c>
      <x:c r="F194" s="11"/>
      <x:c r="G194" s="11"/>
      <x:c r="H194" s="11"/>
      <x:c r="I194" s="11"/>
      <x:c r="J194" s="11"/>
      <x:c r="K194" s="10"/>
      <x:c r="L194" s="2" t="n">
        <x:f>IF(COUNTA(A194:C194,F194:K194)=0,0,IF(AND(COUNT(A194:C194)=3,COUNT(F194:J194)=5),0,1))</x:f>
        <x:v>0</x:v>
      </x:c>
      <x:c r="M194" s="2" t="n">
        <x:f>IF(COUNTA(A194:C194,F194:K194)=0,0,IF(OR(H194&gt;F194,I194&gt;G194,D194="Код қәте",E194="Код қәте"),1,0))</x:f>
        <x:v>0</x:v>
      </x:c>
      <x:c r="N194" s="2" t="str">
        <x:f>IF(B194="","",_xlfn.IFNA(INDEX('Клиентлер'!$B$8:$B$31,MATCH(B194,'Клиентлер'!$A$8:$A$31,0)),"Код қәте"))</x:f>
      </x:c>
    </x:row>
    <x:row r="195" ht="40" customHeight="1">
      <x:c r="A195" s="12"/>
      <x:c r="B195" s="10"/>
      <x:c r="C195" s="10"/>
      <x:c r="D195" s="13" t="str">
        <x:f>IF(C195="","",_xlfn.IFNA(INDEX('Күнлик реже'!$D$8:$D$390,MATCH(C195,'Күнлик реже'!$A$8:$A$390,0)),"Код қәте"))</x:f>
      </x:c>
      <x:c r="E195" s="2" t="str">
        <x:f>IF(B195="","",_xlfn.IFNA(INDEX('Клиентлер'!$E$8:$E$31,MATCH(B195,'Клиентлер'!$A$8:$A$31,0)),"Код қәте"))</x:f>
      </x:c>
      <x:c r="F195" s="11"/>
      <x:c r="G195" s="11"/>
      <x:c r="H195" s="11"/>
      <x:c r="I195" s="11"/>
      <x:c r="J195" s="11"/>
      <x:c r="K195" s="10"/>
      <x:c r="L195" s="2" t="n">
        <x:f>IF(COUNTA(A195:C195,F195:K195)=0,0,IF(AND(COUNT(A195:C195)=3,COUNT(F195:J195)=5),0,1))</x:f>
        <x:v>0</x:v>
      </x:c>
      <x:c r="M195" s="2" t="n">
        <x:f>IF(COUNTA(A195:C195,F195:K195)=0,0,IF(OR(H195&gt;F195,I195&gt;G195,D195="Код қәте",E195="Код қәте"),1,0))</x:f>
        <x:v>0</x:v>
      </x:c>
      <x:c r="N195" s="2" t="str">
        <x:f>IF(B195="","",_xlfn.IFNA(INDEX('Клиентлер'!$B$8:$B$31,MATCH(B195,'Клиентлер'!$A$8:$A$31,0)),"Код қәте"))</x:f>
      </x:c>
    </x:row>
    <x:row r="196" ht="40" customHeight="1">
      <x:c r="A196" s="12"/>
      <x:c r="B196" s="10"/>
      <x:c r="C196" s="10"/>
      <x:c r="D196" s="13" t="str">
        <x:f>IF(C196="","",_xlfn.IFNA(INDEX('Күнлик реже'!$D$8:$D$390,MATCH(C196,'Күнлик реже'!$A$8:$A$390,0)),"Код қәте"))</x:f>
      </x:c>
      <x:c r="E196" s="2" t="str">
        <x:f>IF(B196="","",_xlfn.IFNA(INDEX('Клиентлер'!$E$8:$E$31,MATCH(B196,'Клиентлер'!$A$8:$A$31,0)),"Код қәте"))</x:f>
      </x:c>
      <x:c r="F196" s="11"/>
      <x:c r="G196" s="11"/>
      <x:c r="H196" s="11"/>
      <x:c r="I196" s="11"/>
      <x:c r="J196" s="11"/>
      <x:c r="K196" s="10"/>
      <x:c r="L196" s="2" t="n">
        <x:f>IF(COUNTA(A196:C196,F196:K196)=0,0,IF(AND(COUNT(A196:C196)=3,COUNT(F196:J196)=5),0,1))</x:f>
        <x:v>0</x:v>
      </x:c>
      <x:c r="M196" s="2" t="n">
        <x:f>IF(COUNTA(A196:C196,F196:K196)=0,0,IF(OR(H196&gt;F196,I196&gt;G196,D196="Код қәте",E196="Код қәте"),1,0))</x:f>
        <x:v>0</x:v>
      </x:c>
      <x:c r="N196" s="2" t="str">
        <x:f>IF(B196="","",_xlfn.IFNA(INDEX('Клиентлер'!$B$8:$B$31,MATCH(B196,'Клиентлер'!$A$8:$A$31,0)),"Код қәте"))</x:f>
      </x:c>
    </x:row>
    <x:row r="197" ht="40" customHeight="1">
      <x:c r="A197" s="12"/>
      <x:c r="B197" s="10"/>
      <x:c r="C197" s="10"/>
      <x:c r="D197" s="13" t="str">
        <x:f>IF(C197="","",_xlfn.IFNA(INDEX('Күнлик реже'!$D$8:$D$390,MATCH(C197,'Күнлик реже'!$A$8:$A$390,0)),"Код қәте"))</x:f>
      </x:c>
      <x:c r="E197" s="2" t="str">
        <x:f>IF(B197="","",_xlfn.IFNA(INDEX('Клиентлер'!$E$8:$E$31,MATCH(B197,'Клиентлер'!$A$8:$A$31,0)),"Код қәте"))</x:f>
      </x:c>
      <x:c r="F197" s="11"/>
      <x:c r="G197" s="11"/>
      <x:c r="H197" s="11"/>
      <x:c r="I197" s="11"/>
      <x:c r="J197" s="11"/>
      <x:c r="K197" s="10"/>
      <x:c r="L197" s="2" t="n">
        <x:f>IF(COUNTA(A197:C197,F197:K197)=0,0,IF(AND(COUNT(A197:C197)=3,COUNT(F197:J197)=5),0,1))</x:f>
        <x:v>0</x:v>
      </x:c>
      <x:c r="M197" s="2" t="n">
        <x:f>IF(COUNTA(A197:C197,F197:K197)=0,0,IF(OR(H197&gt;F197,I197&gt;G197,D197="Код қәте",E197="Код қәте"),1,0))</x:f>
        <x:v>0</x:v>
      </x:c>
      <x:c r="N197" s="2" t="str">
        <x:f>IF(B197="","",_xlfn.IFNA(INDEX('Клиентлер'!$B$8:$B$31,MATCH(B197,'Клиентлер'!$A$8:$A$31,0)),"Код қәте"))</x:f>
      </x:c>
    </x:row>
    <x:row r="198" ht="40" customHeight="1">
      <x:c r="A198" s="12"/>
      <x:c r="B198" s="10"/>
      <x:c r="C198" s="10"/>
      <x:c r="D198" s="13" t="str">
        <x:f>IF(C198="","",_xlfn.IFNA(INDEX('Күнлик реже'!$D$8:$D$390,MATCH(C198,'Күнлик реже'!$A$8:$A$390,0)),"Код қәте"))</x:f>
      </x:c>
      <x:c r="E198" s="2" t="str">
        <x:f>IF(B198="","",_xlfn.IFNA(INDEX('Клиентлер'!$E$8:$E$31,MATCH(B198,'Клиентлер'!$A$8:$A$31,0)),"Код қәте"))</x:f>
      </x:c>
      <x:c r="F198" s="11"/>
      <x:c r="G198" s="11"/>
      <x:c r="H198" s="11"/>
      <x:c r="I198" s="11"/>
      <x:c r="J198" s="11"/>
      <x:c r="K198" s="10"/>
      <x:c r="L198" s="2" t="n">
        <x:f>IF(COUNTA(A198:C198,F198:K198)=0,0,IF(AND(COUNT(A198:C198)=3,COUNT(F198:J198)=5),0,1))</x:f>
        <x:v>0</x:v>
      </x:c>
      <x:c r="M198" s="2" t="n">
        <x:f>IF(COUNTA(A198:C198,F198:K198)=0,0,IF(OR(H198&gt;F198,I198&gt;G198,D198="Код қәте",E198="Код қәте"),1,0))</x:f>
        <x:v>0</x:v>
      </x:c>
      <x:c r="N198" s="2" t="str">
        <x:f>IF(B198="","",_xlfn.IFNA(INDEX('Клиентлер'!$B$8:$B$31,MATCH(B198,'Клиентлер'!$A$8:$A$31,0)),"Код қәте"))</x:f>
      </x:c>
    </x:row>
    <x:row r="199" ht="40" customHeight="1">
      <x:c r="A199" s="12"/>
      <x:c r="B199" s="10"/>
      <x:c r="C199" s="10"/>
      <x:c r="D199" s="13" t="str">
        <x:f>IF(C199="","",_xlfn.IFNA(INDEX('Күнлик реже'!$D$8:$D$390,MATCH(C199,'Күнлик реже'!$A$8:$A$390,0)),"Код қәте"))</x:f>
      </x:c>
      <x:c r="E199" s="2" t="str">
        <x:f>IF(B199="","",_xlfn.IFNA(INDEX('Клиентлер'!$E$8:$E$31,MATCH(B199,'Клиентлер'!$A$8:$A$31,0)),"Код қәте"))</x:f>
      </x:c>
      <x:c r="F199" s="11"/>
      <x:c r="G199" s="11"/>
      <x:c r="H199" s="11"/>
      <x:c r="I199" s="11"/>
      <x:c r="J199" s="11"/>
      <x:c r="K199" s="10"/>
      <x:c r="L199" s="2" t="n">
        <x:f>IF(COUNTA(A199:C199,F199:K199)=0,0,IF(AND(COUNT(A199:C199)=3,COUNT(F199:J199)=5),0,1))</x:f>
        <x:v>0</x:v>
      </x:c>
      <x:c r="M199" s="2" t="n">
        <x:f>IF(COUNTA(A199:C199,F199:K199)=0,0,IF(OR(H199&gt;F199,I199&gt;G199,D199="Код қәте",E199="Код қәте"),1,0))</x:f>
        <x:v>0</x:v>
      </x:c>
      <x:c r="N199" s="2" t="str">
        <x:f>IF(B199="","",_xlfn.IFNA(INDEX('Клиентлер'!$B$8:$B$31,MATCH(B199,'Клиентлер'!$A$8:$A$31,0)),"Код қәте"))</x:f>
      </x:c>
    </x:row>
    <x:row r="200" ht="40" customHeight="1">
      <x:c r="A200" s="12"/>
      <x:c r="B200" s="10"/>
      <x:c r="C200" s="10"/>
      <x:c r="D200" s="13" t="str">
        <x:f>IF(C200="","",_xlfn.IFNA(INDEX('Күнлик реже'!$D$8:$D$390,MATCH(C200,'Күнлик реже'!$A$8:$A$390,0)),"Код қәте"))</x:f>
      </x:c>
      <x:c r="E200" s="2" t="str">
        <x:f>IF(B200="","",_xlfn.IFNA(INDEX('Клиентлер'!$E$8:$E$31,MATCH(B200,'Клиентлер'!$A$8:$A$31,0)),"Код қәте"))</x:f>
      </x:c>
      <x:c r="F200" s="11"/>
      <x:c r="G200" s="11"/>
      <x:c r="H200" s="11"/>
      <x:c r="I200" s="11"/>
      <x:c r="J200" s="11"/>
      <x:c r="K200" s="10"/>
      <x:c r="L200" s="2" t="n">
        <x:f>IF(COUNTA(A200:C200,F200:K200)=0,0,IF(AND(COUNT(A200:C200)=3,COUNT(F200:J200)=5),0,1))</x:f>
        <x:v>0</x:v>
      </x:c>
      <x:c r="M200" s="2" t="n">
        <x:f>IF(COUNTA(A200:C200,F200:K200)=0,0,IF(OR(H200&gt;F200,I200&gt;G200,D200="Код қәте",E200="Код қәте"),1,0))</x:f>
        <x:v>0</x:v>
      </x:c>
      <x:c r="N200" s="2" t="str">
        <x:f>IF(B200="","",_xlfn.IFNA(INDEX('Клиентлер'!$B$8:$B$31,MATCH(B200,'Клиентлер'!$A$8:$A$31,0)),"Код қәте"))</x:f>
      </x:c>
    </x:row>
    <x:row r="201" ht="40" customHeight="1">
      <x:c r="A201" s="12"/>
      <x:c r="B201" s="10"/>
      <x:c r="C201" s="10"/>
      <x:c r="D201" s="13" t="str">
        <x:f>IF(C201="","",_xlfn.IFNA(INDEX('Күнлик реже'!$D$8:$D$390,MATCH(C201,'Күнлик реже'!$A$8:$A$390,0)),"Код қәте"))</x:f>
      </x:c>
      <x:c r="E201" s="2" t="str">
        <x:f>IF(B201="","",_xlfn.IFNA(INDEX('Клиентлер'!$E$8:$E$31,MATCH(B201,'Клиентлер'!$A$8:$A$31,0)),"Код қәте"))</x:f>
      </x:c>
      <x:c r="F201" s="11"/>
      <x:c r="G201" s="11"/>
      <x:c r="H201" s="11"/>
      <x:c r="I201" s="11"/>
      <x:c r="J201" s="11"/>
      <x:c r="K201" s="10"/>
      <x:c r="L201" s="2" t="n">
        <x:f>IF(COUNTA(A201:C201,F201:K201)=0,0,IF(AND(COUNT(A201:C201)=3,COUNT(F201:J201)=5),0,1))</x:f>
        <x:v>0</x:v>
      </x:c>
      <x:c r="M201" s="2" t="n">
        <x:f>IF(COUNTA(A201:C201,F201:K201)=0,0,IF(OR(H201&gt;F201,I201&gt;G201,D201="Код қәте",E201="Код қәте"),1,0))</x:f>
        <x:v>0</x:v>
      </x:c>
      <x:c r="N201" s="2" t="str">
        <x:f>IF(B201="","",_xlfn.IFNA(INDEX('Клиентлер'!$B$8:$B$31,MATCH(B201,'Клиентлер'!$A$8:$A$31,0)),"Код қәте"))</x:f>
      </x:c>
    </x:row>
    <x:row r="202" ht="40" customHeight="1">
      <x:c r="A202" s="12"/>
      <x:c r="B202" s="10"/>
      <x:c r="C202" s="10"/>
      <x:c r="D202" s="13" t="str">
        <x:f>IF(C202="","",_xlfn.IFNA(INDEX('Күнлик реже'!$D$8:$D$390,MATCH(C202,'Күнлик реже'!$A$8:$A$390,0)),"Код қәте"))</x:f>
      </x:c>
      <x:c r="E202" s="2" t="str">
        <x:f>IF(B202="","",_xlfn.IFNA(INDEX('Клиентлер'!$E$8:$E$31,MATCH(B202,'Клиентлер'!$A$8:$A$31,0)),"Код қәте"))</x:f>
      </x:c>
      <x:c r="F202" s="11"/>
      <x:c r="G202" s="11"/>
      <x:c r="H202" s="11"/>
      <x:c r="I202" s="11"/>
      <x:c r="J202" s="11"/>
      <x:c r="K202" s="10"/>
      <x:c r="L202" s="2" t="n">
        <x:f>IF(COUNTA(A202:C202,F202:K202)=0,0,IF(AND(COUNT(A202:C202)=3,COUNT(F202:J202)=5),0,1))</x:f>
        <x:v>0</x:v>
      </x:c>
      <x:c r="M202" s="2" t="n">
        <x:f>IF(COUNTA(A202:C202,F202:K202)=0,0,IF(OR(H202&gt;F202,I202&gt;G202,D202="Код қәте",E202="Код қәте"),1,0))</x:f>
        <x:v>0</x:v>
      </x:c>
      <x:c r="N202" s="2" t="str">
        <x:f>IF(B202="","",_xlfn.IFNA(INDEX('Клиентлер'!$B$8:$B$31,MATCH(B202,'Клиентлер'!$A$8:$A$31,0)),"Код қәте"))</x:f>
      </x:c>
    </x:row>
    <x:row r="203" ht="40" customHeight="1">
      <x:c r="A203" s="12"/>
      <x:c r="B203" s="10"/>
      <x:c r="C203" s="10"/>
      <x:c r="D203" s="13" t="str">
        <x:f>IF(C203="","",_xlfn.IFNA(INDEX('Күнлик реже'!$D$8:$D$390,MATCH(C203,'Күнлик реже'!$A$8:$A$390,0)),"Код қәте"))</x:f>
      </x:c>
      <x:c r="E203" s="2" t="str">
        <x:f>IF(B203="","",_xlfn.IFNA(INDEX('Клиентлер'!$E$8:$E$31,MATCH(B203,'Клиентлер'!$A$8:$A$31,0)),"Код қәте"))</x:f>
      </x:c>
      <x:c r="F203" s="11"/>
      <x:c r="G203" s="11"/>
      <x:c r="H203" s="11"/>
      <x:c r="I203" s="11"/>
      <x:c r="J203" s="11"/>
      <x:c r="K203" s="10"/>
      <x:c r="L203" s="2" t="n">
        <x:f>IF(COUNTA(A203:C203,F203:K203)=0,0,IF(AND(COUNT(A203:C203)=3,COUNT(F203:J203)=5),0,1))</x:f>
        <x:v>0</x:v>
      </x:c>
      <x:c r="M203" s="2" t="n">
        <x:f>IF(COUNTA(A203:C203,F203:K203)=0,0,IF(OR(H203&gt;F203,I203&gt;G203,D203="Код қәте",E203="Код қәте"),1,0))</x:f>
        <x:v>0</x:v>
      </x:c>
      <x:c r="N203" s="2" t="str">
        <x:f>IF(B203="","",_xlfn.IFNA(INDEX('Клиентлер'!$B$8:$B$31,MATCH(B203,'Клиентлер'!$A$8:$A$31,0)),"Код қәте"))</x:f>
      </x:c>
    </x:row>
    <x:row r="204" ht="40" customHeight="1">
      <x:c r="A204" s="12"/>
      <x:c r="B204" s="10"/>
      <x:c r="C204" s="10"/>
      <x:c r="D204" s="13" t="str">
        <x:f>IF(C204="","",_xlfn.IFNA(INDEX('Күнлик реже'!$D$8:$D$390,MATCH(C204,'Күнлик реже'!$A$8:$A$390,0)),"Код қәте"))</x:f>
      </x:c>
      <x:c r="E204" s="2" t="str">
        <x:f>IF(B204="","",_xlfn.IFNA(INDEX('Клиентлер'!$E$8:$E$31,MATCH(B204,'Клиентлер'!$A$8:$A$31,0)),"Код қәте"))</x:f>
      </x:c>
      <x:c r="F204" s="11"/>
      <x:c r="G204" s="11"/>
      <x:c r="H204" s="11"/>
      <x:c r="I204" s="11"/>
      <x:c r="J204" s="11"/>
      <x:c r="K204" s="10"/>
      <x:c r="L204" s="2" t="n">
        <x:f>IF(COUNTA(A204:C204,F204:K204)=0,0,IF(AND(COUNT(A204:C204)=3,COUNT(F204:J204)=5),0,1))</x:f>
        <x:v>0</x:v>
      </x:c>
      <x:c r="M204" s="2" t="n">
        <x:f>IF(COUNTA(A204:C204,F204:K204)=0,0,IF(OR(H204&gt;F204,I204&gt;G204,D204="Код қәте",E204="Код қәте"),1,0))</x:f>
        <x:v>0</x:v>
      </x:c>
      <x:c r="N204" s="2" t="str">
        <x:f>IF(B204="","",_xlfn.IFNA(INDEX('Клиентлер'!$B$8:$B$31,MATCH(B204,'Клиентлер'!$A$8:$A$31,0)),"Код қәте"))</x:f>
      </x:c>
    </x:row>
    <x:row r="205" ht="40" customHeight="1">
      <x:c r="A205" s="12"/>
      <x:c r="B205" s="10"/>
      <x:c r="C205" s="10"/>
      <x:c r="D205" s="13" t="str">
        <x:f>IF(C205="","",_xlfn.IFNA(INDEX('Күнлик реже'!$D$8:$D$390,MATCH(C205,'Күнлик реже'!$A$8:$A$390,0)),"Код қәте"))</x:f>
      </x:c>
      <x:c r="E205" s="2" t="str">
        <x:f>IF(B205="","",_xlfn.IFNA(INDEX('Клиентлер'!$E$8:$E$31,MATCH(B205,'Клиентлер'!$A$8:$A$31,0)),"Код қәте"))</x:f>
      </x:c>
      <x:c r="F205" s="11"/>
      <x:c r="G205" s="11"/>
      <x:c r="H205" s="11"/>
      <x:c r="I205" s="11"/>
      <x:c r="J205" s="11"/>
      <x:c r="K205" s="10"/>
      <x:c r="L205" s="2" t="n">
        <x:f>IF(COUNTA(A205:C205,F205:K205)=0,0,IF(AND(COUNT(A205:C205)=3,COUNT(F205:J205)=5),0,1))</x:f>
        <x:v>0</x:v>
      </x:c>
      <x:c r="M205" s="2" t="n">
        <x:f>IF(COUNTA(A205:C205,F205:K205)=0,0,IF(OR(H205&gt;F205,I205&gt;G205,D205="Код қәте",E205="Код қәте"),1,0))</x:f>
        <x:v>0</x:v>
      </x:c>
      <x:c r="N205" s="2" t="str">
        <x:f>IF(B205="","",_xlfn.IFNA(INDEX('Клиентлер'!$B$8:$B$31,MATCH(B205,'Клиентлер'!$A$8:$A$31,0)),"Код қәте"))</x:f>
      </x:c>
    </x:row>
    <x:row r="206" ht="40" customHeight="1">
      <x:c r="A206" s="12"/>
      <x:c r="B206" s="10"/>
      <x:c r="C206" s="10"/>
      <x:c r="D206" s="13" t="str">
        <x:f>IF(C206="","",_xlfn.IFNA(INDEX('Күнлик реже'!$D$8:$D$390,MATCH(C206,'Күнлик реже'!$A$8:$A$390,0)),"Код қәте"))</x:f>
      </x:c>
      <x:c r="E206" s="2" t="str">
        <x:f>IF(B206="","",_xlfn.IFNA(INDEX('Клиентлер'!$E$8:$E$31,MATCH(B206,'Клиентлер'!$A$8:$A$31,0)),"Код қәте"))</x:f>
      </x:c>
      <x:c r="F206" s="11"/>
      <x:c r="G206" s="11"/>
      <x:c r="H206" s="11"/>
      <x:c r="I206" s="11"/>
      <x:c r="J206" s="11"/>
      <x:c r="K206" s="10"/>
      <x:c r="L206" s="2" t="n">
        <x:f>IF(COUNTA(A206:C206,F206:K206)=0,0,IF(AND(COUNT(A206:C206)=3,COUNT(F206:J206)=5),0,1))</x:f>
        <x:v>0</x:v>
      </x:c>
      <x:c r="M206" s="2" t="n">
        <x:f>IF(COUNTA(A206:C206,F206:K206)=0,0,IF(OR(H206&gt;F206,I206&gt;G206,D206="Код қәте",E206="Код қәте"),1,0))</x:f>
        <x:v>0</x:v>
      </x:c>
      <x:c r="N206" s="2" t="str">
        <x:f>IF(B206="","",_xlfn.IFNA(INDEX('Клиентлер'!$B$8:$B$31,MATCH(B206,'Клиентлер'!$A$8:$A$31,0)),"Код қәте"))</x:f>
      </x:c>
    </x:row>
    <x:row r="207" ht="40" customHeight="1">
      <x:c r="A207" s="12"/>
      <x:c r="B207" s="10"/>
      <x:c r="C207" s="10"/>
      <x:c r="D207" s="13" t="str">
        <x:f>IF(C207="","",_xlfn.IFNA(INDEX('Күнлик реже'!$D$8:$D$390,MATCH(C207,'Күнлик реже'!$A$8:$A$390,0)),"Код қәте"))</x:f>
      </x:c>
      <x:c r="E207" s="2" t="str">
        <x:f>IF(B207="","",_xlfn.IFNA(INDEX('Клиентлер'!$E$8:$E$31,MATCH(B207,'Клиентлер'!$A$8:$A$31,0)),"Код қәте"))</x:f>
      </x:c>
      <x:c r="F207" s="11"/>
      <x:c r="G207" s="11"/>
      <x:c r="H207" s="11"/>
      <x:c r="I207" s="11"/>
      <x:c r="J207" s="11"/>
      <x:c r="K207" s="10"/>
      <x:c r="L207" s="2" t="n">
        <x:f>IF(COUNTA(A207:C207,F207:K207)=0,0,IF(AND(COUNT(A207:C207)=3,COUNT(F207:J207)=5),0,1))</x:f>
        <x:v>0</x:v>
      </x:c>
      <x:c r="M207" s="2" t="n">
        <x:f>IF(COUNTA(A207:C207,F207:K207)=0,0,IF(OR(H207&gt;F207,I207&gt;G207,D207="Код қәте",E207="Код қәте"),1,0))</x:f>
        <x:v>0</x:v>
      </x:c>
      <x:c r="N207" s="2" t="str">
        <x:f>IF(B207="","",_xlfn.IFNA(INDEX('Клиентлер'!$B$8:$B$31,MATCH(B207,'Клиентлер'!$A$8:$A$31,0)),"Код қәте"))</x:f>
      </x:c>
    </x:row>
    <x:row r="208" ht="40" customHeight="1">
      <x:c r="A208" s="12"/>
      <x:c r="B208" s="10"/>
      <x:c r="C208" s="10"/>
      <x:c r="D208" s="13" t="str">
        <x:f>IF(C208="","",_xlfn.IFNA(INDEX('Күнлик реже'!$D$8:$D$390,MATCH(C208,'Күнлик реже'!$A$8:$A$390,0)),"Код қәте"))</x:f>
      </x:c>
      <x:c r="E208" s="2" t="str">
        <x:f>IF(B208="","",_xlfn.IFNA(INDEX('Клиентлер'!$E$8:$E$31,MATCH(B208,'Клиентлер'!$A$8:$A$31,0)),"Код қәте"))</x:f>
      </x:c>
      <x:c r="F208" s="11"/>
      <x:c r="G208" s="11"/>
      <x:c r="H208" s="11"/>
      <x:c r="I208" s="11"/>
      <x:c r="J208" s="11"/>
      <x:c r="K208" s="10"/>
      <x:c r="L208" s="2" t="n">
        <x:f>IF(COUNTA(A208:C208,F208:K208)=0,0,IF(AND(COUNT(A208:C208)=3,COUNT(F208:J208)=5),0,1))</x:f>
        <x:v>0</x:v>
      </x:c>
      <x:c r="M208" s="2" t="n">
        <x:f>IF(COUNTA(A208:C208,F208:K208)=0,0,IF(OR(H208&gt;F208,I208&gt;G208,D208="Код қәте",E208="Код қәте"),1,0))</x:f>
        <x:v>0</x:v>
      </x:c>
      <x:c r="N208" s="2" t="str">
        <x:f>IF(B208="","",_xlfn.IFNA(INDEX('Клиентлер'!$B$8:$B$31,MATCH(B208,'Клиентлер'!$A$8:$A$31,0)),"Код қәте"))</x:f>
      </x:c>
    </x:row>
    <x:row r="209" ht="40" customHeight="1">
      <x:c r="A209" s="12"/>
      <x:c r="B209" s="10"/>
      <x:c r="C209" s="10"/>
      <x:c r="D209" s="13" t="str">
        <x:f>IF(C209="","",_xlfn.IFNA(INDEX('Күнлик реже'!$D$8:$D$390,MATCH(C209,'Күнлик реже'!$A$8:$A$390,0)),"Код қәте"))</x:f>
      </x:c>
      <x:c r="E209" s="2" t="str">
        <x:f>IF(B209="","",_xlfn.IFNA(INDEX('Клиентлер'!$E$8:$E$31,MATCH(B209,'Клиентлер'!$A$8:$A$31,0)),"Код қәте"))</x:f>
      </x:c>
      <x:c r="F209" s="11"/>
      <x:c r="G209" s="11"/>
      <x:c r="H209" s="11"/>
      <x:c r="I209" s="11"/>
      <x:c r="J209" s="11"/>
      <x:c r="K209" s="10"/>
      <x:c r="L209" s="2" t="n">
        <x:f>IF(COUNTA(A209:C209,F209:K209)=0,0,IF(AND(COUNT(A209:C209)=3,COUNT(F209:J209)=5),0,1))</x:f>
        <x:v>0</x:v>
      </x:c>
      <x:c r="M209" s="2" t="n">
        <x:f>IF(COUNTA(A209:C209,F209:K209)=0,0,IF(OR(H209&gt;F209,I209&gt;G209,D209="Код қәте",E209="Код қәте"),1,0))</x:f>
        <x:v>0</x:v>
      </x:c>
      <x:c r="N209" s="2" t="str">
        <x:f>IF(B209="","",_xlfn.IFNA(INDEX('Клиентлер'!$B$8:$B$31,MATCH(B209,'Клиентлер'!$A$8:$A$31,0)),"Код қәте"))</x:f>
      </x:c>
    </x:row>
    <x:row r="210" ht="40" customHeight="1">
      <x:c r="A210" s="12"/>
      <x:c r="B210" s="10"/>
      <x:c r="C210" s="10"/>
      <x:c r="D210" s="13" t="str">
        <x:f>IF(C210="","",_xlfn.IFNA(INDEX('Күнлик реже'!$D$8:$D$390,MATCH(C210,'Күнлик реже'!$A$8:$A$390,0)),"Код қәте"))</x:f>
      </x:c>
      <x:c r="E210" s="2" t="str">
        <x:f>IF(B210="","",_xlfn.IFNA(INDEX('Клиентлер'!$E$8:$E$31,MATCH(B210,'Клиентлер'!$A$8:$A$31,0)),"Код қәте"))</x:f>
      </x:c>
      <x:c r="F210" s="11"/>
      <x:c r="G210" s="11"/>
      <x:c r="H210" s="11"/>
      <x:c r="I210" s="11"/>
      <x:c r="J210" s="11"/>
      <x:c r="K210" s="10"/>
      <x:c r="L210" s="2" t="n">
        <x:f>IF(COUNTA(A210:C210,F210:K210)=0,0,IF(AND(COUNT(A210:C210)=3,COUNT(F210:J210)=5),0,1))</x:f>
        <x:v>0</x:v>
      </x:c>
      <x:c r="M210" s="2" t="n">
        <x:f>IF(COUNTA(A210:C210,F210:K210)=0,0,IF(OR(H210&gt;F210,I210&gt;G210,D210="Код қәте",E210="Код қәте"),1,0))</x:f>
        <x:v>0</x:v>
      </x:c>
      <x:c r="N210" s="2" t="str">
        <x:f>IF(B210="","",_xlfn.IFNA(INDEX('Клиентлер'!$B$8:$B$31,MATCH(B210,'Клиентлер'!$A$8:$A$31,0)),"Код қәте"))</x:f>
      </x:c>
    </x:row>
    <x:row r="211" ht="40" customHeight="1">
      <x:c r="A211" s="12"/>
      <x:c r="B211" s="10"/>
      <x:c r="C211" s="10"/>
      <x:c r="D211" s="13" t="str">
        <x:f>IF(C211="","",_xlfn.IFNA(INDEX('Күнлик реже'!$D$8:$D$390,MATCH(C211,'Күнлик реже'!$A$8:$A$390,0)),"Код қәте"))</x:f>
      </x:c>
      <x:c r="E211" s="2" t="str">
        <x:f>IF(B211="","",_xlfn.IFNA(INDEX('Клиентлер'!$E$8:$E$31,MATCH(B211,'Клиентлер'!$A$8:$A$31,0)),"Код қәте"))</x:f>
      </x:c>
      <x:c r="F211" s="11"/>
      <x:c r="G211" s="11"/>
      <x:c r="H211" s="11"/>
      <x:c r="I211" s="11"/>
      <x:c r="J211" s="11"/>
      <x:c r="K211" s="10"/>
      <x:c r="L211" s="2" t="n">
        <x:f>IF(COUNTA(A211:C211,F211:K211)=0,0,IF(AND(COUNT(A211:C211)=3,COUNT(F211:J211)=5),0,1))</x:f>
        <x:v>0</x:v>
      </x:c>
      <x:c r="M211" s="2" t="n">
        <x:f>IF(COUNTA(A211:C211,F211:K211)=0,0,IF(OR(H211&gt;F211,I211&gt;G211,D211="Код қәте",E211="Код қәте"),1,0))</x:f>
        <x:v>0</x:v>
      </x:c>
      <x:c r="N211" s="2" t="str">
        <x:f>IF(B211="","",_xlfn.IFNA(INDEX('Клиентлер'!$B$8:$B$31,MATCH(B211,'Клиентлер'!$A$8:$A$31,0)),"Код қәте"))</x:f>
      </x:c>
    </x:row>
    <x:row r="212" ht="40" customHeight="1">
      <x:c r="A212" s="12"/>
      <x:c r="B212" s="10"/>
      <x:c r="C212" s="10"/>
      <x:c r="D212" s="13" t="str">
        <x:f>IF(C212="","",_xlfn.IFNA(INDEX('Күнлик реже'!$D$8:$D$390,MATCH(C212,'Күнлик реже'!$A$8:$A$390,0)),"Код қәте"))</x:f>
      </x:c>
      <x:c r="E212" s="2" t="str">
        <x:f>IF(B212="","",_xlfn.IFNA(INDEX('Клиентлер'!$E$8:$E$31,MATCH(B212,'Клиентлер'!$A$8:$A$31,0)),"Код қәте"))</x:f>
      </x:c>
      <x:c r="F212" s="11"/>
      <x:c r="G212" s="11"/>
      <x:c r="H212" s="11"/>
      <x:c r="I212" s="11"/>
      <x:c r="J212" s="11"/>
      <x:c r="K212" s="10"/>
      <x:c r="L212" s="2" t="n">
        <x:f>IF(COUNTA(A212:C212,F212:K212)=0,0,IF(AND(COUNT(A212:C212)=3,COUNT(F212:J212)=5),0,1))</x:f>
        <x:v>0</x:v>
      </x:c>
      <x:c r="M212" s="2" t="n">
        <x:f>IF(COUNTA(A212:C212,F212:K212)=0,0,IF(OR(H212&gt;F212,I212&gt;G212,D212="Код қәте",E212="Код қәте"),1,0))</x:f>
        <x:v>0</x:v>
      </x:c>
      <x:c r="N212" s="2" t="str">
        <x:f>IF(B212="","",_xlfn.IFNA(INDEX('Клиентлер'!$B$8:$B$31,MATCH(B212,'Клиентлер'!$A$8:$A$31,0)),"Код қәте"))</x:f>
      </x:c>
    </x:row>
    <x:row r="213" ht="40" customHeight="1">
      <x:c r="A213" s="12"/>
      <x:c r="B213" s="10"/>
      <x:c r="C213" s="10"/>
      <x:c r="D213" s="13" t="str">
        <x:f>IF(C213="","",_xlfn.IFNA(INDEX('Күнлик реже'!$D$8:$D$390,MATCH(C213,'Күнлик реже'!$A$8:$A$390,0)),"Код қәте"))</x:f>
      </x:c>
      <x:c r="E213" s="2" t="str">
        <x:f>IF(B213="","",_xlfn.IFNA(INDEX('Клиентлер'!$E$8:$E$31,MATCH(B213,'Клиентлер'!$A$8:$A$31,0)),"Код қәте"))</x:f>
      </x:c>
      <x:c r="F213" s="11"/>
      <x:c r="G213" s="11"/>
      <x:c r="H213" s="11"/>
      <x:c r="I213" s="11"/>
      <x:c r="J213" s="11"/>
      <x:c r="K213" s="10"/>
      <x:c r="L213" s="2" t="n">
        <x:f>IF(COUNTA(A213:C213,F213:K213)=0,0,IF(AND(COUNT(A213:C213)=3,COUNT(F213:J213)=5),0,1))</x:f>
        <x:v>0</x:v>
      </x:c>
      <x:c r="M213" s="2" t="n">
        <x:f>IF(COUNTA(A213:C213,F213:K213)=0,0,IF(OR(H213&gt;F213,I213&gt;G213,D213="Код қәте",E213="Код қәте"),1,0))</x:f>
        <x:v>0</x:v>
      </x:c>
      <x:c r="N213" s="2" t="str">
        <x:f>IF(B213="","",_xlfn.IFNA(INDEX('Клиентлер'!$B$8:$B$31,MATCH(B213,'Клиентлер'!$A$8:$A$31,0)),"Код қәте"))</x:f>
      </x:c>
    </x:row>
    <x:row r="214" ht="40" customHeight="1">
      <x:c r="A214" s="12"/>
      <x:c r="B214" s="10"/>
      <x:c r="C214" s="10"/>
      <x:c r="D214" s="13" t="str">
        <x:f>IF(C214="","",_xlfn.IFNA(INDEX('Күнлик реже'!$D$8:$D$390,MATCH(C214,'Күнлик реже'!$A$8:$A$390,0)),"Код қәте"))</x:f>
      </x:c>
      <x:c r="E214" s="2" t="str">
        <x:f>IF(B214="","",_xlfn.IFNA(INDEX('Клиентлер'!$E$8:$E$31,MATCH(B214,'Клиентлер'!$A$8:$A$31,0)),"Код қәте"))</x:f>
      </x:c>
      <x:c r="F214" s="11"/>
      <x:c r="G214" s="11"/>
      <x:c r="H214" s="11"/>
      <x:c r="I214" s="11"/>
      <x:c r="J214" s="11"/>
      <x:c r="K214" s="10"/>
      <x:c r="L214" s="2" t="n">
        <x:f>IF(COUNTA(A214:C214,F214:K214)=0,0,IF(AND(COUNT(A214:C214)=3,COUNT(F214:J214)=5),0,1))</x:f>
        <x:v>0</x:v>
      </x:c>
      <x:c r="M214" s="2" t="n">
        <x:f>IF(COUNTA(A214:C214,F214:K214)=0,0,IF(OR(H214&gt;F214,I214&gt;G214,D214="Код қәте",E214="Код қәте"),1,0))</x:f>
        <x:v>0</x:v>
      </x:c>
      <x:c r="N214" s="2" t="str">
        <x:f>IF(B214="","",_xlfn.IFNA(INDEX('Клиентлер'!$B$8:$B$31,MATCH(B214,'Клиентлер'!$A$8:$A$31,0)),"Код қәте"))</x:f>
      </x:c>
    </x:row>
    <x:row r="215" ht="40" customHeight="1">
      <x:c r="A215" s="12"/>
      <x:c r="B215" s="10"/>
      <x:c r="C215" s="10"/>
      <x:c r="D215" s="13" t="str">
        <x:f>IF(C215="","",_xlfn.IFNA(INDEX('Күнлик реже'!$D$8:$D$390,MATCH(C215,'Күнлик реже'!$A$8:$A$390,0)),"Код қәте"))</x:f>
      </x:c>
      <x:c r="E215" s="2" t="str">
        <x:f>IF(B215="","",_xlfn.IFNA(INDEX('Клиентлер'!$E$8:$E$31,MATCH(B215,'Клиентлер'!$A$8:$A$31,0)),"Код қәте"))</x:f>
      </x:c>
      <x:c r="F215" s="11"/>
      <x:c r="G215" s="11"/>
      <x:c r="H215" s="11"/>
      <x:c r="I215" s="11"/>
      <x:c r="J215" s="11"/>
      <x:c r="K215" s="10"/>
      <x:c r="L215" s="2" t="n">
        <x:f>IF(COUNTA(A215:C215,F215:K215)=0,0,IF(AND(COUNT(A215:C215)=3,COUNT(F215:J215)=5),0,1))</x:f>
        <x:v>0</x:v>
      </x:c>
      <x:c r="M215" s="2" t="n">
        <x:f>IF(COUNTA(A215:C215,F215:K215)=0,0,IF(OR(H215&gt;F215,I215&gt;G215,D215="Код қәте",E215="Код қәте"),1,0))</x:f>
        <x:v>0</x:v>
      </x:c>
      <x:c r="N215" s="2" t="str">
        <x:f>IF(B215="","",_xlfn.IFNA(INDEX('Клиентлер'!$B$8:$B$31,MATCH(B215,'Клиентлер'!$A$8:$A$31,0)),"Код қәте"))</x:f>
      </x:c>
    </x:row>
    <x:row r="216" ht="40" customHeight="1">
      <x:c r="A216" s="12"/>
      <x:c r="B216" s="10"/>
      <x:c r="C216" s="10"/>
      <x:c r="D216" s="13" t="str">
        <x:f>IF(C216="","",_xlfn.IFNA(INDEX('Күнлик реже'!$D$8:$D$390,MATCH(C216,'Күнлик реже'!$A$8:$A$390,0)),"Код қәте"))</x:f>
      </x:c>
      <x:c r="E216" s="2" t="str">
        <x:f>IF(B216="","",_xlfn.IFNA(INDEX('Клиентлер'!$E$8:$E$31,MATCH(B216,'Клиентлер'!$A$8:$A$31,0)),"Код қәте"))</x:f>
      </x:c>
      <x:c r="F216" s="11"/>
      <x:c r="G216" s="11"/>
      <x:c r="H216" s="11"/>
      <x:c r="I216" s="11"/>
      <x:c r="J216" s="11"/>
      <x:c r="K216" s="10"/>
      <x:c r="L216" s="2" t="n">
        <x:f>IF(COUNTA(A216:C216,F216:K216)=0,0,IF(AND(COUNT(A216:C216)=3,COUNT(F216:J216)=5),0,1))</x:f>
        <x:v>0</x:v>
      </x:c>
      <x:c r="M216" s="2" t="n">
        <x:f>IF(COUNTA(A216:C216,F216:K216)=0,0,IF(OR(H216&gt;F216,I216&gt;G216,D216="Код қәте",E216="Код қәте"),1,0))</x:f>
        <x:v>0</x:v>
      </x:c>
      <x:c r="N216" s="2" t="str">
        <x:f>IF(B216="","",_xlfn.IFNA(INDEX('Клиентлер'!$B$8:$B$31,MATCH(B216,'Клиентлер'!$A$8:$A$31,0)),"Код қәте"))</x:f>
      </x:c>
    </x:row>
    <x:row r="217" ht="40" customHeight="1">
      <x:c r="A217" s="12"/>
      <x:c r="B217" s="10"/>
      <x:c r="C217" s="10"/>
      <x:c r="D217" s="13" t="str">
        <x:f>IF(C217="","",_xlfn.IFNA(INDEX('Күнлик реже'!$D$8:$D$390,MATCH(C217,'Күнлик реже'!$A$8:$A$390,0)),"Код қәте"))</x:f>
      </x:c>
      <x:c r="E217" s="2" t="str">
        <x:f>IF(B217="","",_xlfn.IFNA(INDEX('Клиентлер'!$E$8:$E$31,MATCH(B217,'Клиентлер'!$A$8:$A$31,0)),"Код қәте"))</x:f>
      </x:c>
      <x:c r="F217" s="11"/>
      <x:c r="G217" s="11"/>
      <x:c r="H217" s="11"/>
      <x:c r="I217" s="11"/>
      <x:c r="J217" s="11"/>
      <x:c r="K217" s="10"/>
      <x:c r="L217" s="2" t="n">
        <x:f>IF(COUNTA(A217:C217,F217:K217)=0,0,IF(AND(COUNT(A217:C217)=3,COUNT(F217:J217)=5),0,1))</x:f>
        <x:v>0</x:v>
      </x:c>
      <x:c r="M217" s="2" t="n">
        <x:f>IF(COUNTA(A217:C217,F217:K217)=0,0,IF(OR(H217&gt;F217,I217&gt;G217,D217="Код қәте",E217="Код қәте"),1,0))</x:f>
        <x:v>0</x:v>
      </x:c>
      <x:c r="N217" s="2" t="str">
        <x:f>IF(B217="","",_xlfn.IFNA(INDEX('Клиентлер'!$B$8:$B$31,MATCH(B217,'Клиентлер'!$A$8:$A$31,0)),"Код қәте"))</x:f>
      </x:c>
    </x:row>
    <x:row r="218" ht="40" customHeight="1">
      <x:c r="A218" s="12"/>
      <x:c r="B218" s="10"/>
      <x:c r="C218" s="10"/>
      <x:c r="D218" s="13" t="str">
        <x:f>IF(C218="","",_xlfn.IFNA(INDEX('Күнлик реже'!$D$8:$D$390,MATCH(C218,'Күнлик реже'!$A$8:$A$390,0)),"Код қәте"))</x:f>
      </x:c>
      <x:c r="E218" s="2" t="str">
        <x:f>IF(B218="","",_xlfn.IFNA(INDEX('Клиентлер'!$E$8:$E$31,MATCH(B218,'Клиентлер'!$A$8:$A$31,0)),"Код қәте"))</x:f>
      </x:c>
      <x:c r="F218" s="11"/>
      <x:c r="G218" s="11"/>
      <x:c r="H218" s="11"/>
      <x:c r="I218" s="11"/>
      <x:c r="J218" s="11"/>
      <x:c r="K218" s="10"/>
      <x:c r="L218" s="2" t="n">
        <x:f>IF(COUNTA(A218:C218,F218:K218)=0,0,IF(AND(COUNT(A218:C218)=3,COUNT(F218:J218)=5),0,1))</x:f>
        <x:v>0</x:v>
      </x:c>
      <x:c r="M218" s="2" t="n">
        <x:f>IF(COUNTA(A218:C218,F218:K218)=0,0,IF(OR(H218&gt;F218,I218&gt;G218,D218="Код қәте",E218="Код қәте"),1,0))</x:f>
        <x:v>0</x:v>
      </x:c>
      <x:c r="N218" s="2" t="str">
        <x:f>IF(B218="","",_xlfn.IFNA(INDEX('Клиентлер'!$B$8:$B$31,MATCH(B218,'Клиентлер'!$A$8:$A$31,0)),"Код қәте"))</x:f>
      </x:c>
    </x:row>
    <x:row r="219" ht="40" customHeight="1">
      <x:c r="A219" s="12"/>
      <x:c r="B219" s="10"/>
      <x:c r="C219" s="10"/>
      <x:c r="D219" s="13" t="str">
        <x:f>IF(C219="","",_xlfn.IFNA(INDEX('Күнлик реже'!$D$8:$D$390,MATCH(C219,'Күнлик реже'!$A$8:$A$390,0)),"Код қәте"))</x:f>
      </x:c>
      <x:c r="E219" s="2" t="str">
        <x:f>IF(B219="","",_xlfn.IFNA(INDEX('Клиентлер'!$E$8:$E$31,MATCH(B219,'Клиентлер'!$A$8:$A$31,0)),"Код қәте"))</x:f>
      </x:c>
      <x:c r="F219" s="11"/>
      <x:c r="G219" s="11"/>
      <x:c r="H219" s="11"/>
      <x:c r="I219" s="11"/>
      <x:c r="J219" s="11"/>
      <x:c r="K219" s="10"/>
      <x:c r="L219" s="2" t="n">
        <x:f>IF(COUNTA(A219:C219,F219:K219)=0,0,IF(AND(COUNT(A219:C219)=3,COUNT(F219:J219)=5),0,1))</x:f>
        <x:v>0</x:v>
      </x:c>
      <x:c r="M219" s="2" t="n">
        <x:f>IF(COUNTA(A219:C219,F219:K219)=0,0,IF(OR(H219&gt;F219,I219&gt;G219,D219="Код қәте",E219="Код қәте"),1,0))</x:f>
        <x:v>0</x:v>
      </x:c>
      <x:c r="N219" s="2" t="str">
        <x:f>IF(B219="","",_xlfn.IFNA(INDEX('Клиентлер'!$B$8:$B$31,MATCH(B219,'Клиентлер'!$A$8:$A$31,0)),"Код қәте"))</x:f>
      </x:c>
    </x:row>
    <x:row r="220" ht="40" customHeight="1">
      <x:c r="A220" s="12"/>
      <x:c r="B220" s="10"/>
      <x:c r="C220" s="10"/>
      <x:c r="D220" s="13" t="str">
        <x:f>IF(C220="","",_xlfn.IFNA(INDEX('Күнлик реже'!$D$8:$D$390,MATCH(C220,'Күнлик реже'!$A$8:$A$390,0)),"Код қәте"))</x:f>
      </x:c>
      <x:c r="E220" s="2" t="str">
        <x:f>IF(B220="","",_xlfn.IFNA(INDEX('Клиентлер'!$E$8:$E$31,MATCH(B220,'Клиентлер'!$A$8:$A$31,0)),"Код қәте"))</x:f>
      </x:c>
      <x:c r="F220" s="11"/>
      <x:c r="G220" s="11"/>
      <x:c r="H220" s="11"/>
      <x:c r="I220" s="11"/>
      <x:c r="J220" s="11"/>
      <x:c r="K220" s="10"/>
      <x:c r="L220" s="2" t="n">
        <x:f>IF(COUNTA(A220:C220,F220:K220)=0,0,IF(AND(COUNT(A220:C220)=3,COUNT(F220:J220)=5),0,1))</x:f>
        <x:v>0</x:v>
      </x:c>
      <x:c r="M220" s="2" t="n">
        <x:f>IF(COUNTA(A220:C220,F220:K220)=0,0,IF(OR(H220&gt;F220,I220&gt;G220,D220="Код қәте",E220="Код қәте"),1,0))</x:f>
        <x:v>0</x:v>
      </x:c>
      <x:c r="N220" s="2" t="str">
        <x:f>IF(B220="","",_xlfn.IFNA(INDEX('Клиентлер'!$B$8:$B$31,MATCH(B220,'Клиентлер'!$A$8:$A$31,0)),"Код қәте"))</x:f>
      </x:c>
    </x:row>
    <x:row r="221" ht="40" customHeight="1">
      <x:c r="A221" s="12"/>
      <x:c r="B221" s="10"/>
      <x:c r="C221" s="10"/>
      <x:c r="D221" s="13" t="str">
        <x:f>IF(C221="","",_xlfn.IFNA(INDEX('Күнлик реже'!$D$8:$D$390,MATCH(C221,'Күнлик реже'!$A$8:$A$390,0)),"Код қәте"))</x:f>
      </x:c>
      <x:c r="E221" s="2" t="str">
        <x:f>IF(B221="","",_xlfn.IFNA(INDEX('Клиентлер'!$E$8:$E$31,MATCH(B221,'Клиентлер'!$A$8:$A$31,0)),"Код қәте"))</x:f>
      </x:c>
      <x:c r="F221" s="11"/>
      <x:c r="G221" s="11"/>
      <x:c r="H221" s="11"/>
      <x:c r="I221" s="11"/>
      <x:c r="J221" s="11"/>
      <x:c r="K221" s="10"/>
      <x:c r="L221" s="2" t="n">
        <x:f>IF(COUNTA(A221:C221,F221:K221)=0,0,IF(AND(COUNT(A221:C221)=3,COUNT(F221:J221)=5),0,1))</x:f>
        <x:v>0</x:v>
      </x:c>
      <x:c r="M221" s="2" t="n">
        <x:f>IF(COUNTA(A221:C221,F221:K221)=0,0,IF(OR(H221&gt;F221,I221&gt;G221,D221="Код қәте",E221="Код қәте"),1,0))</x:f>
        <x:v>0</x:v>
      </x:c>
      <x:c r="N221" s="2" t="str">
        <x:f>IF(B221="","",_xlfn.IFNA(INDEX('Клиентлер'!$B$8:$B$31,MATCH(B221,'Клиентлер'!$A$8:$A$31,0)),"Код қәте"))</x:f>
      </x:c>
    </x:row>
    <x:row r="222" ht="40" customHeight="1">
      <x:c r="A222" s="12"/>
      <x:c r="B222" s="10"/>
      <x:c r="C222" s="10"/>
      <x:c r="D222" s="13" t="str">
        <x:f>IF(C222="","",_xlfn.IFNA(INDEX('Күнлик реже'!$D$8:$D$390,MATCH(C222,'Күнлик реже'!$A$8:$A$390,0)),"Код қәте"))</x:f>
      </x:c>
      <x:c r="E222" s="2" t="str">
        <x:f>IF(B222="","",_xlfn.IFNA(INDEX('Клиентлер'!$E$8:$E$31,MATCH(B222,'Клиентлер'!$A$8:$A$31,0)),"Код қәте"))</x:f>
      </x:c>
      <x:c r="F222" s="11"/>
      <x:c r="G222" s="11"/>
      <x:c r="H222" s="11"/>
      <x:c r="I222" s="11"/>
      <x:c r="J222" s="11"/>
      <x:c r="K222" s="10"/>
      <x:c r="L222" s="2" t="n">
        <x:f>IF(COUNTA(A222:C222,F222:K222)=0,0,IF(AND(COUNT(A222:C222)=3,COUNT(F222:J222)=5),0,1))</x:f>
        <x:v>0</x:v>
      </x:c>
      <x:c r="M222" s="2" t="n">
        <x:f>IF(COUNTA(A222:C222,F222:K222)=0,0,IF(OR(H222&gt;F222,I222&gt;G222,D222="Код қәте",E222="Код қәте"),1,0))</x:f>
        <x:v>0</x:v>
      </x:c>
      <x:c r="N222" s="2" t="str">
        <x:f>IF(B222="","",_xlfn.IFNA(INDEX('Клиентлер'!$B$8:$B$31,MATCH(B222,'Клиентлер'!$A$8:$A$31,0)),"Код қәте"))</x:f>
      </x:c>
    </x:row>
    <x:row r="223" ht="40" customHeight="1">
      <x:c r="A223" s="12"/>
      <x:c r="B223" s="10"/>
      <x:c r="C223" s="10"/>
      <x:c r="D223" s="13" t="str">
        <x:f>IF(C223="","",_xlfn.IFNA(INDEX('Күнлик реже'!$D$8:$D$390,MATCH(C223,'Күнлик реже'!$A$8:$A$390,0)),"Код қәте"))</x:f>
      </x:c>
      <x:c r="E223" s="2" t="str">
        <x:f>IF(B223="","",_xlfn.IFNA(INDEX('Клиентлер'!$E$8:$E$31,MATCH(B223,'Клиентлер'!$A$8:$A$31,0)),"Код қәте"))</x:f>
      </x:c>
      <x:c r="F223" s="11"/>
      <x:c r="G223" s="11"/>
      <x:c r="H223" s="11"/>
      <x:c r="I223" s="11"/>
      <x:c r="J223" s="11"/>
      <x:c r="K223" s="10"/>
      <x:c r="L223" s="2" t="n">
        <x:f>IF(COUNTA(A223:C223,F223:K223)=0,0,IF(AND(COUNT(A223:C223)=3,COUNT(F223:J223)=5),0,1))</x:f>
        <x:v>0</x:v>
      </x:c>
      <x:c r="M223" s="2" t="n">
        <x:f>IF(COUNTA(A223:C223,F223:K223)=0,0,IF(OR(H223&gt;F223,I223&gt;G223,D223="Код қәте",E223="Код қәте"),1,0))</x:f>
        <x:v>0</x:v>
      </x:c>
      <x:c r="N223" s="2" t="str">
        <x:f>IF(B223="","",_xlfn.IFNA(INDEX('Клиентлер'!$B$8:$B$31,MATCH(B223,'Клиентлер'!$A$8:$A$31,0)),"Код қәте"))</x:f>
      </x:c>
    </x:row>
    <x:row r="224" ht="40" customHeight="1">
      <x:c r="A224" s="12"/>
      <x:c r="B224" s="10"/>
      <x:c r="C224" s="10"/>
      <x:c r="D224" s="13" t="str">
        <x:f>IF(C224="","",_xlfn.IFNA(INDEX('Күнлик реже'!$D$8:$D$390,MATCH(C224,'Күнлик реже'!$A$8:$A$390,0)),"Код қәте"))</x:f>
      </x:c>
      <x:c r="E224" s="2" t="str">
        <x:f>IF(B224="","",_xlfn.IFNA(INDEX('Клиентлер'!$E$8:$E$31,MATCH(B224,'Клиентлер'!$A$8:$A$31,0)),"Код қәте"))</x:f>
      </x:c>
      <x:c r="F224" s="11"/>
      <x:c r="G224" s="11"/>
      <x:c r="H224" s="11"/>
      <x:c r="I224" s="11"/>
      <x:c r="J224" s="11"/>
      <x:c r="K224" s="10"/>
      <x:c r="L224" s="2" t="n">
        <x:f>IF(COUNTA(A224:C224,F224:K224)=0,0,IF(AND(COUNT(A224:C224)=3,COUNT(F224:J224)=5),0,1))</x:f>
        <x:v>0</x:v>
      </x:c>
      <x:c r="M224" s="2" t="n">
        <x:f>IF(COUNTA(A224:C224,F224:K224)=0,0,IF(OR(H224&gt;F224,I224&gt;G224,D224="Код қәте",E224="Код қәте"),1,0))</x:f>
        <x:v>0</x:v>
      </x:c>
      <x:c r="N224" s="2" t="str">
        <x:f>IF(B224="","",_xlfn.IFNA(INDEX('Клиентлер'!$B$8:$B$31,MATCH(B224,'Клиентлер'!$A$8:$A$31,0)),"Код қәте"))</x:f>
      </x:c>
    </x:row>
    <x:row r="225" ht="40" customHeight="1">
      <x:c r="A225" s="12"/>
      <x:c r="B225" s="10"/>
      <x:c r="C225" s="10"/>
      <x:c r="D225" s="13" t="str">
        <x:f>IF(C225="","",_xlfn.IFNA(INDEX('Күнлик реже'!$D$8:$D$390,MATCH(C225,'Күнлик реже'!$A$8:$A$390,0)),"Код қәте"))</x:f>
      </x:c>
      <x:c r="E225" s="2" t="str">
        <x:f>IF(B225="","",_xlfn.IFNA(INDEX('Клиентлер'!$E$8:$E$31,MATCH(B225,'Клиентлер'!$A$8:$A$31,0)),"Код қәте"))</x:f>
      </x:c>
      <x:c r="F225" s="11"/>
      <x:c r="G225" s="11"/>
      <x:c r="H225" s="11"/>
      <x:c r="I225" s="11"/>
      <x:c r="J225" s="11"/>
      <x:c r="K225" s="10"/>
      <x:c r="L225" s="2" t="n">
        <x:f>IF(COUNTA(A225:C225,F225:K225)=0,0,IF(AND(COUNT(A225:C225)=3,COUNT(F225:J225)=5),0,1))</x:f>
        <x:v>0</x:v>
      </x:c>
      <x:c r="M225" s="2" t="n">
        <x:f>IF(COUNTA(A225:C225,F225:K225)=0,0,IF(OR(H225&gt;F225,I225&gt;G225,D225="Код қәте",E225="Код қәте"),1,0))</x:f>
        <x:v>0</x:v>
      </x:c>
      <x:c r="N225" s="2" t="str">
        <x:f>IF(B225="","",_xlfn.IFNA(INDEX('Клиентлер'!$B$8:$B$31,MATCH(B225,'Клиентлер'!$A$8:$A$31,0)),"Код қәте"))</x:f>
      </x:c>
    </x:row>
    <x:row r="226" ht="40" customHeight="1">
      <x:c r="A226" s="12"/>
      <x:c r="B226" s="10"/>
      <x:c r="C226" s="10"/>
      <x:c r="D226" s="13" t="str">
        <x:f>IF(C226="","",_xlfn.IFNA(INDEX('Күнлик реже'!$D$8:$D$390,MATCH(C226,'Күнлик реже'!$A$8:$A$390,0)),"Код қәте"))</x:f>
      </x:c>
      <x:c r="E226" s="2" t="str">
        <x:f>IF(B226="","",_xlfn.IFNA(INDEX('Клиентлер'!$E$8:$E$31,MATCH(B226,'Клиентлер'!$A$8:$A$31,0)),"Код қәте"))</x:f>
      </x:c>
      <x:c r="F226" s="11"/>
      <x:c r="G226" s="11"/>
      <x:c r="H226" s="11"/>
      <x:c r="I226" s="11"/>
      <x:c r="J226" s="11"/>
      <x:c r="K226" s="10"/>
      <x:c r="L226" s="2" t="n">
        <x:f>IF(COUNTA(A226:C226,F226:K226)=0,0,IF(AND(COUNT(A226:C226)=3,COUNT(F226:J226)=5),0,1))</x:f>
        <x:v>0</x:v>
      </x:c>
      <x:c r="M226" s="2" t="n">
        <x:f>IF(COUNTA(A226:C226,F226:K226)=0,0,IF(OR(H226&gt;F226,I226&gt;G226,D226="Код қәте",E226="Код қәте"),1,0))</x:f>
        <x:v>0</x:v>
      </x:c>
      <x:c r="N226" s="2" t="str">
        <x:f>IF(B226="","",_xlfn.IFNA(INDEX('Клиентлер'!$B$8:$B$31,MATCH(B226,'Клиентлер'!$A$8:$A$31,0)),"Код қәте"))</x:f>
      </x:c>
    </x:row>
    <x:row r="227" ht="40" customHeight="1">
      <x:c r="A227" s="12"/>
      <x:c r="B227" s="10"/>
      <x:c r="C227" s="10"/>
      <x:c r="D227" s="13" t="str">
        <x:f>IF(C227="","",_xlfn.IFNA(INDEX('Күнлик реже'!$D$8:$D$390,MATCH(C227,'Күнлик реже'!$A$8:$A$390,0)),"Код қәте"))</x:f>
      </x:c>
      <x:c r="E227" s="2" t="str">
        <x:f>IF(B227="","",_xlfn.IFNA(INDEX('Клиентлер'!$E$8:$E$31,MATCH(B227,'Клиентлер'!$A$8:$A$31,0)),"Код қәте"))</x:f>
      </x:c>
      <x:c r="F227" s="11"/>
      <x:c r="G227" s="11"/>
      <x:c r="H227" s="11"/>
      <x:c r="I227" s="11"/>
      <x:c r="J227" s="11"/>
      <x:c r="K227" s="10"/>
      <x:c r="L227" s="2" t="n">
        <x:f>IF(COUNTA(A227:C227,F227:K227)=0,0,IF(AND(COUNT(A227:C227)=3,COUNT(F227:J227)=5),0,1))</x:f>
        <x:v>0</x:v>
      </x:c>
      <x:c r="M227" s="2" t="n">
        <x:f>IF(COUNTA(A227:C227,F227:K227)=0,0,IF(OR(H227&gt;F227,I227&gt;G227,D227="Код қәте",E227="Код қәте"),1,0))</x:f>
        <x:v>0</x:v>
      </x:c>
      <x:c r="N227" s="2" t="str">
        <x:f>IF(B227="","",_xlfn.IFNA(INDEX('Клиентлер'!$B$8:$B$31,MATCH(B227,'Клиентлер'!$A$8:$A$31,0)),"Код қәте"))</x:f>
      </x:c>
    </x:row>
    <x:row r="228" ht="40" customHeight="1">
      <x:c r="A228" s="12"/>
      <x:c r="B228" s="10"/>
      <x:c r="C228" s="10"/>
      <x:c r="D228" s="13" t="str">
        <x:f>IF(C228="","",_xlfn.IFNA(INDEX('Күнлик реже'!$D$8:$D$390,MATCH(C228,'Күнлик реже'!$A$8:$A$390,0)),"Код қәте"))</x:f>
      </x:c>
      <x:c r="E228" s="2" t="str">
        <x:f>IF(B228="","",_xlfn.IFNA(INDEX('Клиентлер'!$E$8:$E$31,MATCH(B228,'Клиентлер'!$A$8:$A$31,0)),"Код қәте"))</x:f>
      </x:c>
      <x:c r="F228" s="11"/>
      <x:c r="G228" s="11"/>
      <x:c r="H228" s="11"/>
      <x:c r="I228" s="11"/>
      <x:c r="J228" s="11"/>
      <x:c r="K228" s="10"/>
      <x:c r="L228" s="2" t="n">
        <x:f>IF(COUNTA(A228:C228,F228:K228)=0,0,IF(AND(COUNT(A228:C228)=3,COUNT(F228:J228)=5),0,1))</x:f>
        <x:v>0</x:v>
      </x:c>
      <x:c r="M228" s="2" t="n">
        <x:f>IF(COUNTA(A228:C228,F228:K228)=0,0,IF(OR(H228&gt;F228,I228&gt;G228,D228="Код қәте",E228="Код қәте"),1,0))</x:f>
        <x:v>0</x:v>
      </x:c>
      <x:c r="N228" s="2" t="str">
        <x:f>IF(B228="","",_xlfn.IFNA(INDEX('Клиентлер'!$B$8:$B$31,MATCH(B228,'Клиентлер'!$A$8:$A$31,0)),"Код қәте"))</x:f>
      </x:c>
    </x:row>
    <x:row r="229" ht="40" customHeight="1">
      <x:c r="A229" s="12"/>
      <x:c r="B229" s="10"/>
      <x:c r="C229" s="10"/>
      <x:c r="D229" s="13" t="str">
        <x:f>IF(C229="","",_xlfn.IFNA(INDEX('Күнлик реже'!$D$8:$D$390,MATCH(C229,'Күнлик реже'!$A$8:$A$390,0)),"Код қәте"))</x:f>
      </x:c>
      <x:c r="E229" s="2" t="str">
        <x:f>IF(B229="","",_xlfn.IFNA(INDEX('Клиентлер'!$E$8:$E$31,MATCH(B229,'Клиентлер'!$A$8:$A$31,0)),"Код қәте"))</x:f>
      </x:c>
      <x:c r="F229" s="11"/>
      <x:c r="G229" s="11"/>
      <x:c r="H229" s="11"/>
      <x:c r="I229" s="11"/>
      <x:c r="J229" s="11"/>
      <x:c r="K229" s="10"/>
      <x:c r="L229" s="2" t="n">
        <x:f>IF(COUNTA(A229:C229,F229:K229)=0,0,IF(AND(COUNT(A229:C229)=3,COUNT(F229:J229)=5),0,1))</x:f>
        <x:v>0</x:v>
      </x:c>
      <x:c r="M229" s="2" t="n">
        <x:f>IF(COUNTA(A229:C229,F229:K229)=0,0,IF(OR(H229&gt;F229,I229&gt;G229,D229="Код қәте",E229="Код қәте"),1,0))</x:f>
        <x:v>0</x:v>
      </x:c>
      <x:c r="N229" s="2" t="str">
        <x:f>IF(B229="","",_xlfn.IFNA(INDEX('Клиентлер'!$B$8:$B$31,MATCH(B229,'Клиентлер'!$A$8:$A$31,0)),"Код қәте"))</x:f>
      </x:c>
    </x:row>
    <x:row r="230" ht="40" customHeight="1">
      <x:c r="A230" s="12"/>
      <x:c r="B230" s="10"/>
      <x:c r="C230" s="10"/>
      <x:c r="D230" s="13" t="str">
        <x:f>IF(C230="","",_xlfn.IFNA(INDEX('Күнлик реже'!$D$8:$D$390,MATCH(C230,'Күнлик реже'!$A$8:$A$390,0)),"Код қәте"))</x:f>
      </x:c>
      <x:c r="E230" s="2" t="str">
        <x:f>IF(B230="","",_xlfn.IFNA(INDEX('Клиентлер'!$E$8:$E$31,MATCH(B230,'Клиентлер'!$A$8:$A$31,0)),"Код қәте"))</x:f>
      </x:c>
      <x:c r="F230" s="11"/>
      <x:c r="G230" s="11"/>
      <x:c r="H230" s="11"/>
      <x:c r="I230" s="11"/>
      <x:c r="J230" s="11"/>
      <x:c r="K230" s="10"/>
      <x:c r="L230" s="2" t="n">
        <x:f>IF(COUNTA(A230:C230,F230:K230)=0,0,IF(AND(COUNT(A230:C230)=3,COUNT(F230:J230)=5),0,1))</x:f>
        <x:v>0</x:v>
      </x:c>
      <x:c r="M230" s="2" t="n">
        <x:f>IF(COUNTA(A230:C230,F230:K230)=0,0,IF(OR(H230&gt;F230,I230&gt;G230,D230="Код қәте",E230="Код қәте"),1,0))</x:f>
        <x:v>0</x:v>
      </x:c>
      <x:c r="N230" s="2" t="str">
        <x:f>IF(B230="","",_xlfn.IFNA(INDEX('Клиентлер'!$B$8:$B$31,MATCH(B230,'Клиентлер'!$A$8:$A$31,0)),"Код қәте"))</x:f>
      </x:c>
    </x:row>
    <x:row r="231" ht="40" customHeight="1">
      <x:c r="A231" s="12"/>
      <x:c r="B231" s="10"/>
      <x:c r="C231" s="10"/>
      <x:c r="D231" s="13" t="str">
        <x:f>IF(C231="","",_xlfn.IFNA(INDEX('Күнлик реже'!$D$8:$D$390,MATCH(C231,'Күнлик реже'!$A$8:$A$390,0)),"Код қәте"))</x:f>
      </x:c>
      <x:c r="E231" s="2" t="str">
        <x:f>IF(B231="","",_xlfn.IFNA(INDEX('Клиентлер'!$E$8:$E$31,MATCH(B231,'Клиентлер'!$A$8:$A$31,0)),"Код қәте"))</x:f>
      </x:c>
      <x:c r="F231" s="11"/>
      <x:c r="G231" s="11"/>
      <x:c r="H231" s="11"/>
      <x:c r="I231" s="11"/>
      <x:c r="J231" s="11"/>
      <x:c r="K231" s="10"/>
      <x:c r="L231" s="2" t="n">
        <x:f>IF(COUNTA(A231:C231,F231:K231)=0,0,IF(AND(COUNT(A231:C231)=3,COUNT(F231:J231)=5),0,1))</x:f>
        <x:v>0</x:v>
      </x:c>
      <x:c r="M231" s="2" t="n">
        <x:f>IF(COUNTA(A231:C231,F231:K231)=0,0,IF(OR(H231&gt;F231,I231&gt;G231,D231="Код қәте",E231="Код қәте"),1,0))</x:f>
        <x:v>0</x:v>
      </x:c>
      <x:c r="N231" s="2" t="str">
        <x:f>IF(B231="","",_xlfn.IFNA(INDEX('Клиентлер'!$B$8:$B$31,MATCH(B231,'Клиентлер'!$A$8:$A$31,0)),"Код қәте"))</x:f>
      </x:c>
    </x:row>
    <x:row r="232" ht="40" customHeight="1">
      <x:c r="A232" s="12"/>
      <x:c r="B232" s="10"/>
      <x:c r="C232" s="10"/>
      <x:c r="D232" s="13" t="str">
        <x:f>IF(C232="","",_xlfn.IFNA(INDEX('Күнлик реже'!$D$8:$D$390,MATCH(C232,'Күнлик реже'!$A$8:$A$390,0)),"Код қәте"))</x:f>
      </x:c>
      <x:c r="E232" s="2" t="str">
        <x:f>IF(B232="","",_xlfn.IFNA(INDEX('Клиентлер'!$E$8:$E$31,MATCH(B232,'Клиентлер'!$A$8:$A$31,0)),"Код қәте"))</x:f>
      </x:c>
      <x:c r="F232" s="11"/>
      <x:c r="G232" s="11"/>
      <x:c r="H232" s="11"/>
      <x:c r="I232" s="11"/>
      <x:c r="J232" s="11"/>
      <x:c r="K232" s="10"/>
      <x:c r="L232" s="2" t="n">
        <x:f>IF(COUNTA(A232:C232,F232:K232)=0,0,IF(AND(COUNT(A232:C232)=3,COUNT(F232:J232)=5),0,1))</x:f>
        <x:v>0</x:v>
      </x:c>
      <x:c r="M232" s="2" t="n">
        <x:f>IF(COUNTA(A232:C232,F232:K232)=0,0,IF(OR(H232&gt;F232,I232&gt;G232,D232="Код қәте",E232="Код қәте"),1,0))</x:f>
        <x:v>0</x:v>
      </x:c>
      <x:c r="N232" s="2" t="str">
        <x:f>IF(B232="","",_xlfn.IFNA(INDEX('Клиентлер'!$B$8:$B$31,MATCH(B232,'Клиентлер'!$A$8:$A$31,0)),"Код қәте"))</x:f>
      </x:c>
    </x:row>
    <x:row r="233" ht="40" customHeight="1">
      <x:c r="A233" s="12"/>
      <x:c r="B233" s="10"/>
      <x:c r="C233" s="10"/>
      <x:c r="D233" s="13" t="str">
        <x:f>IF(C233="","",_xlfn.IFNA(INDEX('Күнлик реже'!$D$8:$D$390,MATCH(C233,'Күнлик реже'!$A$8:$A$390,0)),"Код қәте"))</x:f>
      </x:c>
      <x:c r="E233" s="2" t="str">
        <x:f>IF(B233="","",_xlfn.IFNA(INDEX('Клиентлер'!$E$8:$E$31,MATCH(B233,'Клиентлер'!$A$8:$A$31,0)),"Код қәте"))</x:f>
      </x:c>
      <x:c r="F233" s="11"/>
      <x:c r="G233" s="11"/>
      <x:c r="H233" s="11"/>
      <x:c r="I233" s="11"/>
      <x:c r="J233" s="11"/>
      <x:c r="K233" s="10"/>
      <x:c r="L233" s="2" t="n">
        <x:f>IF(COUNTA(A233:C233,F233:K233)=0,0,IF(AND(COUNT(A233:C233)=3,COUNT(F233:J233)=5),0,1))</x:f>
        <x:v>0</x:v>
      </x:c>
      <x:c r="M233" s="2" t="n">
        <x:f>IF(COUNTA(A233:C233,F233:K233)=0,0,IF(OR(H233&gt;F233,I233&gt;G233,D233="Код қәте",E233="Код қәте"),1,0))</x:f>
        <x:v>0</x:v>
      </x:c>
      <x:c r="N233" s="2" t="str">
        <x:f>IF(B233="","",_xlfn.IFNA(INDEX('Клиентлер'!$B$8:$B$31,MATCH(B233,'Клиентлер'!$A$8:$A$31,0)),"Код қәте"))</x:f>
      </x:c>
    </x:row>
    <x:row r="234" ht="40" customHeight="1">
      <x:c r="A234" s="12"/>
      <x:c r="B234" s="10"/>
      <x:c r="C234" s="10"/>
      <x:c r="D234" s="13" t="str">
        <x:f>IF(C234="","",_xlfn.IFNA(INDEX('Күнлик реже'!$D$8:$D$390,MATCH(C234,'Күнлик реже'!$A$8:$A$390,0)),"Код қәте"))</x:f>
      </x:c>
      <x:c r="E234" s="2" t="str">
        <x:f>IF(B234="","",_xlfn.IFNA(INDEX('Клиентлер'!$E$8:$E$31,MATCH(B234,'Клиентлер'!$A$8:$A$31,0)),"Код қәте"))</x:f>
      </x:c>
      <x:c r="F234" s="11"/>
      <x:c r="G234" s="11"/>
      <x:c r="H234" s="11"/>
      <x:c r="I234" s="11"/>
      <x:c r="J234" s="11"/>
      <x:c r="K234" s="10"/>
      <x:c r="L234" s="2" t="n">
        <x:f>IF(COUNTA(A234:C234,F234:K234)=0,0,IF(AND(COUNT(A234:C234)=3,COUNT(F234:J234)=5),0,1))</x:f>
        <x:v>0</x:v>
      </x:c>
      <x:c r="M234" s="2" t="n">
        <x:f>IF(COUNTA(A234:C234,F234:K234)=0,0,IF(OR(H234&gt;F234,I234&gt;G234,D234="Код қәте",E234="Код қәте"),1,0))</x:f>
        <x:v>0</x:v>
      </x:c>
      <x:c r="N234" s="2" t="str">
        <x:f>IF(B234="","",_xlfn.IFNA(INDEX('Клиентлер'!$B$8:$B$31,MATCH(B234,'Клиентлер'!$A$8:$A$31,0)),"Код қәте"))</x:f>
      </x:c>
    </x:row>
    <x:row r="235" ht="40" customHeight="1">
      <x:c r="A235" s="12"/>
      <x:c r="B235" s="10"/>
      <x:c r="C235" s="10"/>
      <x:c r="D235" s="13" t="str">
        <x:f>IF(C235="","",_xlfn.IFNA(INDEX('Күнлик реже'!$D$8:$D$390,MATCH(C235,'Күнлик реже'!$A$8:$A$390,0)),"Код қәте"))</x:f>
      </x:c>
      <x:c r="E235" s="2" t="str">
        <x:f>IF(B235="","",_xlfn.IFNA(INDEX('Клиентлер'!$E$8:$E$31,MATCH(B235,'Клиентлер'!$A$8:$A$31,0)),"Код қәте"))</x:f>
      </x:c>
      <x:c r="F235" s="11"/>
      <x:c r="G235" s="11"/>
      <x:c r="H235" s="11"/>
      <x:c r="I235" s="11"/>
      <x:c r="J235" s="11"/>
      <x:c r="K235" s="10"/>
      <x:c r="L235" s="2" t="n">
        <x:f>IF(COUNTA(A235:C235,F235:K235)=0,0,IF(AND(COUNT(A235:C235)=3,COUNT(F235:J235)=5),0,1))</x:f>
        <x:v>0</x:v>
      </x:c>
      <x:c r="M235" s="2" t="n">
        <x:f>IF(COUNTA(A235:C235,F235:K235)=0,0,IF(OR(H235&gt;F235,I235&gt;G235,D235="Код қәте",E235="Код қәте"),1,0))</x:f>
        <x:v>0</x:v>
      </x:c>
      <x:c r="N235" s="2" t="str">
        <x:f>IF(B235="","",_xlfn.IFNA(INDEX('Клиентлер'!$B$8:$B$31,MATCH(B235,'Клиентлер'!$A$8:$A$31,0)),"Код қәте"))</x:f>
      </x:c>
    </x:row>
    <x:row r="236" ht="40" customHeight="1">
      <x:c r="A236" s="12"/>
      <x:c r="B236" s="10"/>
      <x:c r="C236" s="10"/>
      <x:c r="D236" s="13" t="str">
        <x:f>IF(C236="","",_xlfn.IFNA(INDEX('Күнлик реже'!$D$8:$D$390,MATCH(C236,'Күнлик реже'!$A$8:$A$390,0)),"Код қәте"))</x:f>
      </x:c>
      <x:c r="E236" s="2" t="str">
        <x:f>IF(B236="","",_xlfn.IFNA(INDEX('Клиентлер'!$E$8:$E$31,MATCH(B236,'Клиентлер'!$A$8:$A$31,0)),"Код қәте"))</x:f>
      </x:c>
      <x:c r="F236" s="11"/>
      <x:c r="G236" s="11"/>
      <x:c r="H236" s="11"/>
      <x:c r="I236" s="11"/>
      <x:c r="J236" s="11"/>
      <x:c r="K236" s="10"/>
      <x:c r="L236" s="2" t="n">
        <x:f>IF(COUNTA(A236:C236,F236:K236)=0,0,IF(AND(COUNT(A236:C236)=3,COUNT(F236:J236)=5),0,1))</x:f>
        <x:v>0</x:v>
      </x:c>
      <x:c r="M236" s="2" t="n">
        <x:f>IF(COUNTA(A236:C236,F236:K236)=0,0,IF(OR(H236&gt;F236,I236&gt;G236,D236="Код қәте",E236="Код қәте"),1,0))</x:f>
        <x:v>0</x:v>
      </x:c>
      <x:c r="N236" s="2" t="str">
        <x:f>IF(B236="","",_xlfn.IFNA(INDEX('Клиентлер'!$B$8:$B$31,MATCH(B236,'Клиентлер'!$A$8:$A$31,0)),"Код қәте"))</x:f>
      </x:c>
    </x:row>
    <x:row r="237" ht="40" customHeight="1">
      <x:c r="A237" s="12"/>
      <x:c r="B237" s="10"/>
      <x:c r="C237" s="10"/>
      <x:c r="D237" s="13" t="str">
        <x:f>IF(C237="","",_xlfn.IFNA(INDEX('Күнлик реже'!$D$8:$D$390,MATCH(C237,'Күнлик реже'!$A$8:$A$390,0)),"Код қәте"))</x:f>
      </x:c>
      <x:c r="E237" s="2" t="str">
        <x:f>IF(B237="","",_xlfn.IFNA(INDEX('Клиентлер'!$E$8:$E$31,MATCH(B237,'Клиентлер'!$A$8:$A$31,0)),"Код қәте"))</x:f>
      </x:c>
      <x:c r="F237" s="11"/>
      <x:c r="G237" s="11"/>
      <x:c r="H237" s="11"/>
      <x:c r="I237" s="11"/>
      <x:c r="J237" s="11"/>
      <x:c r="K237" s="10"/>
      <x:c r="L237" s="2" t="n">
        <x:f>IF(COUNTA(A237:C237,F237:K237)=0,0,IF(AND(COUNT(A237:C237)=3,COUNT(F237:J237)=5),0,1))</x:f>
        <x:v>0</x:v>
      </x:c>
      <x:c r="M237" s="2" t="n">
        <x:f>IF(COUNTA(A237:C237,F237:K237)=0,0,IF(OR(H237&gt;F237,I237&gt;G237,D237="Код қәте",E237="Код қәте"),1,0))</x:f>
        <x:v>0</x:v>
      </x:c>
      <x:c r="N237" s="2" t="str">
        <x:f>IF(B237="","",_xlfn.IFNA(INDEX('Клиентлер'!$B$8:$B$31,MATCH(B237,'Клиентлер'!$A$8:$A$31,0)),"Код қәте"))</x:f>
      </x:c>
    </x:row>
    <x:row r="238" ht="40" customHeight="1">
      <x:c r="A238" s="12"/>
      <x:c r="B238" s="10"/>
      <x:c r="C238" s="10"/>
      <x:c r="D238" s="13" t="str">
        <x:f>IF(C238="","",_xlfn.IFNA(INDEX('Күнлик реже'!$D$8:$D$390,MATCH(C238,'Күнлик реже'!$A$8:$A$390,0)),"Код қәте"))</x:f>
      </x:c>
      <x:c r="E238" s="2" t="str">
        <x:f>IF(B238="","",_xlfn.IFNA(INDEX('Клиентлер'!$E$8:$E$31,MATCH(B238,'Клиентлер'!$A$8:$A$31,0)),"Код қәте"))</x:f>
      </x:c>
      <x:c r="F238" s="11"/>
      <x:c r="G238" s="11"/>
      <x:c r="H238" s="11"/>
      <x:c r="I238" s="11"/>
      <x:c r="J238" s="11"/>
      <x:c r="K238" s="10"/>
      <x:c r="L238" s="2" t="n">
        <x:f>IF(COUNTA(A238:C238,F238:K238)=0,0,IF(AND(COUNT(A238:C238)=3,COUNT(F238:J238)=5),0,1))</x:f>
        <x:v>0</x:v>
      </x:c>
      <x:c r="M238" s="2" t="n">
        <x:f>IF(COUNTA(A238:C238,F238:K238)=0,0,IF(OR(H238&gt;F238,I238&gt;G238,D238="Код қәте",E238="Код қәте"),1,0))</x:f>
        <x:v>0</x:v>
      </x:c>
      <x:c r="N238" s="2" t="str">
        <x:f>IF(B238="","",_xlfn.IFNA(INDEX('Клиентлер'!$B$8:$B$31,MATCH(B238,'Клиентлер'!$A$8:$A$31,0)),"Код қәте"))</x:f>
      </x:c>
    </x:row>
    <x:row r="239" ht="40" customHeight="1">
      <x:c r="A239" s="12"/>
      <x:c r="B239" s="10"/>
      <x:c r="C239" s="10"/>
      <x:c r="D239" s="13" t="str">
        <x:f>IF(C239="","",_xlfn.IFNA(INDEX('Күнлик реже'!$D$8:$D$390,MATCH(C239,'Күнлик реже'!$A$8:$A$390,0)),"Код қәте"))</x:f>
      </x:c>
      <x:c r="E239" s="2" t="str">
        <x:f>IF(B239="","",_xlfn.IFNA(INDEX('Клиентлер'!$E$8:$E$31,MATCH(B239,'Клиентлер'!$A$8:$A$31,0)),"Код қәте"))</x:f>
      </x:c>
      <x:c r="F239" s="11"/>
      <x:c r="G239" s="11"/>
      <x:c r="H239" s="11"/>
      <x:c r="I239" s="11"/>
      <x:c r="J239" s="11"/>
      <x:c r="K239" s="10"/>
      <x:c r="L239" s="2" t="n">
        <x:f>IF(COUNTA(A239:C239,F239:K239)=0,0,IF(AND(COUNT(A239:C239)=3,COUNT(F239:J239)=5),0,1))</x:f>
        <x:v>0</x:v>
      </x:c>
      <x:c r="M239" s="2" t="n">
        <x:f>IF(COUNTA(A239:C239,F239:K239)=0,0,IF(OR(H239&gt;F239,I239&gt;G239,D239="Код қәте",E239="Код қәте"),1,0))</x:f>
        <x:v>0</x:v>
      </x:c>
      <x:c r="N239" s="2" t="str">
        <x:f>IF(B239="","",_xlfn.IFNA(INDEX('Клиентлер'!$B$8:$B$31,MATCH(B239,'Клиентлер'!$A$8:$A$31,0)),"Код қәте"))</x:f>
      </x:c>
    </x:row>
    <x:row r="240" ht="40" customHeight="1">
      <x:c r="A240" s="12"/>
      <x:c r="B240" s="10"/>
      <x:c r="C240" s="10"/>
      <x:c r="D240" s="13" t="str">
        <x:f>IF(C240="","",_xlfn.IFNA(INDEX('Күнлик реже'!$D$8:$D$390,MATCH(C240,'Күнлик реже'!$A$8:$A$390,0)),"Код қәте"))</x:f>
      </x:c>
      <x:c r="E240" s="2" t="str">
        <x:f>IF(B240="","",_xlfn.IFNA(INDEX('Клиентлер'!$E$8:$E$31,MATCH(B240,'Клиентлер'!$A$8:$A$31,0)),"Код қәте"))</x:f>
      </x:c>
      <x:c r="F240" s="11"/>
      <x:c r="G240" s="11"/>
      <x:c r="H240" s="11"/>
      <x:c r="I240" s="11"/>
      <x:c r="J240" s="11"/>
      <x:c r="K240" s="10"/>
      <x:c r="L240" s="2" t="n">
        <x:f>IF(COUNTA(A240:C240,F240:K240)=0,0,IF(AND(COUNT(A240:C240)=3,COUNT(F240:J240)=5),0,1))</x:f>
        <x:v>0</x:v>
      </x:c>
      <x:c r="M240" s="2" t="n">
        <x:f>IF(COUNTA(A240:C240,F240:K240)=0,0,IF(OR(H240&gt;F240,I240&gt;G240,D240="Код қәте",E240="Код қәте"),1,0))</x:f>
        <x:v>0</x:v>
      </x:c>
      <x:c r="N240" s="2" t="str">
        <x:f>IF(B240="","",_xlfn.IFNA(INDEX('Клиентлер'!$B$8:$B$31,MATCH(B240,'Клиентлер'!$A$8:$A$31,0)),"Код қәте"))</x:f>
      </x:c>
    </x:row>
    <x:row r="241" ht="40" customHeight="1">
      <x:c r="A241" s="12"/>
      <x:c r="B241" s="10"/>
      <x:c r="C241" s="10"/>
      <x:c r="D241" s="13" t="str">
        <x:f>IF(C241="","",_xlfn.IFNA(INDEX('Күнлик реже'!$D$8:$D$390,MATCH(C241,'Күнлик реже'!$A$8:$A$390,0)),"Код қәте"))</x:f>
      </x:c>
      <x:c r="E241" s="2" t="str">
        <x:f>IF(B241="","",_xlfn.IFNA(INDEX('Клиентлер'!$E$8:$E$31,MATCH(B241,'Клиентлер'!$A$8:$A$31,0)),"Код қәте"))</x:f>
      </x:c>
      <x:c r="F241" s="11"/>
      <x:c r="G241" s="11"/>
      <x:c r="H241" s="11"/>
      <x:c r="I241" s="11"/>
      <x:c r="J241" s="11"/>
      <x:c r="K241" s="10"/>
      <x:c r="L241" s="2" t="n">
        <x:f>IF(COUNTA(A241:C241,F241:K241)=0,0,IF(AND(COUNT(A241:C241)=3,COUNT(F241:J241)=5),0,1))</x:f>
        <x:v>0</x:v>
      </x:c>
      <x:c r="M241" s="2" t="n">
        <x:f>IF(COUNTA(A241:C241,F241:K241)=0,0,IF(OR(H241&gt;F241,I241&gt;G241,D241="Код қәте",E241="Код қәте"),1,0))</x:f>
        <x:v>0</x:v>
      </x:c>
      <x:c r="N241" s="2" t="str">
        <x:f>IF(B241="","",_xlfn.IFNA(INDEX('Клиентлер'!$B$8:$B$31,MATCH(B241,'Клиентлер'!$A$8:$A$31,0)),"Код қәте"))</x:f>
      </x:c>
    </x:row>
    <x:row r="242" ht="40" customHeight="1">
      <x:c r="A242" s="12"/>
      <x:c r="B242" s="10"/>
      <x:c r="C242" s="10"/>
      <x:c r="D242" s="13" t="str">
        <x:f>IF(C242="","",_xlfn.IFNA(INDEX('Күнлик реже'!$D$8:$D$390,MATCH(C242,'Күнлик реже'!$A$8:$A$390,0)),"Код қәте"))</x:f>
      </x:c>
      <x:c r="E242" s="2" t="str">
        <x:f>IF(B242="","",_xlfn.IFNA(INDEX('Клиентлер'!$E$8:$E$31,MATCH(B242,'Клиентлер'!$A$8:$A$31,0)),"Код қәте"))</x:f>
      </x:c>
      <x:c r="F242" s="11"/>
      <x:c r="G242" s="11"/>
      <x:c r="H242" s="11"/>
      <x:c r="I242" s="11"/>
      <x:c r="J242" s="11"/>
      <x:c r="K242" s="10"/>
      <x:c r="L242" s="2" t="n">
        <x:f>IF(COUNTA(A242:C242,F242:K242)=0,0,IF(AND(COUNT(A242:C242)=3,COUNT(F242:J242)=5),0,1))</x:f>
        <x:v>0</x:v>
      </x:c>
      <x:c r="M242" s="2" t="n">
        <x:f>IF(COUNTA(A242:C242,F242:K242)=0,0,IF(OR(H242&gt;F242,I242&gt;G242,D242="Код қәте",E242="Код қәте"),1,0))</x:f>
        <x:v>0</x:v>
      </x:c>
      <x:c r="N242" s="2" t="str">
        <x:f>IF(B242="","",_xlfn.IFNA(INDEX('Клиентлер'!$B$8:$B$31,MATCH(B242,'Клиентлер'!$A$8:$A$31,0)),"Код қәте"))</x:f>
      </x:c>
    </x:row>
    <x:row r="243" ht="40" customHeight="1">
      <x:c r="A243" s="12"/>
      <x:c r="B243" s="10"/>
      <x:c r="C243" s="10"/>
      <x:c r="D243" s="13" t="str">
        <x:f>IF(C243="","",_xlfn.IFNA(INDEX('Күнлик реже'!$D$8:$D$390,MATCH(C243,'Күнлик реже'!$A$8:$A$390,0)),"Код қәте"))</x:f>
      </x:c>
      <x:c r="E243" s="2" t="str">
        <x:f>IF(B243="","",_xlfn.IFNA(INDEX('Клиентлер'!$E$8:$E$31,MATCH(B243,'Клиентлер'!$A$8:$A$31,0)),"Код қәте"))</x:f>
      </x:c>
      <x:c r="F243" s="11"/>
      <x:c r="G243" s="11"/>
      <x:c r="H243" s="11"/>
      <x:c r="I243" s="11"/>
      <x:c r="J243" s="11"/>
      <x:c r="K243" s="10"/>
      <x:c r="L243" s="2" t="n">
        <x:f>IF(COUNTA(A243:C243,F243:K243)=0,0,IF(AND(COUNT(A243:C243)=3,COUNT(F243:J243)=5),0,1))</x:f>
        <x:v>0</x:v>
      </x:c>
      <x:c r="M243" s="2" t="n">
        <x:f>IF(COUNTA(A243:C243,F243:K243)=0,0,IF(OR(H243&gt;F243,I243&gt;G243,D243="Код қәте",E243="Код қәте"),1,0))</x:f>
        <x:v>0</x:v>
      </x:c>
      <x:c r="N243" s="2" t="str">
        <x:f>IF(B243="","",_xlfn.IFNA(INDEX('Клиентлер'!$B$8:$B$31,MATCH(B243,'Клиентлер'!$A$8:$A$31,0)),"Код қәте"))</x:f>
      </x:c>
    </x:row>
    <x:row r="244" ht="40" customHeight="1">
      <x:c r="A244" s="12"/>
      <x:c r="B244" s="10"/>
      <x:c r="C244" s="10"/>
      <x:c r="D244" s="13" t="str">
        <x:f>IF(C244="","",_xlfn.IFNA(INDEX('Күнлик реже'!$D$8:$D$390,MATCH(C244,'Күнлик реже'!$A$8:$A$390,0)),"Код қәте"))</x:f>
      </x:c>
      <x:c r="E244" s="2" t="str">
        <x:f>IF(B244="","",_xlfn.IFNA(INDEX('Клиентлер'!$E$8:$E$31,MATCH(B244,'Клиентлер'!$A$8:$A$31,0)),"Код қәте"))</x:f>
      </x:c>
      <x:c r="F244" s="11"/>
      <x:c r="G244" s="11"/>
      <x:c r="H244" s="11"/>
      <x:c r="I244" s="11"/>
      <x:c r="J244" s="11"/>
      <x:c r="K244" s="10"/>
      <x:c r="L244" s="2" t="n">
        <x:f>IF(COUNTA(A244:C244,F244:K244)=0,0,IF(AND(COUNT(A244:C244)=3,COUNT(F244:J244)=5),0,1))</x:f>
        <x:v>0</x:v>
      </x:c>
      <x:c r="M244" s="2" t="n">
        <x:f>IF(COUNTA(A244:C244,F244:K244)=0,0,IF(OR(H244&gt;F244,I244&gt;G244,D244="Код қәте",E244="Код қәте"),1,0))</x:f>
        <x:v>0</x:v>
      </x:c>
      <x:c r="N244" s="2" t="str">
        <x:f>IF(B244="","",_xlfn.IFNA(INDEX('Клиентлер'!$B$8:$B$31,MATCH(B244,'Клиентлер'!$A$8:$A$31,0)),"Код қәте"))</x:f>
      </x:c>
    </x:row>
    <x:row r="245" ht="40" customHeight="1">
      <x:c r="A245" s="12"/>
      <x:c r="B245" s="10"/>
      <x:c r="C245" s="10"/>
      <x:c r="D245" s="13" t="str">
        <x:f>IF(C245="","",_xlfn.IFNA(INDEX('Күнлик реже'!$D$8:$D$390,MATCH(C245,'Күнлик реже'!$A$8:$A$390,0)),"Код қәте"))</x:f>
      </x:c>
      <x:c r="E245" s="2" t="str">
        <x:f>IF(B245="","",_xlfn.IFNA(INDEX('Клиентлер'!$E$8:$E$31,MATCH(B245,'Клиентлер'!$A$8:$A$31,0)),"Код қәте"))</x:f>
      </x:c>
      <x:c r="F245" s="11"/>
      <x:c r="G245" s="11"/>
      <x:c r="H245" s="11"/>
      <x:c r="I245" s="11"/>
      <x:c r="J245" s="11"/>
      <x:c r="K245" s="10"/>
      <x:c r="L245" s="2" t="n">
        <x:f>IF(COUNTA(A245:C245,F245:K245)=0,0,IF(AND(COUNT(A245:C245)=3,COUNT(F245:J245)=5),0,1))</x:f>
        <x:v>0</x:v>
      </x:c>
      <x:c r="M245" s="2" t="n">
        <x:f>IF(COUNTA(A245:C245,F245:K245)=0,0,IF(OR(H245&gt;F245,I245&gt;G245,D245="Код қәте",E245="Код қәте"),1,0))</x:f>
        <x:v>0</x:v>
      </x:c>
      <x:c r="N245" s="2" t="str">
        <x:f>IF(B245="","",_xlfn.IFNA(INDEX('Клиентлер'!$B$8:$B$31,MATCH(B245,'Клиентлер'!$A$8:$A$31,0)),"Код қәте"))</x:f>
      </x:c>
    </x:row>
    <x:row r="246" ht="40" customHeight="1">
      <x:c r="A246" s="12"/>
      <x:c r="B246" s="10"/>
      <x:c r="C246" s="10"/>
      <x:c r="D246" s="13" t="str">
        <x:f>IF(C246="","",_xlfn.IFNA(INDEX('Күнлик реже'!$D$8:$D$390,MATCH(C246,'Күнлик реже'!$A$8:$A$390,0)),"Код қәте"))</x:f>
      </x:c>
      <x:c r="E246" s="2" t="str">
        <x:f>IF(B246="","",_xlfn.IFNA(INDEX('Клиентлер'!$E$8:$E$31,MATCH(B246,'Клиентлер'!$A$8:$A$31,0)),"Код қәте"))</x:f>
      </x:c>
      <x:c r="F246" s="11"/>
      <x:c r="G246" s="11"/>
      <x:c r="H246" s="11"/>
      <x:c r="I246" s="11"/>
      <x:c r="J246" s="11"/>
      <x:c r="K246" s="10"/>
      <x:c r="L246" s="2" t="n">
        <x:f>IF(COUNTA(A246:C246,F246:K246)=0,0,IF(AND(COUNT(A246:C246)=3,COUNT(F246:J246)=5),0,1))</x:f>
        <x:v>0</x:v>
      </x:c>
      <x:c r="M246" s="2" t="n">
        <x:f>IF(COUNTA(A246:C246,F246:K246)=0,0,IF(OR(H246&gt;F246,I246&gt;G246,D246="Код қәте",E246="Код қәте"),1,0))</x:f>
        <x:v>0</x:v>
      </x:c>
      <x:c r="N246" s="2" t="str">
        <x:f>IF(B246="","",_xlfn.IFNA(INDEX('Клиентлер'!$B$8:$B$31,MATCH(B246,'Клиентлер'!$A$8:$A$31,0)),"Код қәте"))</x:f>
      </x:c>
    </x:row>
    <x:row r="247" ht="40" customHeight="1">
      <x:c r="A247" s="12"/>
      <x:c r="B247" s="10"/>
      <x:c r="C247" s="10"/>
      <x:c r="D247" s="13" t="str">
        <x:f>IF(C247="","",_xlfn.IFNA(INDEX('Күнлик реже'!$D$8:$D$390,MATCH(C247,'Күнлик реже'!$A$8:$A$390,0)),"Код қәте"))</x:f>
      </x:c>
      <x:c r="E247" s="2" t="str">
        <x:f>IF(B247="","",_xlfn.IFNA(INDEX('Клиентлер'!$E$8:$E$31,MATCH(B247,'Клиентлер'!$A$8:$A$31,0)),"Код қәте"))</x:f>
      </x:c>
      <x:c r="F247" s="11"/>
      <x:c r="G247" s="11"/>
      <x:c r="H247" s="11"/>
      <x:c r="I247" s="11"/>
      <x:c r="J247" s="11"/>
      <x:c r="K247" s="10"/>
      <x:c r="L247" s="2" t="n">
        <x:f>IF(COUNTA(A247:C247,F247:K247)=0,0,IF(AND(COUNT(A247:C247)=3,COUNT(F247:J247)=5),0,1))</x:f>
        <x:v>0</x:v>
      </x:c>
      <x:c r="M247" s="2" t="n">
        <x:f>IF(COUNTA(A247:C247,F247:K247)=0,0,IF(OR(H247&gt;F247,I247&gt;G247,D247="Код қәте",E247="Код қәте"),1,0))</x:f>
        <x:v>0</x:v>
      </x:c>
      <x:c r="N247" s="2" t="str">
        <x:f>IF(B247="","",_xlfn.IFNA(INDEX('Клиентлер'!$B$8:$B$31,MATCH(B247,'Клиентлер'!$A$8:$A$31,0)),"Код қәте"))</x:f>
      </x:c>
    </x:row>
    <x:row r="248" ht="40" customHeight="1">
      <x:c r="A248" s="12"/>
      <x:c r="B248" s="10"/>
      <x:c r="C248" s="10"/>
      <x:c r="D248" s="13" t="str">
        <x:f>IF(C248="","",_xlfn.IFNA(INDEX('Күнлик реже'!$D$8:$D$390,MATCH(C248,'Күнлик реже'!$A$8:$A$390,0)),"Код қәте"))</x:f>
      </x:c>
      <x:c r="E248" s="2" t="str">
        <x:f>IF(B248="","",_xlfn.IFNA(INDEX('Клиентлер'!$E$8:$E$31,MATCH(B248,'Клиентлер'!$A$8:$A$31,0)),"Код қәте"))</x:f>
      </x:c>
      <x:c r="F248" s="11"/>
      <x:c r="G248" s="11"/>
      <x:c r="H248" s="11"/>
      <x:c r="I248" s="11"/>
      <x:c r="J248" s="11"/>
      <x:c r="K248" s="10"/>
      <x:c r="L248" s="2" t="n">
        <x:f>IF(COUNTA(A248:C248,F248:K248)=0,0,IF(AND(COUNT(A248:C248)=3,COUNT(F248:J248)=5),0,1))</x:f>
        <x:v>0</x:v>
      </x:c>
      <x:c r="M248" s="2" t="n">
        <x:f>IF(COUNTA(A248:C248,F248:K248)=0,0,IF(OR(H248&gt;F248,I248&gt;G248,D248="Код қәте",E248="Код қәте"),1,0))</x:f>
        <x:v>0</x:v>
      </x:c>
      <x:c r="N248" s="2" t="str">
        <x:f>IF(B248="","",_xlfn.IFNA(INDEX('Клиентлер'!$B$8:$B$31,MATCH(B248,'Клиентлер'!$A$8:$A$31,0)),"Код қәте"))</x:f>
      </x:c>
    </x:row>
    <x:row r="249" ht="40" customHeight="1">
      <x:c r="A249" s="12"/>
      <x:c r="B249" s="10"/>
      <x:c r="C249" s="10"/>
      <x:c r="D249" s="13" t="str">
        <x:f>IF(C249="","",_xlfn.IFNA(INDEX('Күнлик реже'!$D$8:$D$390,MATCH(C249,'Күнлик реже'!$A$8:$A$390,0)),"Код қәте"))</x:f>
      </x:c>
      <x:c r="E249" s="2" t="str">
        <x:f>IF(B249="","",_xlfn.IFNA(INDEX('Клиентлер'!$E$8:$E$31,MATCH(B249,'Клиентлер'!$A$8:$A$31,0)),"Код қәте"))</x:f>
      </x:c>
      <x:c r="F249" s="11"/>
      <x:c r="G249" s="11"/>
      <x:c r="H249" s="11"/>
      <x:c r="I249" s="11"/>
      <x:c r="J249" s="11"/>
      <x:c r="K249" s="10"/>
      <x:c r="L249" s="2" t="n">
        <x:f>IF(COUNTA(A249:C249,F249:K249)=0,0,IF(AND(COUNT(A249:C249)=3,COUNT(F249:J249)=5),0,1))</x:f>
        <x:v>0</x:v>
      </x:c>
      <x:c r="M249" s="2" t="n">
        <x:f>IF(COUNTA(A249:C249,F249:K249)=0,0,IF(OR(H249&gt;F249,I249&gt;G249,D249="Код қәте",E249="Код қәте"),1,0))</x:f>
        <x:v>0</x:v>
      </x:c>
      <x:c r="N249" s="2" t="str">
        <x:f>IF(B249="","",_xlfn.IFNA(INDEX('Клиентлер'!$B$8:$B$31,MATCH(B249,'Клиентлер'!$A$8:$A$31,0)),"Код қәте"))</x:f>
      </x:c>
    </x:row>
    <x:row r="250" ht="40" customHeight="1">
      <x:c r="A250" s="12"/>
      <x:c r="B250" s="10"/>
      <x:c r="C250" s="10"/>
      <x:c r="D250" s="13" t="str">
        <x:f>IF(C250="","",_xlfn.IFNA(INDEX('Күнлик реже'!$D$8:$D$390,MATCH(C250,'Күнлик реже'!$A$8:$A$390,0)),"Код қәте"))</x:f>
      </x:c>
      <x:c r="E250" s="2" t="str">
        <x:f>IF(B250="","",_xlfn.IFNA(INDEX('Клиентлер'!$E$8:$E$31,MATCH(B250,'Клиентлер'!$A$8:$A$31,0)),"Код қәте"))</x:f>
      </x:c>
      <x:c r="F250" s="11"/>
      <x:c r="G250" s="11"/>
      <x:c r="H250" s="11"/>
      <x:c r="I250" s="11"/>
      <x:c r="J250" s="11"/>
      <x:c r="K250" s="10"/>
      <x:c r="L250" s="2" t="n">
        <x:f>IF(COUNTA(A250:C250,F250:K250)=0,0,IF(AND(COUNT(A250:C250)=3,COUNT(F250:J250)=5),0,1))</x:f>
        <x:v>0</x:v>
      </x:c>
      <x:c r="M250" s="2" t="n">
        <x:f>IF(COUNTA(A250:C250,F250:K250)=0,0,IF(OR(H250&gt;F250,I250&gt;G250,D250="Код қәте",E250="Код қәте"),1,0))</x:f>
        <x:v>0</x:v>
      </x:c>
      <x:c r="N250" s="2" t="str">
        <x:f>IF(B250="","",_xlfn.IFNA(INDEX('Клиентлер'!$B$8:$B$31,MATCH(B250,'Клиентлер'!$A$8:$A$31,0)),"Код қәте"))</x:f>
      </x:c>
    </x:row>
    <x:row r="251" ht="40" customHeight="1">
      <x:c r="A251" s="12"/>
      <x:c r="B251" s="10"/>
      <x:c r="C251" s="10"/>
      <x:c r="D251" s="13" t="str">
        <x:f>IF(C251="","",_xlfn.IFNA(INDEX('Күнлик реже'!$D$8:$D$390,MATCH(C251,'Күнлик реже'!$A$8:$A$390,0)),"Код қәте"))</x:f>
      </x:c>
      <x:c r="E251" s="2" t="str">
        <x:f>IF(B251="","",_xlfn.IFNA(INDEX('Клиентлер'!$E$8:$E$31,MATCH(B251,'Клиентлер'!$A$8:$A$31,0)),"Код қәте"))</x:f>
      </x:c>
      <x:c r="F251" s="11"/>
      <x:c r="G251" s="11"/>
      <x:c r="H251" s="11"/>
      <x:c r="I251" s="11"/>
      <x:c r="J251" s="11"/>
      <x:c r="K251" s="10"/>
      <x:c r="L251" s="2" t="n">
        <x:f>IF(COUNTA(A251:C251,F251:K251)=0,0,IF(AND(COUNT(A251:C251)=3,COUNT(F251:J251)=5),0,1))</x:f>
        <x:v>0</x:v>
      </x:c>
      <x:c r="M251" s="2" t="n">
        <x:f>IF(COUNTA(A251:C251,F251:K251)=0,0,IF(OR(H251&gt;F251,I251&gt;G251,D251="Код қәте",E251="Код қәте"),1,0))</x:f>
        <x:v>0</x:v>
      </x:c>
      <x:c r="N251" s="2" t="str">
        <x:f>IF(B251="","",_xlfn.IFNA(INDEX('Клиентлер'!$B$8:$B$31,MATCH(B251,'Клиентлер'!$A$8:$A$31,0)),"Код қәте"))</x:f>
      </x:c>
    </x:row>
    <x:row r="252" ht="40" customHeight="1">
      <x:c r="A252" s="12"/>
      <x:c r="B252" s="10"/>
      <x:c r="C252" s="10"/>
      <x:c r="D252" s="13" t="str">
        <x:f>IF(C252="","",_xlfn.IFNA(INDEX('Күнлик реже'!$D$8:$D$390,MATCH(C252,'Күнлик реже'!$A$8:$A$390,0)),"Код қәте"))</x:f>
      </x:c>
      <x:c r="E252" s="2" t="str">
        <x:f>IF(B252="","",_xlfn.IFNA(INDEX('Клиентлер'!$E$8:$E$31,MATCH(B252,'Клиентлер'!$A$8:$A$31,0)),"Код қәте"))</x:f>
      </x:c>
      <x:c r="F252" s="11"/>
      <x:c r="G252" s="11"/>
      <x:c r="H252" s="11"/>
      <x:c r="I252" s="11"/>
      <x:c r="J252" s="11"/>
      <x:c r="K252" s="10"/>
      <x:c r="L252" s="2" t="n">
        <x:f>IF(COUNTA(A252:C252,F252:K252)=0,0,IF(AND(COUNT(A252:C252)=3,COUNT(F252:J252)=5),0,1))</x:f>
        <x:v>0</x:v>
      </x:c>
      <x:c r="M252" s="2" t="n">
        <x:f>IF(COUNTA(A252:C252,F252:K252)=0,0,IF(OR(H252&gt;F252,I252&gt;G252,D252="Код қәте",E252="Код қәте"),1,0))</x:f>
        <x:v>0</x:v>
      </x:c>
      <x:c r="N252" s="2" t="str">
        <x:f>IF(B252="","",_xlfn.IFNA(INDEX('Клиентлер'!$B$8:$B$31,MATCH(B252,'Клиентлер'!$A$8:$A$31,0)),"Код қәте"))</x:f>
      </x:c>
    </x:row>
    <x:row r="253" ht="40" customHeight="1">
      <x:c r="A253" s="12"/>
      <x:c r="B253" s="10"/>
      <x:c r="C253" s="10"/>
      <x:c r="D253" s="13" t="str">
        <x:f>IF(C253="","",_xlfn.IFNA(INDEX('Күнлик реже'!$D$8:$D$390,MATCH(C253,'Күнлик реже'!$A$8:$A$390,0)),"Код қәте"))</x:f>
      </x:c>
      <x:c r="E253" s="2" t="str">
        <x:f>IF(B253="","",_xlfn.IFNA(INDEX('Клиентлер'!$E$8:$E$31,MATCH(B253,'Клиентлер'!$A$8:$A$31,0)),"Код қәте"))</x:f>
      </x:c>
      <x:c r="F253" s="11"/>
      <x:c r="G253" s="11"/>
      <x:c r="H253" s="11"/>
      <x:c r="I253" s="11"/>
      <x:c r="J253" s="11"/>
      <x:c r="K253" s="10"/>
      <x:c r="L253" s="2" t="n">
        <x:f>IF(COUNTA(A253:C253,F253:K253)=0,0,IF(AND(COUNT(A253:C253)=3,COUNT(F253:J253)=5),0,1))</x:f>
        <x:v>0</x:v>
      </x:c>
      <x:c r="M253" s="2" t="n">
        <x:f>IF(COUNTA(A253:C253,F253:K253)=0,0,IF(OR(H253&gt;F253,I253&gt;G253,D253="Код қәте",E253="Код қәте"),1,0))</x:f>
        <x:v>0</x:v>
      </x:c>
      <x:c r="N253" s="2" t="str">
        <x:f>IF(B253="","",_xlfn.IFNA(INDEX('Клиентлер'!$B$8:$B$31,MATCH(B253,'Клиентлер'!$A$8:$A$31,0)),"Код қәте"))</x:f>
      </x:c>
    </x:row>
    <x:row r="254" ht="40" customHeight="1">
      <x:c r="A254" s="12"/>
      <x:c r="B254" s="10"/>
      <x:c r="C254" s="10"/>
      <x:c r="D254" s="13" t="str">
        <x:f>IF(C254="","",_xlfn.IFNA(INDEX('Күнлик реже'!$D$8:$D$390,MATCH(C254,'Күнлик реже'!$A$8:$A$390,0)),"Код қәте"))</x:f>
      </x:c>
      <x:c r="E254" s="2" t="str">
        <x:f>IF(B254="","",_xlfn.IFNA(INDEX('Клиентлер'!$E$8:$E$31,MATCH(B254,'Клиентлер'!$A$8:$A$31,0)),"Код қәте"))</x:f>
      </x:c>
      <x:c r="F254" s="11"/>
      <x:c r="G254" s="11"/>
      <x:c r="H254" s="11"/>
      <x:c r="I254" s="11"/>
      <x:c r="J254" s="11"/>
      <x:c r="K254" s="10"/>
      <x:c r="L254" s="2" t="n">
        <x:f>IF(COUNTA(A254:C254,F254:K254)=0,0,IF(AND(COUNT(A254:C254)=3,COUNT(F254:J254)=5),0,1))</x:f>
        <x:v>0</x:v>
      </x:c>
      <x:c r="M254" s="2" t="n">
        <x:f>IF(COUNTA(A254:C254,F254:K254)=0,0,IF(OR(H254&gt;F254,I254&gt;G254,D254="Код қәте",E254="Код қәте"),1,0))</x:f>
        <x:v>0</x:v>
      </x:c>
      <x:c r="N254" s="2" t="str">
        <x:f>IF(B254="","",_xlfn.IFNA(INDEX('Клиентлер'!$B$8:$B$31,MATCH(B254,'Клиентлер'!$A$8:$A$31,0)),"Код қәте"))</x:f>
      </x:c>
    </x:row>
    <x:row r="255" ht="40" customHeight="1">
      <x:c r="A255" s="12"/>
      <x:c r="B255" s="10"/>
      <x:c r="C255" s="10"/>
      <x:c r="D255" s="13" t="str">
        <x:f>IF(C255="","",_xlfn.IFNA(INDEX('Күнлик реже'!$D$8:$D$390,MATCH(C255,'Күнлик реже'!$A$8:$A$390,0)),"Код қәте"))</x:f>
      </x:c>
      <x:c r="E255" s="2" t="str">
        <x:f>IF(B255="","",_xlfn.IFNA(INDEX('Клиентлер'!$E$8:$E$31,MATCH(B255,'Клиентлер'!$A$8:$A$31,0)),"Код қәте"))</x:f>
      </x:c>
      <x:c r="F255" s="11"/>
      <x:c r="G255" s="11"/>
      <x:c r="H255" s="11"/>
      <x:c r="I255" s="11"/>
      <x:c r="J255" s="11"/>
      <x:c r="K255" s="10"/>
      <x:c r="L255" s="2" t="n">
        <x:f>IF(COUNTA(A255:C255,F255:K255)=0,0,IF(AND(COUNT(A255:C255)=3,COUNT(F255:J255)=5),0,1))</x:f>
        <x:v>0</x:v>
      </x:c>
      <x:c r="M255" s="2" t="n">
        <x:f>IF(COUNTA(A255:C255,F255:K255)=0,0,IF(OR(H255&gt;F255,I255&gt;G255,D255="Код қәте",E255="Код қәте"),1,0))</x:f>
        <x:v>0</x:v>
      </x:c>
      <x:c r="N255" s="2" t="str">
        <x:f>IF(B255="","",_xlfn.IFNA(INDEX('Клиентлер'!$B$8:$B$31,MATCH(B255,'Клиентлер'!$A$8:$A$31,0)),"Код қәте"))</x:f>
      </x:c>
    </x:row>
    <x:row r="256" ht="40" customHeight="1">
      <x:c r="A256" s="12"/>
      <x:c r="B256" s="10"/>
      <x:c r="C256" s="10"/>
      <x:c r="D256" s="13" t="str">
        <x:f>IF(C256="","",_xlfn.IFNA(INDEX('Күнлик реже'!$D$8:$D$390,MATCH(C256,'Күнлик реже'!$A$8:$A$390,0)),"Код қәте"))</x:f>
      </x:c>
      <x:c r="E256" s="2" t="str">
        <x:f>IF(B256="","",_xlfn.IFNA(INDEX('Клиентлер'!$E$8:$E$31,MATCH(B256,'Клиентлер'!$A$8:$A$31,0)),"Код қәте"))</x:f>
      </x:c>
      <x:c r="F256" s="11"/>
      <x:c r="G256" s="11"/>
      <x:c r="H256" s="11"/>
      <x:c r="I256" s="11"/>
      <x:c r="J256" s="11"/>
      <x:c r="K256" s="10"/>
      <x:c r="L256" s="2" t="n">
        <x:f>IF(COUNTA(A256:C256,F256:K256)=0,0,IF(AND(COUNT(A256:C256)=3,COUNT(F256:J256)=5),0,1))</x:f>
        <x:v>0</x:v>
      </x:c>
      <x:c r="M256" s="2" t="n">
        <x:f>IF(COUNTA(A256:C256,F256:K256)=0,0,IF(OR(H256&gt;F256,I256&gt;G256,D256="Код қәте",E256="Код қәте"),1,0))</x:f>
        <x:v>0</x:v>
      </x:c>
      <x:c r="N256" s="2" t="str">
        <x:f>IF(B256="","",_xlfn.IFNA(INDEX('Клиентлер'!$B$8:$B$31,MATCH(B256,'Клиентлер'!$A$8:$A$31,0)),"Код қәте"))</x:f>
      </x:c>
    </x:row>
    <x:row r="257" ht="40" customHeight="1">
      <x:c r="A257" s="12"/>
      <x:c r="B257" s="10"/>
      <x:c r="C257" s="10"/>
      <x:c r="D257" s="13" t="str">
        <x:f>IF(C257="","",_xlfn.IFNA(INDEX('Күнлик реже'!$D$8:$D$390,MATCH(C257,'Күнлик реже'!$A$8:$A$390,0)),"Код қәте"))</x:f>
      </x:c>
      <x:c r="E257" s="2" t="str">
        <x:f>IF(B257="","",_xlfn.IFNA(INDEX('Клиентлер'!$E$8:$E$31,MATCH(B257,'Клиентлер'!$A$8:$A$31,0)),"Код қәте"))</x:f>
      </x:c>
      <x:c r="F257" s="11"/>
      <x:c r="G257" s="11"/>
      <x:c r="H257" s="11"/>
      <x:c r="I257" s="11"/>
      <x:c r="J257" s="11"/>
      <x:c r="K257" s="10"/>
      <x:c r="L257" s="2" t="n">
        <x:f>IF(COUNTA(A257:C257,F257:K257)=0,0,IF(AND(COUNT(A257:C257)=3,COUNT(F257:J257)=5),0,1))</x:f>
        <x:v>0</x:v>
      </x:c>
      <x:c r="M257" s="2" t="n">
        <x:f>IF(COUNTA(A257:C257,F257:K257)=0,0,IF(OR(H257&gt;F257,I257&gt;G257,D257="Код қәте",E257="Код қәте"),1,0))</x:f>
        <x:v>0</x:v>
      </x:c>
      <x:c r="N257" s="2" t="str">
        <x:f>IF(B257="","",_xlfn.IFNA(INDEX('Клиентлер'!$B$8:$B$31,MATCH(B257,'Клиентлер'!$A$8:$A$31,0)),"Код қәте"))</x:f>
      </x:c>
    </x:row>
    <x:row r="258" ht="40" customHeight="1">
      <x:c r="A258" s="12"/>
      <x:c r="B258" s="10"/>
      <x:c r="C258" s="10"/>
      <x:c r="D258" s="13" t="str">
        <x:f>IF(C258="","",_xlfn.IFNA(INDEX('Күнлик реже'!$D$8:$D$390,MATCH(C258,'Күнлик реже'!$A$8:$A$390,0)),"Код қәте"))</x:f>
      </x:c>
      <x:c r="E258" s="2" t="str">
        <x:f>IF(B258="","",_xlfn.IFNA(INDEX('Клиентлер'!$E$8:$E$31,MATCH(B258,'Клиентлер'!$A$8:$A$31,0)),"Код қәте"))</x:f>
      </x:c>
      <x:c r="F258" s="11"/>
      <x:c r="G258" s="11"/>
      <x:c r="H258" s="11"/>
      <x:c r="I258" s="11"/>
      <x:c r="J258" s="11"/>
      <x:c r="K258" s="10"/>
      <x:c r="L258" s="2" t="n">
        <x:f>IF(COUNTA(A258:C258,F258:K258)=0,0,IF(AND(COUNT(A258:C258)=3,COUNT(F258:J258)=5),0,1))</x:f>
        <x:v>0</x:v>
      </x:c>
      <x:c r="M258" s="2" t="n">
        <x:f>IF(COUNTA(A258:C258,F258:K258)=0,0,IF(OR(H258&gt;F258,I258&gt;G258,D258="Код қәте",E258="Код қәте"),1,0))</x:f>
        <x:v>0</x:v>
      </x:c>
      <x:c r="N258" s="2" t="str">
        <x:f>IF(B258="","",_xlfn.IFNA(INDEX('Клиентлер'!$B$8:$B$31,MATCH(B258,'Клиентлер'!$A$8:$A$31,0)),"Код қәте"))</x:f>
      </x:c>
    </x:row>
    <x:row r="259" ht="40" customHeight="1">
      <x:c r="A259" s="12"/>
      <x:c r="B259" s="10"/>
      <x:c r="C259" s="10"/>
      <x:c r="D259" s="13" t="str">
        <x:f>IF(C259="","",_xlfn.IFNA(INDEX('Күнлик реже'!$D$8:$D$390,MATCH(C259,'Күнлик реже'!$A$8:$A$390,0)),"Код қәте"))</x:f>
      </x:c>
      <x:c r="E259" s="2" t="str">
        <x:f>IF(B259="","",_xlfn.IFNA(INDEX('Клиентлер'!$E$8:$E$31,MATCH(B259,'Клиентлер'!$A$8:$A$31,0)),"Код қәте"))</x:f>
      </x:c>
      <x:c r="F259" s="11"/>
      <x:c r="G259" s="11"/>
      <x:c r="H259" s="11"/>
      <x:c r="I259" s="11"/>
      <x:c r="J259" s="11"/>
      <x:c r="K259" s="10"/>
      <x:c r="L259" s="2" t="n">
        <x:f>IF(COUNTA(A259:C259,F259:K259)=0,0,IF(AND(COUNT(A259:C259)=3,COUNT(F259:J259)=5),0,1))</x:f>
        <x:v>0</x:v>
      </x:c>
      <x:c r="M259" s="2" t="n">
        <x:f>IF(COUNTA(A259:C259,F259:K259)=0,0,IF(OR(H259&gt;F259,I259&gt;G259,D259="Код қәте",E259="Код қәте"),1,0))</x:f>
        <x:v>0</x:v>
      </x:c>
      <x:c r="N259" s="2" t="str">
        <x:f>IF(B259="","",_xlfn.IFNA(INDEX('Клиентлер'!$B$8:$B$31,MATCH(B259,'Клиентлер'!$A$8:$A$31,0)),"Код қәте"))</x:f>
      </x:c>
    </x:row>
    <x:row r="260" ht="40" customHeight="1">
      <x:c r="A260" s="12"/>
      <x:c r="B260" s="10"/>
      <x:c r="C260" s="10"/>
      <x:c r="D260" s="13" t="str">
        <x:f>IF(C260="","",_xlfn.IFNA(INDEX('Күнлик реже'!$D$8:$D$390,MATCH(C260,'Күнлик реже'!$A$8:$A$390,0)),"Код қәте"))</x:f>
      </x:c>
      <x:c r="E260" s="2" t="str">
        <x:f>IF(B260="","",_xlfn.IFNA(INDEX('Клиентлер'!$E$8:$E$31,MATCH(B260,'Клиентлер'!$A$8:$A$31,0)),"Код қәте"))</x:f>
      </x:c>
      <x:c r="F260" s="11"/>
      <x:c r="G260" s="11"/>
      <x:c r="H260" s="11"/>
      <x:c r="I260" s="11"/>
      <x:c r="J260" s="11"/>
      <x:c r="K260" s="10"/>
      <x:c r="L260" s="2" t="n">
        <x:f>IF(COUNTA(A260:C260,F260:K260)=0,0,IF(AND(COUNT(A260:C260)=3,COUNT(F260:J260)=5),0,1))</x:f>
        <x:v>0</x:v>
      </x:c>
      <x:c r="M260" s="2" t="n">
        <x:f>IF(COUNTA(A260:C260,F260:K260)=0,0,IF(OR(H260&gt;F260,I260&gt;G260,D260="Код қәте",E260="Код қәте"),1,0))</x:f>
        <x:v>0</x:v>
      </x:c>
      <x:c r="N260" s="2" t="str">
        <x:f>IF(B260="","",_xlfn.IFNA(INDEX('Клиентлер'!$B$8:$B$31,MATCH(B260,'Клиентлер'!$A$8:$A$31,0)),"Код қәте"))</x:f>
      </x:c>
    </x:row>
    <x:row r="261" ht="40" customHeight="1">
      <x:c r="A261" s="12"/>
      <x:c r="B261" s="10"/>
      <x:c r="C261" s="10"/>
      <x:c r="D261" s="13" t="str">
        <x:f>IF(C261="","",_xlfn.IFNA(INDEX('Күнлик реже'!$D$8:$D$390,MATCH(C261,'Күнлик реже'!$A$8:$A$390,0)),"Код қәте"))</x:f>
      </x:c>
      <x:c r="E261" s="2" t="str">
        <x:f>IF(B261="","",_xlfn.IFNA(INDEX('Клиентлер'!$E$8:$E$31,MATCH(B261,'Клиентлер'!$A$8:$A$31,0)),"Код қәте"))</x:f>
      </x:c>
      <x:c r="F261" s="11"/>
      <x:c r="G261" s="11"/>
      <x:c r="H261" s="11"/>
      <x:c r="I261" s="11"/>
      <x:c r="J261" s="11"/>
      <x:c r="K261" s="10"/>
      <x:c r="L261" s="2" t="n">
        <x:f>IF(COUNTA(A261:C261,F261:K261)=0,0,IF(AND(COUNT(A261:C261)=3,COUNT(F261:J261)=5),0,1))</x:f>
        <x:v>0</x:v>
      </x:c>
      <x:c r="M261" s="2" t="n">
        <x:f>IF(COUNTA(A261:C261,F261:K261)=0,0,IF(OR(H261&gt;F261,I261&gt;G261,D261="Код қәте",E261="Код қәте"),1,0))</x:f>
        <x:v>0</x:v>
      </x:c>
      <x:c r="N261" s="2" t="str">
        <x:f>IF(B261="","",_xlfn.IFNA(INDEX('Клиентлер'!$B$8:$B$31,MATCH(B261,'Клиентлер'!$A$8:$A$31,0)),"Код қәте"))</x:f>
      </x:c>
    </x:row>
    <x:row r="262" ht="40" customHeight="1">
      <x:c r="A262" s="12"/>
      <x:c r="B262" s="10"/>
      <x:c r="C262" s="10"/>
      <x:c r="D262" s="13" t="str">
        <x:f>IF(C262="","",_xlfn.IFNA(INDEX('Күнлик реже'!$D$8:$D$390,MATCH(C262,'Күнлик реже'!$A$8:$A$390,0)),"Код қәте"))</x:f>
      </x:c>
      <x:c r="E262" s="2" t="str">
        <x:f>IF(B262="","",_xlfn.IFNA(INDEX('Клиентлер'!$E$8:$E$31,MATCH(B262,'Клиентлер'!$A$8:$A$31,0)),"Код қәте"))</x:f>
      </x:c>
      <x:c r="F262" s="11"/>
      <x:c r="G262" s="11"/>
      <x:c r="H262" s="11"/>
      <x:c r="I262" s="11"/>
      <x:c r="J262" s="11"/>
      <x:c r="K262" s="10"/>
      <x:c r="L262" s="2" t="n">
        <x:f>IF(COUNTA(A262:C262,F262:K262)=0,0,IF(AND(COUNT(A262:C262)=3,COUNT(F262:J262)=5),0,1))</x:f>
        <x:v>0</x:v>
      </x:c>
      <x:c r="M262" s="2" t="n">
        <x:f>IF(COUNTA(A262:C262,F262:K262)=0,0,IF(OR(H262&gt;F262,I262&gt;G262,D262="Код қәте",E262="Код қәте"),1,0))</x:f>
        <x:v>0</x:v>
      </x:c>
      <x:c r="N262" s="2" t="str">
        <x:f>IF(B262="","",_xlfn.IFNA(INDEX('Клиентлер'!$B$8:$B$31,MATCH(B262,'Клиентлер'!$A$8:$A$31,0)),"Код қәте"))</x:f>
      </x:c>
    </x:row>
    <x:row r="263" ht="40" customHeight="1">
      <x:c r="A263" s="12"/>
      <x:c r="B263" s="10"/>
      <x:c r="C263" s="10"/>
      <x:c r="D263" s="13" t="str">
        <x:f>IF(C263="","",_xlfn.IFNA(INDEX('Күнлик реже'!$D$8:$D$390,MATCH(C263,'Күнлик реже'!$A$8:$A$390,0)),"Код қәте"))</x:f>
      </x:c>
      <x:c r="E263" s="2" t="str">
        <x:f>IF(B263="","",_xlfn.IFNA(INDEX('Клиентлер'!$E$8:$E$31,MATCH(B263,'Клиентлер'!$A$8:$A$31,0)),"Код қәте"))</x:f>
      </x:c>
      <x:c r="F263" s="11"/>
      <x:c r="G263" s="11"/>
      <x:c r="H263" s="11"/>
      <x:c r="I263" s="11"/>
      <x:c r="J263" s="11"/>
      <x:c r="K263" s="10"/>
      <x:c r="L263" s="2" t="n">
        <x:f>IF(COUNTA(A263:C263,F263:K263)=0,0,IF(AND(COUNT(A263:C263)=3,COUNT(F263:J263)=5),0,1))</x:f>
        <x:v>0</x:v>
      </x:c>
      <x:c r="M263" s="2" t="n">
        <x:f>IF(COUNTA(A263:C263,F263:K263)=0,0,IF(OR(H263&gt;F263,I263&gt;G263,D263="Код қәте",E263="Код қәте"),1,0))</x:f>
        <x:v>0</x:v>
      </x:c>
      <x:c r="N263" s="2" t="str">
        <x:f>IF(B263="","",_xlfn.IFNA(INDEX('Клиентлер'!$B$8:$B$31,MATCH(B263,'Клиентлер'!$A$8:$A$31,0)),"Код қәте"))</x:f>
      </x:c>
    </x:row>
    <x:row r="264" ht="40" customHeight="1">
      <x:c r="A264" s="12"/>
      <x:c r="B264" s="10"/>
      <x:c r="C264" s="10"/>
      <x:c r="D264" s="13" t="str">
        <x:f>IF(C264="","",_xlfn.IFNA(INDEX('Күнлик реже'!$D$8:$D$390,MATCH(C264,'Күнлик реже'!$A$8:$A$390,0)),"Код қәте"))</x:f>
      </x:c>
      <x:c r="E264" s="2" t="str">
        <x:f>IF(B264="","",_xlfn.IFNA(INDEX('Клиентлер'!$E$8:$E$31,MATCH(B264,'Клиентлер'!$A$8:$A$31,0)),"Код қәте"))</x:f>
      </x:c>
      <x:c r="F264" s="11"/>
      <x:c r="G264" s="11"/>
      <x:c r="H264" s="11"/>
      <x:c r="I264" s="11"/>
      <x:c r="J264" s="11"/>
      <x:c r="K264" s="10"/>
      <x:c r="L264" s="2" t="n">
        <x:f>IF(COUNTA(A264:C264,F264:K264)=0,0,IF(AND(COUNT(A264:C264)=3,COUNT(F264:J264)=5),0,1))</x:f>
        <x:v>0</x:v>
      </x:c>
      <x:c r="M264" s="2" t="n">
        <x:f>IF(COUNTA(A264:C264,F264:K264)=0,0,IF(OR(H264&gt;F264,I264&gt;G264,D264="Код қәте",E264="Код қәте"),1,0))</x:f>
        <x:v>0</x:v>
      </x:c>
      <x:c r="N264" s="2" t="str">
        <x:f>IF(B264="","",_xlfn.IFNA(INDEX('Клиентлер'!$B$8:$B$31,MATCH(B264,'Клиентлер'!$A$8:$A$31,0)),"Код қәте"))</x:f>
      </x:c>
    </x:row>
    <x:row r="265" ht="40" customHeight="1">
      <x:c r="A265" s="12"/>
      <x:c r="B265" s="10"/>
      <x:c r="C265" s="10"/>
      <x:c r="D265" s="13" t="str">
        <x:f>IF(C265="","",_xlfn.IFNA(INDEX('Күнлик реже'!$D$8:$D$390,MATCH(C265,'Күнлик реже'!$A$8:$A$390,0)),"Код қәте"))</x:f>
      </x:c>
      <x:c r="E265" s="2" t="str">
        <x:f>IF(B265="","",_xlfn.IFNA(INDEX('Клиентлер'!$E$8:$E$31,MATCH(B265,'Клиентлер'!$A$8:$A$31,0)),"Код қәте"))</x:f>
      </x:c>
      <x:c r="F265" s="11"/>
      <x:c r="G265" s="11"/>
      <x:c r="H265" s="11"/>
      <x:c r="I265" s="11"/>
      <x:c r="J265" s="11"/>
      <x:c r="K265" s="10"/>
      <x:c r="L265" s="2" t="n">
        <x:f>IF(COUNTA(A265:C265,F265:K265)=0,0,IF(AND(COUNT(A265:C265)=3,COUNT(F265:J265)=5),0,1))</x:f>
        <x:v>0</x:v>
      </x:c>
      <x:c r="M265" s="2" t="n">
        <x:f>IF(COUNTA(A265:C265,F265:K265)=0,0,IF(OR(H265&gt;F265,I265&gt;G265,D265="Код қәте",E265="Код қәте"),1,0))</x:f>
        <x:v>0</x:v>
      </x:c>
      <x:c r="N265" s="2" t="str">
        <x:f>IF(B265="","",_xlfn.IFNA(INDEX('Клиентлер'!$B$8:$B$31,MATCH(B265,'Клиентлер'!$A$8:$A$31,0)),"Код қәте"))</x:f>
      </x:c>
    </x:row>
    <x:row r="266" ht="40" customHeight="1">
      <x:c r="A266" s="12"/>
      <x:c r="B266" s="10"/>
      <x:c r="C266" s="10"/>
      <x:c r="D266" s="13" t="str">
        <x:f>IF(C266="","",_xlfn.IFNA(INDEX('Күнлик реже'!$D$8:$D$390,MATCH(C266,'Күнлик реже'!$A$8:$A$390,0)),"Код қәте"))</x:f>
      </x:c>
      <x:c r="E266" s="2" t="str">
        <x:f>IF(B266="","",_xlfn.IFNA(INDEX('Клиентлер'!$E$8:$E$31,MATCH(B266,'Клиентлер'!$A$8:$A$31,0)),"Код қәте"))</x:f>
      </x:c>
      <x:c r="F266" s="11"/>
      <x:c r="G266" s="11"/>
      <x:c r="H266" s="11"/>
      <x:c r="I266" s="11"/>
      <x:c r="J266" s="11"/>
      <x:c r="K266" s="10"/>
      <x:c r="L266" s="2" t="n">
        <x:f>IF(COUNTA(A266:C266,F266:K266)=0,0,IF(AND(COUNT(A266:C266)=3,COUNT(F266:J266)=5),0,1))</x:f>
        <x:v>0</x:v>
      </x:c>
      <x:c r="M266" s="2" t="n">
        <x:f>IF(COUNTA(A266:C266,F266:K266)=0,0,IF(OR(H266&gt;F266,I266&gt;G266,D266="Код қәте",E266="Код қәте"),1,0))</x:f>
        <x:v>0</x:v>
      </x:c>
      <x:c r="N266" s="2" t="str">
        <x:f>IF(B266="","",_xlfn.IFNA(INDEX('Клиентлер'!$B$8:$B$31,MATCH(B266,'Клиентлер'!$A$8:$A$31,0)),"Код қәте"))</x:f>
      </x:c>
    </x:row>
    <x:row r="267" ht="40" customHeight="1">
      <x:c r="A267" s="12"/>
      <x:c r="B267" s="10"/>
      <x:c r="C267" s="10"/>
      <x:c r="D267" s="13" t="str">
        <x:f>IF(C267="","",_xlfn.IFNA(INDEX('Күнлик реже'!$D$8:$D$390,MATCH(C267,'Күнлик реже'!$A$8:$A$390,0)),"Код қәте"))</x:f>
      </x:c>
      <x:c r="E267" s="2" t="str">
        <x:f>IF(B267="","",_xlfn.IFNA(INDEX('Клиентлер'!$E$8:$E$31,MATCH(B267,'Клиентлер'!$A$8:$A$31,0)),"Код қәте"))</x:f>
      </x:c>
      <x:c r="F267" s="11"/>
      <x:c r="G267" s="11"/>
      <x:c r="H267" s="11"/>
      <x:c r="I267" s="11"/>
      <x:c r="J267" s="11"/>
      <x:c r="K267" s="10"/>
      <x:c r="L267" s="2" t="n">
        <x:f>IF(COUNTA(A267:C267,F267:K267)=0,0,IF(AND(COUNT(A267:C267)=3,COUNT(F267:J267)=5),0,1))</x:f>
        <x:v>0</x:v>
      </x:c>
      <x:c r="M267" s="2" t="n">
        <x:f>IF(COUNTA(A267:C267,F267:K267)=0,0,IF(OR(H267&gt;F267,I267&gt;G267,D267="Код қәте",E267="Код қәте"),1,0))</x:f>
        <x:v>0</x:v>
      </x:c>
      <x:c r="N267" s="2" t="str">
        <x:f>IF(B267="","",_xlfn.IFNA(INDEX('Клиентлер'!$B$8:$B$31,MATCH(B267,'Клиентлер'!$A$8:$A$31,0)),"Код қәте"))</x:f>
      </x:c>
    </x:row>
    <x:row r="268" ht="40" customHeight="1">
      <x:c r="A268" s="12"/>
      <x:c r="B268" s="10"/>
      <x:c r="C268" s="10"/>
      <x:c r="D268" s="13" t="str">
        <x:f>IF(C268="","",_xlfn.IFNA(INDEX('Күнлик реже'!$D$8:$D$390,MATCH(C268,'Күнлик реже'!$A$8:$A$390,0)),"Код қәте"))</x:f>
      </x:c>
      <x:c r="E268" s="2" t="str">
        <x:f>IF(B268="","",_xlfn.IFNA(INDEX('Клиентлер'!$E$8:$E$31,MATCH(B268,'Клиентлер'!$A$8:$A$31,0)),"Код қәте"))</x:f>
      </x:c>
      <x:c r="F268" s="11"/>
      <x:c r="G268" s="11"/>
      <x:c r="H268" s="11"/>
      <x:c r="I268" s="11"/>
      <x:c r="J268" s="11"/>
      <x:c r="K268" s="10"/>
      <x:c r="L268" s="2" t="n">
        <x:f>IF(COUNTA(A268:C268,F268:K268)=0,0,IF(AND(COUNT(A268:C268)=3,COUNT(F268:J268)=5),0,1))</x:f>
        <x:v>0</x:v>
      </x:c>
      <x:c r="M268" s="2" t="n">
        <x:f>IF(COUNTA(A268:C268,F268:K268)=0,0,IF(OR(H268&gt;F268,I268&gt;G268,D268="Код қәте",E268="Код қәте"),1,0))</x:f>
        <x:v>0</x:v>
      </x:c>
      <x:c r="N268" s="2" t="str">
        <x:f>IF(B268="","",_xlfn.IFNA(INDEX('Клиентлер'!$B$8:$B$31,MATCH(B268,'Клиентлер'!$A$8:$A$31,0)),"Код қәте"))</x:f>
      </x:c>
    </x:row>
    <x:row r="269" ht="40" customHeight="1">
      <x:c r="A269" s="12"/>
      <x:c r="B269" s="10"/>
      <x:c r="C269" s="10"/>
      <x:c r="D269" s="13" t="str">
        <x:f>IF(C269="","",_xlfn.IFNA(INDEX('Күнлик реже'!$D$8:$D$390,MATCH(C269,'Күнлик реже'!$A$8:$A$390,0)),"Код қәте"))</x:f>
      </x:c>
      <x:c r="E269" s="2" t="str">
        <x:f>IF(B269="","",_xlfn.IFNA(INDEX('Клиентлер'!$E$8:$E$31,MATCH(B269,'Клиентлер'!$A$8:$A$31,0)),"Код қәте"))</x:f>
      </x:c>
      <x:c r="F269" s="11"/>
      <x:c r="G269" s="11"/>
      <x:c r="H269" s="11"/>
      <x:c r="I269" s="11"/>
      <x:c r="J269" s="11"/>
      <x:c r="K269" s="10"/>
      <x:c r="L269" s="2" t="n">
        <x:f>IF(COUNTA(A269:C269,F269:K269)=0,0,IF(AND(COUNT(A269:C269)=3,COUNT(F269:J269)=5),0,1))</x:f>
        <x:v>0</x:v>
      </x:c>
      <x:c r="M269" s="2" t="n">
        <x:f>IF(COUNTA(A269:C269,F269:K269)=0,0,IF(OR(H269&gt;F269,I269&gt;G269,D269="Код қәте",E269="Код қәте"),1,0))</x:f>
        <x:v>0</x:v>
      </x:c>
      <x:c r="N269" s="2" t="str">
        <x:f>IF(B269="","",_xlfn.IFNA(INDEX('Клиентлер'!$B$8:$B$31,MATCH(B269,'Клиентлер'!$A$8:$A$31,0)),"Код қәте"))</x:f>
      </x:c>
    </x:row>
    <x:row r="270" ht="40" customHeight="1">
      <x:c r="A270" s="12"/>
      <x:c r="B270" s="10"/>
      <x:c r="C270" s="10"/>
      <x:c r="D270" s="13" t="str">
        <x:f>IF(C270="","",_xlfn.IFNA(INDEX('Күнлик реже'!$D$8:$D$390,MATCH(C270,'Күнлик реже'!$A$8:$A$390,0)),"Код қәте"))</x:f>
      </x:c>
      <x:c r="E270" s="2" t="str">
        <x:f>IF(B270="","",_xlfn.IFNA(INDEX('Клиентлер'!$E$8:$E$31,MATCH(B270,'Клиентлер'!$A$8:$A$31,0)),"Код қәте"))</x:f>
      </x:c>
      <x:c r="F270" s="11"/>
      <x:c r="G270" s="11"/>
      <x:c r="H270" s="11"/>
      <x:c r="I270" s="11"/>
      <x:c r="J270" s="11"/>
      <x:c r="K270" s="10"/>
      <x:c r="L270" s="2" t="n">
        <x:f>IF(COUNTA(A270:C270,F270:K270)=0,0,IF(AND(COUNT(A270:C270)=3,COUNT(F270:J270)=5),0,1))</x:f>
        <x:v>0</x:v>
      </x:c>
      <x:c r="M270" s="2" t="n">
        <x:f>IF(COUNTA(A270:C270,F270:K270)=0,0,IF(OR(H270&gt;F270,I270&gt;G270,D270="Код қәте",E270="Код қәте"),1,0))</x:f>
        <x:v>0</x:v>
      </x:c>
      <x:c r="N270" s="2" t="str">
        <x:f>IF(B270="","",_xlfn.IFNA(INDEX('Клиентлер'!$B$8:$B$31,MATCH(B270,'Клиентлер'!$A$8:$A$31,0)),"Код қәте"))</x:f>
      </x:c>
    </x:row>
    <x:row r="271" ht="40" customHeight="1">
      <x:c r="A271" s="12"/>
      <x:c r="B271" s="10"/>
      <x:c r="C271" s="10"/>
      <x:c r="D271" s="13" t="str">
        <x:f>IF(C271="","",_xlfn.IFNA(INDEX('Күнлик реже'!$D$8:$D$390,MATCH(C271,'Күнлик реже'!$A$8:$A$390,0)),"Код қәте"))</x:f>
      </x:c>
      <x:c r="E271" s="2" t="str">
        <x:f>IF(B271="","",_xlfn.IFNA(INDEX('Клиентлер'!$E$8:$E$31,MATCH(B271,'Клиентлер'!$A$8:$A$31,0)),"Код қәте"))</x:f>
      </x:c>
      <x:c r="F271" s="11"/>
      <x:c r="G271" s="11"/>
      <x:c r="H271" s="11"/>
      <x:c r="I271" s="11"/>
      <x:c r="J271" s="11"/>
      <x:c r="K271" s="10"/>
      <x:c r="L271" s="2" t="n">
        <x:f>IF(COUNTA(A271:C271,F271:K271)=0,0,IF(AND(COUNT(A271:C271)=3,COUNT(F271:J271)=5),0,1))</x:f>
        <x:v>0</x:v>
      </x:c>
      <x:c r="M271" s="2" t="n">
        <x:f>IF(COUNTA(A271:C271,F271:K271)=0,0,IF(OR(H271&gt;F271,I271&gt;G271,D271="Код қәте",E271="Код қәте"),1,0))</x:f>
        <x:v>0</x:v>
      </x:c>
      <x:c r="N271" s="2" t="str">
        <x:f>IF(B271="","",_xlfn.IFNA(INDEX('Клиентлер'!$B$8:$B$31,MATCH(B271,'Клиентлер'!$A$8:$A$31,0)),"Код қәте"))</x:f>
      </x:c>
    </x:row>
    <x:row r="272" ht="40" customHeight="1">
      <x:c r="A272" s="12"/>
      <x:c r="B272" s="10"/>
      <x:c r="C272" s="10"/>
      <x:c r="D272" s="13" t="str">
        <x:f>IF(C272="","",_xlfn.IFNA(INDEX('Күнлик реже'!$D$8:$D$390,MATCH(C272,'Күнлик реже'!$A$8:$A$390,0)),"Код қәте"))</x:f>
      </x:c>
      <x:c r="E272" s="2" t="str">
        <x:f>IF(B272="","",_xlfn.IFNA(INDEX('Клиентлер'!$E$8:$E$31,MATCH(B272,'Клиентлер'!$A$8:$A$31,0)),"Код қәте"))</x:f>
      </x:c>
      <x:c r="F272" s="11"/>
      <x:c r="G272" s="11"/>
      <x:c r="H272" s="11"/>
      <x:c r="I272" s="11"/>
      <x:c r="J272" s="11"/>
      <x:c r="K272" s="10"/>
      <x:c r="L272" s="2" t="n">
        <x:f>IF(COUNTA(A272:C272,F272:K272)=0,0,IF(AND(COUNT(A272:C272)=3,COUNT(F272:J272)=5),0,1))</x:f>
        <x:v>0</x:v>
      </x:c>
      <x:c r="M272" s="2" t="n">
        <x:f>IF(COUNTA(A272:C272,F272:K272)=0,0,IF(OR(H272&gt;F272,I272&gt;G272,D272="Код қәте",E272="Код қәте"),1,0))</x:f>
        <x:v>0</x:v>
      </x:c>
      <x:c r="N272" s="2" t="str">
        <x:f>IF(B272="","",_xlfn.IFNA(INDEX('Клиентлер'!$B$8:$B$31,MATCH(B272,'Клиентлер'!$A$8:$A$31,0)),"Код қәте"))</x:f>
      </x:c>
    </x:row>
    <x:row r="273" ht="40" customHeight="1">
      <x:c r="A273" s="12"/>
      <x:c r="B273" s="10"/>
      <x:c r="C273" s="10"/>
      <x:c r="D273" s="13" t="str">
        <x:f>IF(C273="","",_xlfn.IFNA(INDEX('Күнлик реже'!$D$8:$D$390,MATCH(C273,'Күнлик реже'!$A$8:$A$390,0)),"Код қәте"))</x:f>
      </x:c>
      <x:c r="E273" s="2" t="str">
        <x:f>IF(B273="","",_xlfn.IFNA(INDEX('Клиентлер'!$E$8:$E$31,MATCH(B273,'Клиентлер'!$A$8:$A$31,0)),"Код қәте"))</x:f>
      </x:c>
      <x:c r="F273" s="11"/>
      <x:c r="G273" s="11"/>
      <x:c r="H273" s="11"/>
      <x:c r="I273" s="11"/>
      <x:c r="J273" s="11"/>
      <x:c r="K273" s="10"/>
      <x:c r="L273" s="2" t="n">
        <x:f>IF(COUNTA(A273:C273,F273:K273)=0,0,IF(AND(COUNT(A273:C273)=3,COUNT(F273:J273)=5),0,1))</x:f>
        <x:v>0</x:v>
      </x:c>
      <x:c r="M273" s="2" t="n">
        <x:f>IF(COUNTA(A273:C273,F273:K273)=0,0,IF(OR(H273&gt;F273,I273&gt;G273,D273="Код қәте",E273="Код қәте"),1,0))</x:f>
        <x:v>0</x:v>
      </x:c>
      <x:c r="N273" s="2" t="str">
        <x:f>IF(B273="","",_xlfn.IFNA(INDEX('Клиентлер'!$B$8:$B$31,MATCH(B273,'Клиентлер'!$A$8:$A$31,0)),"Код қәте"))</x:f>
      </x:c>
    </x:row>
    <x:row r="274" ht="40" customHeight="1">
      <x:c r="A274" s="12"/>
      <x:c r="B274" s="10"/>
      <x:c r="C274" s="10"/>
      <x:c r="D274" s="13" t="str">
        <x:f>IF(C274="","",_xlfn.IFNA(INDEX('Күнлик реже'!$D$8:$D$390,MATCH(C274,'Күнлик реже'!$A$8:$A$390,0)),"Код қәте"))</x:f>
      </x:c>
      <x:c r="E274" s="2" t="str">
        <x:f>IF(B274="","",_xlfn.IFNA(INDEX('Клиентлер'!$E$8:$E$31,MATCH(B274,'Клиентлер'!$A$8:$A$31,0)),"Код қәте"))</x:f>
      </x:c>
      <x:c r="F274" s="11"/>
      <x:c r="G274" s="11"/>
      <x:c r="H274" s="11"/>
      <x:c r="I274" s="11"/>
      <x:c r="J274" s="11"/>
      <x:c r="K274" s="10"/>
      <x:c r="L274" s="2" t="n">
        <x:f>IF(COUNTA(A274:C274,F274:K274)=0,0,IF(AND(COUNT(A274:C274)=3,COUNT(F274:J274)=5),0,1))</x:f>
        <x:v>0</x:v>
      </x:c>
      <x:c r="M274" s="2" t="n">
        <x:f>IF(COUNTA(A274:C274,F274:K274)=0,0,IF(OR(H274&gt;F274,I274&gt;G274,D274="Код қәте",E274="Код қәте"),1,0))</x:f>
        <x:v>0</x:v>
      </x:c>
      <x:c r="N274" s="2" t="str">
        <x:f>IF(B274="","",_xlfn.IFNA(INDEX('Клиентлер'!$B$8:$B$31,MATCH(B274,'Клиентлер'!$A$8:$A$31,0)),"Код қәте"))</x:f>
      </x:c>
    </x:row>
    <x:row r="275" ht="40" customHeight="1">
      <x:c r="A275" s="12"/>
      <x:c r="B275" s="10"/>
      <x:c r="C275" s="10"/>
      <x:c r="D275" s="13" t="str">
        <x:f>IF(C275="","",_xlfn.IFNA(INDEX('Күнлик реже'!$D$8:$D$390,MATCH(C275,'Күнлик реже'!$A$8:$A$390,0)),"Код қәте"))</x:f>
      </x:c>
      <x:c r="E275" s="2" t="str">
        <x:f>IF(B275="","",_xlfn.IFNA(INDEX('Клиентлер'!$E$8:$E$31,MATCH(B275,'Клиентлер'!$A$8:$A$31,0)),"Код қәте"))</x:f>
      </x:c>
      <x:c r="F275" s="11"/>
      <x:c r="G275" s="11"/>
      <x:c r="H275" s="11"/>
      <x:c r="I275" s="11"/>
      <x:c r="J275" s="11"/>
      <x:c r="K275" s="10"/>
      <x:c r="L275" s="2" t="n">
        <x:f>IF(COUNTA(A275:C275,F275:K275)=0,0,IF(AND(COUNT(A275:C275)=3,COUNT(F275:J275)=5),0,1))</x:f>
        <x:v>0</x:v>
      </x:c>
      <x:c r="M275" s="2" t="n">
        <x:f>IF(COUNTA(A275:C275,F275:K275)=0,0,IF(OR(H275&gt;F275,I275&gt;G275,D275="Код қәте",E275="Код қәте"),1,0))</x:f>
        <x:v>0</x:v>
      </x:c>
      <x:c r="N275" s="2" t="str">
        <x:f>IF(B275="","",_xlfn.IFNA(INDEX('Клиентлер'!$B$8:$B$31,MATCH(B275,'Клиентлер'!$A$8:$A$31,0)),"Код қәте"))</x:f>
      </x:c>
    </x:row>
    <x:row r="276" ht="40" customHeight="1">
      <x:c r="A276" s="12"/>
      <x:c r="B276" s="10"/>
      <x:c r="C276" s="10"/>
      <x:c r="D276" s="13" t="str">
        <x:f>IF(C276="","",_xlfn.IFNA(INDEX('Күнлик реже'!$D$8:$D$390,MATCH(C276,'Күнлик реже'!$A$8:$A$390,0)),"Код қәте"))</x:f>
      </x:c>
      <x:c r="E276" s="2" t="str">
        <x:f>IF(B276="","",_xlfn.IFNA(INDEX('Клиентлер'!$E$8:$E$31,MATCH(B276,'Клиентлер'!$A$8:$A$31,0)),"Код қәте"))</x:f>
      </x:c>
      <x:c r="F276" s="11"/>
      <x:c r="G276" s="11"/>
      <x:c r="H276" s="11"/>
      <x:c r="I276" s="11"/>
      <x:c r="J276" s="11"/>
      <x:c r="K276" s="10"/>
      <x:c r="L276" s="2" t="n">
        <x:f>IF(COUNTA(A276:C276,F276:K276)=0,0,IF(AND(COUNT(A276:C276)=3,COUNT(F276:J276)=5),0,1))</x:f>
        <x:v>0</x:v>
      </x:c>
      <x:c r="M276" s="2" t="n">
        <x:f>IF(COUNTA(A276:C276,F276:K276)=0,0,IF(OR(H276&gt;F276,I276&gt;G276,D276="Код қәте",E276="Код қәте"),1,0))</x:f>
        <x:v>0</x:v>
      </x:c>
      <x:c r="N276" s="2" t="str">
        <x:f>IF(B276="","",_xlfn.IFNA(INDEX('Клиентлер'!$B$8:$B$31,MATCH(B276,'Клиентлер'!$A$8:$A$31,0)),"Код қәте"))</x:f>
      </x:c>
    </x:row>
    <x:row r="277" ht="40" customHeight="1">
      <x:c r="A277" s="12"/>
      <x:c r="B277" s="10"/>
      <x:c r="C277" s="10"/>
      <x:c r="D277" s="13" t="str">
        <x:f>IF(C277="","",_xlfn.IFNA(INDEX('Күнлик реже'!$D$8:$D$390,MATCH(C277,'Күнлик реже'!$A$8:$A$390,0)),"Код қәте"))</x:f>
      </x:c>
      <x:c r="E277" s="2" t="str">
        <x:f>IF(B277="","",_xlfn.IFNA(INDEX('Клиентлер'!$E$8:$E$31,MATCH(B277,'Клиентлер'!$A$8:$A$31,0)),"Код қәте"))</x:f>
      </x:c>
      <x:c r="F277" s="11"/>
      <x:c r="G277" s="11"/>
      <x:c r="H277" s="11"/>
      <x:c r="I277" s="11"/>
      <x:c r="J277" s="11"/>
      <x:c r="K277" s="10"/>
      <x:c r="L277" s="2" t="n">
        <x:f>IF(COUNTA(A277:C277,F277:K277)=0,0,IF(AND(COUNT(A277:C277)=3,COUNT(F277:J277)=5),0,1))</x:f>
        <x:v>0</x:v>
      </x:c>
      <x:c r="M277" s="2" t="n">
        <x:f>IF(COUNTA(A277:C277,F277:K277)=0,0,IF(OR(H277&gt;F277,I277&gt;G277,D277="Код қәте",E277="Код қәте"),1,0))</x:f>
        <x:v>0</x:v>
      </x:c>
      <x:c r="N277" s="2" t="str">
        <x:f>IF(B277="","",_xlfn.IFNA(INDEX('Клиентлер'!$B$8:$B$31,MATCH(B277,'Клиентлер'!$A$8:$A$31,0)),"Код қәте"))</x:f>
      </x:c>
    </x:row>
    <x:row r="278" ht="40" customHeight="1">
      <x:c r="A278" s="12"/>
      <x:c r="B278" s="10"/>
      <x:c r="C278" s="10"/>
      <x:c r="D278" s="13" t="str">
        <x:f>IF(C278="","",_xlfn.IFNA(INDEX('Күнлик реже'!$D$8:$D$390,MATCH(C278,'Күнлик реже'!$A$8:$A$390,0)),"Код қәте"))</x:f>
      </x:c>
      <x:c r="E278" s="2" t="str">
        <x:f>IF(B278="","",_xlfn.IFNA(INDEX('Клиентлер'!$E$8:$E$31,MATCH(B278,'Клиентлер'!$A$8:$A$31,0)),"Код қәте"))</x:f>
      </x:c>
      <x:c r="F278" s="11"/>
      <x:c r="G278" s="11"/>
      <x:c r="H278" s="11"/>
      <x:c r="I278" s="11"/>
      <x:c r="J278" s="11"/>
      <x:c r="K278" s="10"/>
      <x:c r="L278" s="2" t="n">
        <x:f>IF(COUNTA(A278:C278,F278:K278)=0,0,IF(AND(COUNT(A278:C278)=3,COUNT(F278:J278)=5),0,1))</x:f>
        <x:v>0</x:v>
      </x:c>
      <x:c r="M278" s="2" t="n">
        <x:f>IF(COUNTA(A278:C278,F278:K278)=0,0,IF(OR(H278&gt;F278,I278&gt;G278,D278="Код қәте",E278="Код қәте"),1,0))</x:f>
        <x:v>0</x:v>
      </x:c>
      <x:c r="N278" s="2" t="str">
        <x:f>IF(B278="","",_xlfn.IFNA(INDEX('Клиентлер'!$B$8:$B$31,MATCH(B278,'Клиентлер'!$A$8:$A$31,0)),"Код қәте"))</x:f>
      </x:c>
    </x:row>
    <x:row r="279" ht="40" customHeight="1">
      <x:c r="A279" s="12"/>
      <x:c r="B279" s="10"/>
      <x:c r="C279" s="10"/>
      <x:c r="D279" s="13" t="str">
        <x:f>IF(C279="","",_xlfn.IFNA(INDEX('Күнлик реже'!$D$8:$D$390,MATCH(C279,'Күнлик реже'!$A$8:$A$390,0)),"Код қәте"))</x:f>
      </x:c>
      <x:c r="E279" s="2" t="str">
        <x:f>IF(B279="","",_xlfn.IFNA(INDEX('Клиентлер'!$E$8:$E$31,MATCH(B279,'Клиентлер'!$A$8:$A$31,0)),"Код қәте"))</x:f>
      </x:c>
      <x:c r="F279" s="11"/>
      <x:c r="G279" s="11"/>
      <x:c r="H279" s="11"/>
      <x:c r="I279" s="11"/>
      <x:c r="J279" s="11"/>
      <x:c r="K279" s="10"/>
      <x:c r="L279" s="2" t="n">
        <x:f>IF(COUNTA(A279:C279,F279:K279)=0,0,IF(AND(COUNT(A279:C279)=3,COUNT(F279:J279)=5),0,1))</x:f>
        <x:v>0</x:v>
      </x:c>
      <x:c r="M279" s="2" t="n">
        <x:f>IF(COUNTA(A279:C279,F279:K279)=0,0,IF(OR(H279&gt;F279,I279&gt;G279,D279="Код қәте",E279="Код қәте"),1,0))</x:f>
        <x:v>0</x:v>
      </x:c>
      <x:c r="N279" s="2" t="str">
        <x:f>IF(B279="","",_xlfn.IFNA(INDEX('Клиентлер'!$B$8:$B$31,MATCH(B279,'Клиентлер'!$A$8:$A$31,0)),"Код қәте"))</x:f>
      </x:c>
    </x:row>
    <x:row r="280" ht="40" customHeight="1">
      <x:c r="A280" s="12"/>
      <x:c r="B280" s="10"/>
      <x:c r="C280" s="10"/>
      <x:c r="D280" s="13" t="str">
        <x:f>IF(C280="","",_xlfn.IFNA(INDEX('Күнлик реже'!$D$8:$D$390,MATCH(C280,'Күнлик реже'!$A$8:$A$390,0)),"Код қәте"))</x:f>
      </x:c>
      <x:c r="E280" s="2" t="str">
        <x:f>IF(B280="","",_xlfn.IFNA(INDEX('Клиентлер'!$E$8:$E$31,MATCH(B280,'Клиентлер'!$A$8:$A$31,0)),"Код қәте"))</x:f>
      </x:c>
      <x:c r="F280" s="11"/>
      <x:c r="G280" s="11"/>
      <x:c r="H280" s="11"/>
      <x:c r="I280" s="11"/>
      <x:c r="J280" s="11"/>
      <x:c r="K280" s="10"/>
      <x:c r="L280" s="2" t="n">
        <x:f>IF(COUNTA(A280:C280,F280:K280)=0,0,IF(AND(COUNT(A280:C280)=3,COUNT(F280:J280)=5),0,1))</x:f>
        <x:v>0</x:v>
      </x:c>
      <x:c r="M280" s="2" t="n">
        <x:f>IF(COUNTA(A280:C280,F280:K280)=0,0,IF(OR(H280&gt;F280,I280&gt;G280,D280="Код қәте",E280="Код қәте"),1,0))</x:f>
        <x:v>0</x:v>
      </x:c>
      <x:c r="N280" s="2" t="str">
        <x:f>IF(B280="","",_xlfn.IFNA(INDEX('Клиентлер'!$B$8:$B$31,MATCH(B280,'Клиентлер'!$A$8:$A$31,0)),"Код қәте"))</x:f>
      </x:c>
    </x:row>
    <x:row r="281" ht="40" customHeight="1">
      <x:c r="A281" s="12"/>
      <x:c r="B281" s="10"/>
      <x:c r="C281" s="10"/>
      <x:c r="D281" s="13" t="str">
        <x:f>IF(C281="","",_xlfn.IFNA(INDEX('Күнлик реже'!$D$8:$D$390,MATCH(C281,'Күнлик реже'!$A$8:$A$390,0)),"Код қәте"))</x:f>
      </x:c>
      <x:c r="E281" s="2" t="str">
        <x:f>IF(B281="","",_xlfn.IFNA(INDEX('Клиентлер'!$E$8:$E$31,MATCH(B281,'Клиентлер'!$A$8:$A$31,0)),"Код қәте"))</x:f>
      </x:c>
      <x:c r="F281" s="11"/>
      <x:c r="G281" s="11"/>
      <x:c r="H281" s="11"/>
      <x:c r="I281" s="11"/>
      <x:c r="J281" s="11"/>
      <x:c r="K281" s="10"/>
      <x:c r="L281" s="2" t="n">
        <x:f>IF(COUNTA(A281:C281,F281:K281)=0,0,IF(AND(COUNT(A281:C281)=3,COUNT(F281:J281)=5),0,1))</x:f>
        <x:v>0</x:v>
      </x:c>
      <x:c r="M281" s="2" t="n">
        <x:f>IF(COUNTA(A281:C281,F281:K281)=0,0,IF(OR(H281&gt;F281,I281&gt;G281,D281="Код қәте",E281="Код қәте"),1,0))</x:f>
        <x:v>0</x:v>
      </x:c>
      <x:c r="N281" s="2" t="str">
        <x:f>IF(B281="","",_xlfn.IFNA(INDEX('Клиентлер'!$B$8:$B$31,MATCH(B281,'Клиентлер'!$A$8:$A$31,0)),"Код қәте"))</x:f>
      </x:c>
    </x:row>
    <x:row r="282" ht="40" customHeight="1">
      <x:c r="A282" s="12"/>
      <x:c r="B282" s="10"/>
      <x:c r="C282" s="10"/>
      <x:c r="D282" s="13" t="str">
        <x:f>IF(C282="","",_xlfn.IFNA(INDEX('Күнлик реже'!$D$8:$D$390,MATCH(C282,'Күнлик реже'!$A$8:$A$390,0)),"Код қәте"))</x:f>
      </x:c>
      <x:c r="E282" s="2" t="str">
        <x:f>IF(B282="","",_xlfn.IFNA(INDEX('Клиентлер'!$E$8:$E$31,MATCH(B282,'Клиентлер'!$A$8:$A$31,0)),"Код қәте"))</x:f>
      </x:c>
      <x:c r="F282" s="11"/>
      <x:c r="G282" s="11"/>
      <x:c r="H282" s="11"/>
      <x:c r="I282" s="11"/>
      <x:c r="J282" s="11"/>
      <x:c r="K282" s="10"/>
      <x:c r="L282" s="2" t="n">
        <x:f>IF(COUNTA(A282:C282,F282:K282)=0,0,IF(AND(COUNT(A282:C282)=3,COUNT(F282:J282)=5),0,1))</x:f>
        <x:v>0</x:v>
      </x:c>
      <x:c r="M282" s="2" t="n">
        <x:f>IF(COUNTA(A282:C282,F282:K282)=0,0,IF(OR(H282&gt;F282,I282&gt;G282,D282="Код қәте",E282="Код қәте"),1,0))</x:f>
        <x:v>0</x:v>
      </x:c>
      <x:c r="N282" s="2" t="str">
        <x:f>IF(B282="","",_xlfn.IFNA(INDEX('Клиентлер'!$B$8:$B$31,MATCH(B282,'Клиентлер'!$A$8:$A$31,0)),"Код қәте"))</x:f>
      </x:c>
    </x:row>
    <x:row r="283" ht="40" customHeight="1">
      <x:c r="A283" s="12"/>
      <x:c r="B283" s="10"/>
      <x:c r="C283" s="10"/>
      <x:c r="D283" s="13" t="str">
        <x:f>IF(C283="","",_xlfn.IFNA(INDEX('Күнлик реже'!$D$8:$D$390,MATCH(C283,'Күнлик реже'!$A$8:$A$390,0)),"Код қәте"))</x:f>
      </x:c>
      <x:c r="E283" s="2" t="str">
        <x:f>IF(B283="","",_xlfn.IFNA(INDEX('Клиентлер'!$E$8:$E$31,MATCH(B283,'Клиентлер'!$A$8:$A$31,0)),"Код қәте"))</x:f>
      </x:c>
      <x:c r="F283" s="11"/>
      <x:c r="G283" s="11"/>
      <x:c r="H283" s="11"/>
      <x:c r="I283" s="11"/>
      <x:c r="J283" s="11"/>
      <x:c r="K283" s="10"/>
      <x:c r="L283" s="2" t="n">
        <x:f>IF(COUNTA(A283:C283,F283:K283)=0,0,IF(AND(COUNT(A283:C283)=3,COUNT(F283:J283)=5),0,1))</x:f>
        <x:v>0</x:v>
      </x:c>
      <x:c r="M283" s="2" t="n">
        <x:f>IF(COUNTA(A283:C283,F283:K283)=0,0,IF(OR(H283&gt;F283,I283&gt;G283,D283="Код қәте",E283="Код қәте"),1,0))</x:f>
        <x:v>0</x:v>
      </x:c>
      <x:c r="N283" s="2" t="str">
        <x:f>IF(B283="","",_xlfn.IFNA(INDEX('Клиентлер'!$B$8:$B$31,MATCH(B283,'Клиентлер'!$A$8:$A$31,0)),"Код қәте"))</x:f>
      </x:c>
    </x:row>
    <x:row r="284" ht="40" customHeight="1">
      <x:c r="A284" s="12"/>
      <x:c r="B284" s="10"/>
      <x:c r="C284" s="10"/>
      <x:c r="D284" s="13" t="str">
        <x:f>IF(C284="","",_xlfn.IFNA(INDEX('Күнлик реже'!$D$8:$D$390,MATCH(C284,'Күнлик реже'!$A$8:$A$390,0)),"Код қәте"))</x:f>
      </x:c>
      <x:c r="E284" s="2" t="str">
        <x:f>IF(B284="","",_xlfn.IFNA(INDEX('Клиентлер'!$E$8:$E$31,MATCH(B284,'Клиентлер'!$A$8:$A$31,0)),"Код қәте"))</x:f>
      </x:c>
      <x:c r="F284" s="11"/>
      <x:c r="G284" s="11"/>
      <x:c r="H284" s="11"/>
      <x:c r="I284" s="11"/>
      <x:c r="J284" s="11"/>
      <x:c r="K284" s="10"/>
      <x:c r="L284" s="2" t="n">
        <x:f>IF(COUNTA(A284:C284,F284:K284)=0,0,IF(AND(COUNT(A284:C284)=3,COUNT(F284:J284)=5),0,1))</x:f>
        <x:v>0</x:v>
      </x:c>
      <x:c r="M284" s="2" t="n">
        <x:f>IF(COUNTA(A284:C284,F284:K284)=0,0,IF(OR(H284&gt;F284,I284&gt;G284,D284="Код қәте",E284="Код қәте"),1,0))</x:f>
        <x:v>0</x:v>
      </x:c>
      <x:c r="N284" s="2" t="str">
        <x:f>IF(B284="","",_xlfn.IFNA(INDEX('Клиентлер'!$B$8:$B$31,MATCH(B284,'Клиентлер'!$A$8:$A$31,0)),"Код қәте"))</x:f>
      </x:c>
    </x:row>
    <x:row r="285" ht="40" customHeight="1">
      <x:c r="A285" s="12"/>
      <x:c r="B285" s="10"/>
      <x:c r="C285" s="10"/>
      <x:c r="D285" s="13" t="str">
        <x:f>IF(C285="","",_xlfn.IFNA(INDEX('Күнлик реже'!$D$8:$D$390,MATCH(C285,'Күнлик реже'!$A$8:$A$390,0)),"Код қәте"))</x:f>
      </x:c>
      <x:c r="E285" s="2" t="str">
        <x:f>IF(B285="","",_xlfn.IFNA(INDEX('Клиентлер'!$E$8:$E$31,MATCH(B285,'Клиентлер'!$A$8:$A$31,0)),"Код қәте"))</x:f>
      </x:c>
      <x:c r="F285" s="11"/>
      <x:c r="G285" s="11"/>
      <x:c r="H285" s="11"/>
      <x:c r="I285" s="11"/>
      <x:c r="J285" s="11"/>
      <x:c r="K285" s="10"/>
      <x:c r="L285" s="2" t="n">
        <x:f>IF(COUNTA(A285:C285,F285:K285)=0,0,IF(AND(COUNT(A285:C285)=3,COUNT(F285:J285)=5),0,1))</x:f>
        <x:v>0</x:v>
      </x:c>
      <x:c r="M285" s="2" t="n">
        <x:f>IF(COUNTA(A285:C285,F285:K285)=0,0,IF(OR(H285&gt;F285,I285&gt;G285,D285="Код қәте",E285="Код қәте"),1,0))</x:f>
        <x:v>0</x:v>
      </x:c>
      <x:c r="N285" s="2" t="str">
        <x:f>IF(B285="","",_xlfn.IFNA(INDEX('Клиентлер'!$B$8:$B$31,MATCH(B285,'Клиентлер'!$A$8:$A$31,0)),"Код қәте"))</x:f>
      </x:c>
    </x:row>
    <x:row r="286" ht="40" customHeight="1">
      <x:c r="A286" s="12"/>
      <x:c r="B286" s="10"/>
      <x:c r="C286" s="10"/>
      <x:c r="D286" s="13" t="str">
        <x:f>IF(C286="","",_xlfn.IFNA(INDEX('Күнлик реже'!$D$8:$D$390,MATCH(C286,'Күнлик реже'!$A$8:$A$390,0)),"Код қәте"))</x:f>
      </x:c>
      <x:c r="E286" s="2" t="str">
        <x:f>IF(B286="","",_xlfn.IFNA(INDEX('Клиентлер'!$E$8:$E$31,MATCH(B286,'Клиентлер'!$A$8:$A$31,0)),"Код қәте"))</x:f>
      </x:c>
      <x:c r="F286" s="11"/>
      <x:c r="G286" s="11"/>
      <x:c r="H286" s="11"/>
      <x:c r="I286" s="11"/>
      <x:c r="J286" s="11"/>
      <x:c r="K286" s="10"/>
      <x:c r="L286" s="2" t="n">
        <x:f>IF(COUNTA(A286:C286,F286:K286)=0,0,IF(AND(COUNT(A286:C286)=3,COUNT(F286:J286)=5),0,1))</x:f>
        <x:v>0</x:v>
      </x:c>
      <x:c r="M286" s="2" t="n">
        <x:f>IF(COUNTA(A286:C286,F286:K286)=0,0,IF(OR(H286&gt;F286,I286&gt;G286,D286="Код қәте",E286="Код қәте"),1,0))</x:f>
        <x:v>0</x:v>
      </x:c>
      <x:c r="N286" s="2" t="str">
        <x:f>IF(B286="","",_xlfn.IFNA(INDEX('Клиентлер'!$B$8:$B$31,MATCH(B286,'Клиентлер'!$A$8:$A$31,0)),"Код қәте"))</x:f>
      </x:c>
    </x:row>
    <x:row r="287" ht="40" customHeight="1">
      <x:c r="A287" s="12"/>
      <x:c r="B287" s="10"/>
      <x:c r="C287" s="10"/>
      <x:c r="D287" s="13" t="str">
        <x:f>IF(C287="","",_xlfn.IFNA(INDEX('Күнлик реже'!$D$8:$D$390,MATCH(C287,'Күнлик реже'!$A$8:$A$390,0)),"Код қәте"))</x:f>
      </x:c>
      <x:c r="E287" s="2" t="str">
        <x:f>IF(B287="","",_xlfn.IFNA(INDEX('Клиентлер'!$E$8:$E$31,MATCH(B287,'Клиентлер'!$A$8:$A$31,0)),"Код қәте"))</x:f>
      </x:c>
      <x:c r="F287" s="11"/>
      <x:c r="G287" s="11"/>
      <x:c r="H287" s="11"/>
      <x:c r="I287" s="11"/>
      <x:c r="J287" s="11"/>
      <x:c r="K287" s="10"/>
      <x:c r="L287" s="2" t="n">
        <x:f>IF(COUNTA(A287:C287,F287:K287)=0,0,IF(AND(COUNT(A287:C287)=3,COUNT(F287:J287)=5),0,1))</x:f>
        <x:v>0</x:v>
      </x:c>
      <x:c r="M287" s="2" t="n">
        <x:f>IF(COUNTA(A287:C287,F287:K287)=0,0,IF(OR(H287&gt;F287,I287&gt;G287,D287="Код қәте",E287="Код қәте"),1,0))</x:f>
        <x:v>0</x:v>
      </x:c>
      <x:c r="N287" s="2" t="str">
        <x:f>IF(B287="","",_xlfn.IFNA(INDEX('Клиентлер'!$B$8:$B$31,MATCH(B287,'Клиентлер'!$A$8:$A$31,0)),"Код қәте"))</x:f>
      </x:c>
    </x:row>
    <x:row r="288" ht="40" customHeight="1">
      <x:c r="A288" s="12"/>
      <x:c r="B288" s="10"/>
      <x:c r="C288" s="10"/>
      <x:c r="D288" s="13" t="str">
        <x:f>IF(C288="","",_xlfn.IFNA(INDEX('Күнлик реже'!$D$8:$D$390,MATCH(C288,'Күнлик реже'!$A$8:$A$390,0)),"Код қәте"))</x:f>
      </x:c>
      <x:c r="E288" s="2" t="str">
        <x:f>IF(B288="","",_xlfn.IFNA(INDEX('Клиентлер'!$E$8:$E$31,MATCH(B288,'Клиентлер'!$A$8:$A$31,0)),"Код қәте"))</x:f>
      </x:c>
      <x:c r="F288" s="11"/>
      <x:c r="G288" s="11"/>
      <x:c r="H288" s="11"/>
      <x:c r="I288" s="11"/>
      <x:c r="J288" s="11"/>
      <x:c r="K288" s="10"/>
      <x:c r="L288" s="2" t="n">
        <x:f>IF(COUNTA(A288:C288,F288:K288)=0,0,IF(AND(COUNT(A288:C288)=3,COUNT(F288:J288)=5),0,1))</x:f>
        <x:v>0</x:v>
      </x:c>
      <x:c r="M288" s="2" t="n">
        <x:f>IF(COUNTA(A288:C288,F288:K288)=0,0,IF(OR(H288&gt;F288,I288&gt;G288,D288="Код қәте",E288="Код қәте"),1,0))</x:f>
        <x:v>0</x:v>
      </x:c>
      <x:c r="N288" s="2" t="str">
        <x:f>IF(B288="","",_xlfn.IFNA(INDEX('Клиентлер'!$B$8:$B$31,MATCH(B288,'Клиентлер'!$A$8:$A$31,0)),"Код қәте"))</x:f>
      </x:c>
    </x:row>
    <x:row r="289" ht="40" customHeight="1">
      <x:c r="A289" s="12"/>
      <x:c r="B289" s="10"/>
      <x:c r="C289" s="10"/>
      <x:c r="D289" s="13" t="str">
        <x:f>IF(C289="","",_xlfn.IFNA(INDEX('Күнлик реже'!$D$8:$D$390,MATCH(C289,'Күнлик реже'!$A$8:$A$390,0)),"Код қәте"))</x:f>
      </x:c>
      <x:c r="E289" s="2" t="str">
        <x:f>IF(B289="","",_xlfn.IFNA(INDEX('Клиентлер'!$E$8:$E$31,MATCH(B289,'Клиентлер'!$A$8:$A$31,0)),"Код қәте"))</x:f>
      </x:c>
      <x:c r="F289" s="11"/>
      <x:c r="G289" s="11"/>
      <x:c r="H289" s="11"/>
      <x:c r="I289" s="11"/>
      <x:c r="J289" s="11"/>
      <x:c r="K289" s="10"/>
      <x:c r="L289" s="2" t="n">
        <x:f>IF(COUNTA(A289:C289,F289:K289)=0,0,IF(AND(COUNT(A289:C289)=3,COUNT(F289:J289)=5),0,1))</x:f>
        <x:v>0</x:v>
      </x:c>
      <x:c r="M289" s="2" t="n">
        <x:f>IF(COUNTA(A289:C289,F289:K289)=0,0,IF(OR(H289&gt;F289,I289&gt;G289,D289="Код қәте",E289="Код қәте"),1,0))</x:f>
        <x:v>0</x:v>
      </x:c>
      <x:c r="N289" s="2" t="str">
        <x:f>IF(B289="","",_xlfn.IFNA(INDEX('Клиентлер'!$B$8:$B$31,MATCH(B289,'Клиентлер'!$A$8:$A$31,0)),"Код қәте"))</x:f>
      </x:c>
    </x:row>
    <x:row r="290" ht="40" customHeight="1">
      <x:c r="A290" s="12"/>
      <x:c r="B290" s="10"/>
      <x:c r="C290" s="10"/>
      <x:c r="D290" s="13" t="str">
        <x:f>IF(C290="","",_xlfn.IFNA(INDEX('Күнлик реже'!$D$8:$D$390,MATCH(C290,'Күнлик реже'!$A$8:$A$390,0)),"Код қәте"))</x:f>
      </x:c>
      <x:c r="E290" s="2" t="str">
        <x:f>IF(B290="","",_xlfn.IFNA(INDEX('Клиентлер'!$E$8:$E$31,MATCH(B290,'Клиентлер'!$A$8:$A$31,0)),"Код қәте"))</x:f>
      </x:c>
      <x:c r="F290" s="11"/>
      <x:c r="G290" s="11"/>
      <x:c r="H290" s="11"/>
      <x:c r="I290" s="11"/>
      <x:c r="J290" s="11"/>
      <x:c r="K290" s="10"/>
      <x:c r="L290" s="2" t="n">
        <x:f>IF(COUNTA(A290:C290,F290:K290)=0,0,IF(AND(COUNT(A290:C290)=3,COUNT(F290:J290)=5),0,1))</x:f>
        <x:v>0</x:v>
      </x:c>
      <x:c r="M290" s="2" t="n">
        <x:f>IF(COUNTA(A290:C290,F290:K290)=0,0,IF(OR(H290&gt;F290,I290&gt;G290,D290="Код қәте",E290="Код қәте"),1,0))</x:f>
        <x:v>0</x:v>
      </x:c>
      <x:c r="N290" s="2" t="str">
        <x:f>IF(B290="","",_xlfn.IFNA(INDEX('Клиентлер'!$B$8:$B$31,MATCH(B290,'Клиентлер'!$A$8:$A$31,0)),"Код қәте"))</x:f>
      </x:c>
    </x:row>
    <x:row r="291" ht="40" customHeight="1">
      <x:c r="A291" s="12"/>
      <x:c r="B291" s="10"/>
      <x:c r="C291" s="10"/>
      <x:c r="D291" s="13" t="str">
        <x:f>IF(C291="","",_xlfn.IFNA(INDEX('Күнлик реже'!$D$8:$D$390,MATCH(C291,'Күнлик реже'!$A$8:$A$390,0)),"Код қәте"))</x:f>
      </x:c>
      <x:c r="E291" s="2" t="str">
        <x:f>IF(B291="","",_xlfn.IFNA(INDEX('Клиентлер'!$E$8:$E$31,MATCH(B291,'Клиентлер'!$A$8:$A$31,0)),"Код қәте"))</x:f>
      </x:c>
      <x:c r="F291" s="11"/>
      <x:c r="G291" s="11"/>
      <x:c r="H291" s="11"/>
      <x:c r="I291" s="11"/>
      <x:c r="J291" s="11"/>
      <x:c r="K291" s="10"/>
      <x:c r="L291" s="2" t="n">
        <x:f>IF(COUNTA(A291:C291,F291:K291)=0,0,IF(AND(COUNT(A291:C291)=3,COUNT(F291:J291)=5),0,1))</x:f>
        <x:v>0</x:v>
      </x:c>
      <x:c r="M291" s="2" t="n">
        <x:f>IF(COUNTA(A291:C291,F291:K291)=0,0,IF(OR(H291&gt;F291,I291&gt;G291,D291="Код қәте",E291="Код қәте"),1,0))</x:f>
        <x:v>0</x:v>
      </x:c>
      <x:c r="N291" s="2" t="str">
        <x:f>IF(B291="","",_xlfn.IFNA(INDEX('Клиентлер'!$B$8:$B$31,MATCH(B291,'Клиентлер'!$A$8:$A$31,0)),"Код қәте"))</x:f>
      </x:c>
    </x:row>
    <x:row r="292" ht="40" customHeight="1">
      <x:c r="A292" s="12"/>
      <x:c r="B292" s="10"/>
      <x:c r="C292" s="10"/>
      <x:c r="D292" s="13" t="str">
        <x:f>IF(C292="","",_xlfn.IFNA(INDEX('Күнлик реже'!$D$8:$D$390,MATCH(C292,'Күнлик реже'!$A$8:$A$390,0)),"Код қәте"))</x:f>
      </x:c>
      <x:c r="E292" s="2" t="str">
        <x:f>IF(B292="","",_xlfn.IFNA(INDEX('Клиентлер'!$E$8:$E$31,MATCH(B292,'Клиентлер'!$A$8:$A$31,0)),"Код қәте"))</x:f>
      </x:c>
      <x:c r="F292" s="11"/>
      <x:c r="G292" s="11"/>
      <x:c r="H292" s="11"/>
      <x:c r="I292" s="11"/>
      <x:c r="J292" s="11"/>
      <x:c r="K292" s="10"/>
      <x:c r="L292" s="2" t="n">
        <x:f>IF(COUNTA(A292:C292,F292:K292)=0,0,IF(AND(COUNT(A292:C292)=3,COUNT(F292:J292)=5),0,1))</x:f>
        <x:v>0</x:v>
      </x:c>
      <x:c r="M292" s="2" t="n">
        <x:f>IF(COUNTA(A292:C292,F292:K292)=0,0,IF(OR(H292&gt;F292,I292&gt;G292,D292="Код қәте",E292="Код қәте"),1,0))</x:f>
        <x:v>0</x:v>
      </x:c>
      <x:c r="N292" s="2" t="str">
        <x:f>IF(B292="","",_xlfn.IFNA(INDEX('Клиентлер'!$B$8:$B$31,MATCH(B292,'Клиентлер'!$A$8:$A$31,0)),"Код қәте"))</x:f>
      </x:c>
    </x:row>
    <x:row r="293" ht="40" customHeight="1">
      <x:c r="A293" s="12"/>
      <x:c r="B293" s="10"/>
      <x:c r="C293" s="10"/>
      <x:c r="D293" s="13" t="str">
        <x:f>IF(C293="","",_xlfn.IFNA(INDEX('Күнлик реже'!$D$8:$D$390,MATCH(C293,'Күнлик реже'!$A$8:$A$390,0)),"Код қәте"))</x:f>
      </x:c>
      <x:c r="E293" s="2" t="str">
        <x:f>IF(B293="","",_xlfn.IFNA(INDEX('Клиентлер'!$E$8:$E$31,MATCH(B293,'Клиентлер'!$A$8:$A$31,0)),"Код қәте"))</x:f>
      </x:c>
      <x:c r="F293" s="11"/>
      <x:c r="G293" s="11"/>
      <x:c r="H293" s="11"/>
      <x:c r="I293" s="11"/>
      <x:c r="J293" s="11"/>
      <x:c r="K293" s="10"/>
      <x:c r="L293" s="2" t="n">
        <x:f>IF(COUNTA(A293:C293,F293:K293)=0,0,IF(AND(COUNT(A293:C293)=3,COUNT(F293:J293)=5),0,1))</x:f>
        <x:v>0</x:v>
      </x:c>
      <x:c r="M293" s="2" t="n">
        <x:f>IF(COUNTA(A293:C293,F293:K293)=0,0,IF(OR(H293&gt;F293,I293&gt;G293,D293="Код қәте",E293="Код қәте"),1,0))</x:f>
        <x:v>0</x:v>
      </x:c>
      <x:c r="N293" s="2" t="str">
        <x:f>IF(B293="","",_xlfn.IFNA(INDEX('Клиентлер'!$B$8:$B$31,MATCH(B293,'Клиентлер'!$A$8:$A$31,0)),"Код қәте"))</x:f>
      </x:c>
    </x:row>
    <x:row r="294" ht="40" customHeight="1">
      <x:c r="A294" s="12"/>
      <x:c r="B294" s="10"/>
      <x:c r="C294" s="10"/>
      <x:c r="D294" s="13" t="str">
        <x:f>IF(C294="","",_xlfn.IFNA(INDEX('Күнлик реже'!$D$8:$D$390,MATCH(C294,'Күнлик реже'!$A$8:$A$390,0)),"Код қәте"))</x:f>
      </x:c>
      <x:c r="E294" s="2" t="str">
        <x:f>IF(B294="","",_xlfn.IFNA(INDEX('Клиентлер'!$E$8:$E$31,MATCH(B294,'Клиентлер'!$A$8:$A$31,0)),"Код қәте"))</x:f>
      </x:c>
      <x:c r="F294" s="11"/>
      <x:c r="G294" s="11"/>
      <x:c r="H294" s="11"/>
      <x:c r="I294" s="11"/>
      <x:c r="J294" s="11"/>
      <x:c r="K294" s="10"/>
      <x:c r="L294" s="2" t="n">
        <x:f>IF(COUNTA(A294:C294,F294:K294)=0,0,IF(AND(COUNT(A294:C294)=3,COUNT(F294:J294)=5),0,1))</x:f>
        <x:v>0</x:v>
      </x:c>
      <x:c r="M294" s="2" t="n">
        <x:f>IF(COUNTA(A294:C294,F294:K294)=0,0,IF(OR(H294&gt;F294,I294&gt;G294,D294="Код қәте",E294="Код қәте"),1,0))</x:f>
        <x:v>0</x:v>
      </x:c>
      <x:c r="N294" s="2" t="str">
        <x:f>IF(B294="","",_xlfn.IFNA(INDEX('Клиентлер'!$B$8:$B$31,MATCH(B294,'Клиентлер'!$A$8:$A$31,0)),"Код қәте"))</x:f>
      </x:c>
    </x:row>
    <x:row r="295" ht="40" customHeight="1">
      <x:c r="A295" s="12"/>
      <x:c r="B295" s="10"/>
      <x:c r="C295" s="10"/>
      <x:c r="D295" s="13" t="str">
        <x:f>IF(C295="","",_xlfn.IFNA(INDEX('Күнлик реже'!$D$8:$D$390,MATCH(C295,'Күнлик реже'!$A$8:$A$390,0)),"Код қәте"))</x:f>
      </x:c>
      <x:c r="E295" s="2" t="str">
        <x:f>IF(B295="","",_xlfn.IFNA(INDEX('Клиентлер'!$E$8:$E$31,MATCH(B295,'Клиентлер'!$A$8:$A$31,0)),"Код қәте"))</x:f>
      </x:c>
      <x:c r="F295" s="11"/>
      <x:c r="G295" s="11"/>
      <x:c r="H295" s="11"/>
      <x:c r="I295" s="11"/>
      <x:c r="J295" s="11"/>
      <x:c r="K295" s="10"/>
      <x:c r="L295" s="2" t="n">
        <x:f>IF(COUNTA(A295:C295,F295:K295)=0,0,IF(AND(COUNT(A295:C295)=3,COUNT(F295:J295)=5),0,1))</x:f>
        <x:v>0</x:v>
      </x:c>
      <x:c r="M295" s="2" t="n">
        <x:f>IF(COUNTA(A295:C295,F295:K295)=0,0,IF(OR(H295&gt;F295,I295&gt;G295,D295="Код қәте",E295="Код қәте"),1,0))</x:f>
        <x:v>0</x:v>
      </x:c>
      <x:c r="N295" s="2" t="str">
        <x:f>IF(B295="","",_xlfn.IFNA(INDEX('Клиентлер'!$B$8:$B$31,MATCH(B295,'Клиентлер'!$A$8:$A$31,0)),"Код қәте"))</x:f>
      </x:c>
    </x:row>
    <x:row r="296" ht="40" customHeight="1">
      <x:c r="A296" s="12"/>
      <x:c r="B296" s="10"/>
      <x:c r="C296" s="10"/>
      <x:c r="D296" s="13" t="str">
        <x:f>IF(C296="","",_xlfn.IFNA(INDEX('Күнлик реже'!$D$8:$D$390,MATCH(C296,'Күнлик реже'!$A$8:$A$390,0)),"Код қәте"))</x:f>
      </x:c>
      <x:c r="E296" s="2" t="str">
        <x:f>IF(B296="","",_xlfn.IFNA(INDEX('Клиентлер'!$E$8:$E$31,MATCH(B296,'Клиентлер'!$A$8:$A$31,0)),"Код қәте"))</x:f>
      </x:c>
      <x:c r="F296" s="11"/>
      <x:c r="G296" s="11"/>
      <x:c r="H296" s="11"/>
      <x:c r="I296" s="11"/>
      <x:c r="J296" s="11"/>
      <x:c r="K296" s="10"/>
      <x:c r="L296" s="2" t="n">
        <x:f>IF(COUNTA(A296:C296,F296:K296)=0,0,IF(AND(COUNT(A296:C296)=3,COUNT(F296:J296)=5),0,1))</x:f>
        <x:v>0</x:v>
      </x:c>
      <x:c r="M296" s="2" t="n">
        <x:f>IF(COUNTA(A296:C296,F296:K296)=0,0,IF(OR(H296&gt;F296,I296&gt;G296,D296="Код қәте",E296="Код қәте"),1,0))</x:f>
        <x:v>0</x:v>
      </x:c>
      <x:c r="N296" s="2" t="str">
        <x:f>IF(B296="","",_xlfn.IFNA(INDEX('Клиентлер'!$B$8:$B$31,MATCH(B296,'Клиентлер'!$A$8:$A$31,0)),"Код қәте"))</x:f>
      </x:c>
    </x:row>
    <x:row r="297" ht="40" customHeight="1">
      <x:c r="A297" s="12"/>
      <x:c r="B297" s="10"/>
      <x:c r="C297" s="10"/>
      <x:c r="D297" s="13" t="str">
        <x:f>IF(C297="","",_xlfn.IFNA(INDEX('Күнлик реже'!$D$8:$D$390,MATCH(C297,'Күнлик реже'!$A$8:$A$390,0)),"Код қәте"))</x:f>
      </x:c>
      <x:c r="E297" s="2" t="str">
        <x:f>IF(B297="","",_xlfn.IFNA(INDEX('Клиентлер'!$E$8:$E$31,MATCH(B297,'Клиентлер'!$A$8:$A$31,0)),"Код қәте"))</x:f>
      </x:c>
      <x:c r="F297" s="11"/>
      <x:c r="G297" s="11"/>
      <x:c r="H297" s="11"/>
      <x:c r="I297" s="11"/>
      <x:c r="J297" s="11"/>
      <x:c r="K297" s="10"/>
      <x:c r="L297" s="2" t="n">
        <x:f>IF(COUNTA(A297:C297,F297:K297)=0,0,IF(AND(COUNT(A297:C297)=3,COUNT(F297:J297)=5),0,1))</x:f>
        <x:v>0</x:v>
      </x:c>
      <x:c r="M297" s="2" t="n">
        <x:f>IF(COUNTA(A297:C297,F297:K297)=0,0,IF(OR(H297&gt;F297,I297&gt;G297,D297="Код қәте",E297="Код қәте"),1,0))</x:f>
        <x:v>0</x:v>
      </x:c>
      <x:c r="N297" s="2" t="str">
        <x:f>IF(B297="","",_xlfn.IFNA(INDEX('Клиентлер'!$B$8:$B$31,MATCH(B297,'Клиентлер'!$A$8:$A$31,0)),"Код қәте"))</x:f>
      </x:c>
    </x:row>
    <x:row r="298" ht="40" customHeight="1">
      <x:c r="A298" s="12"/>
      <x:c r="B298" s="10"/>
      <x:c r="C298" s="10"/>
      <x:c r="D298" s="13" t="str">
        <x:f>IF(C298="","",_xlfn.IFNA(INDEX('Күнлик реже'!$D$8:$D$390,MATCH(C298,'Күнлик реже'!$A$8:$A$390,0)),"Код қәте"))</x:f>
      </x:c>
      <x:c r="E298" s="2" t="str">
        <x:f>IF(B298="","",_xlfn.IFNA(INDEX('Клиентлер'!$E$8:$E$31,MATCH(B298,'Клиентлер'!$A$8:$A$31,0)),"Код қәте"))</x:f>
      </x:c>
      <x:c r="F298" s="11"/>
      <x:c r="G298" s="11"/>
      <x:c r="H298" s="11"/>
      <x:c r="I298" s="11"/>
      <x:c r="J298" s="11"/>
      <x:c r="K298" s="10"/>
      <x:c r="L298" s="2" t="n">
        <x:f>IF(COUNTA(A298:C298,F298:K298)=0,0,IF(AND(COUNT(A298:C298)=3,COUNT(F298:J298)=5),0,1))</x:f>
        <x:v>0</x:v>
      </x:c>
      <x:c r="M298" s="2" t="n">
        <x:f>IF(COUNTA(A298:C298,F298:K298)=0,0,IF(OR(H298&gt;F298,I298&gt;G298,D298="Код қәте",E298="Код қәте"),1,0))</x:f>
        <x:v>0</x:v>
      </x:c>
      <x:c r="N298" s="2" t="str">
        <x:f>IF(B298="","",_xlfn.IFNA(INDEX('Клиентлер'!$B$8:$B$31,MATCH(B298,'Клиентлер'!$A$8:$A$31,0)),"Код қәте"))</x:f>
      </x:c>
    </x:row>
    <x:row r="299" ht="40" customHeight="1">
      <x:c r="A299" s="12"/>
      <x:c r="B299" s="10"/>
      <x:c r="C299" s="10"/>
      <x:c r="D299" s="13" t="str">
        <x:f>IF(C299="","",_xlfn.IFNA(INDEX('Күнлик реже'!$D$8:$D$390,MATCH(C299,'Күнлик реже'!$A$8:$A$390,0)),"Код қәте"))</x:f>
      </x:c>
      <x:c r="E299" s="2" t="str">
        <x:f>IF(B299="","",_xlfn.IFNA(INDEX('Клиентлер'!$E$8:$E$31,MATCH(B299,'Клиентлер'!$A$8:$A$31,0)),"Код қәте"))</x:f>
      </x:c>
      <x:c r="F299" s="11"/>
      <x:c r="G299" s="11"/>
      <x:c r="H299" s="11"/>
      <x:c r="I299" s="11"/>
      <x:c r="J299" s="11"/>
      <x:c r="K299" s="10"/>
      <x:c r="L299" s="2" t="n">
        <x:f>IF(COUNTA(A299:C299,F299:K299)=0,0,IF(AND(COUNT(A299:C299)=3,COUNT(F299:J299)=5),0,1))</x:f>
        <x:v>0</x:v>
      </x:c>
      <x:c r="M299" s="2" t="n">
        <x:f>IF(COUNTA(A299:C299,F299:K299)=0,0,IF(OR(H299&gt;F299,I299&gt;G299,D299="Код қәте",E299="Код қәте"),1,0))</x:f>
        <x:v>0</x:v>
      </x:c>
      <x:c r="N299" s="2" t="str">
        <x:f>IF(B299="","",_xlfn.IFNA(INDEX('Клиентлер'!$B$8:$B$31,MATCH(B299,'Клиентлер'!$A$8:$A$31,0)),"Код қәте"))</x:f>
      </x:c>
    </x:row>
    <x:row r="300" ht="40" customHeight="1">
      <x:c r="A300" s="12"/>
      <x:c r="B300" s="10"/>
      <x:c r="C300" s="10"/>
      <x:c r="D300" s="13" t="str">
        <x:f>IF(C300="","",_xlfn.IFNA(INDEX('Күнлик реже'!$D$8:$D$390,MATCH(C300,'Күнлик реже'!$A$8:$A$390,0)),"Код қәте"))</x:f>
      </x:c>
      <x:c r="E300" s="2" t="str">
        <x:f>IF(B300="","",_xlfn.IFNA(INDEX('Клиентлер'!$E$8:$E$31,MATCH(B300,'Клиентлер'!$A$8:$A$31,0)),"Код қәте"))</x:f>
      </x:c>
      <x:c r="F300" s="11"/>
      <x:c r="G300" s="11"/>
      <x:c r="H300" s="11"/>
      <x:c r="I300" s="11"/>
      <x:c r="J300" s="11"/>
      <x:c r="K300" s="10"/>
      <x:c r="L300" s="2" t="n">
        <x:f>IF(COUNTA(A300:C300,F300:K300)=0,0,IF(AND(COUNT(A300:C300)=3,COUNT(F300:J300)=5),0,1))</x:f>
        <x:v>0</x:v>
      </x:c>
      <x:c r="M300" s="2" t="n">
        <x:f>IF(COUNTA(A300:C300,F300:K300)=0,0,IF(OR(H300&gt;F300,I300&gt;G300,D300="Код қәте",E300="Код қәте"),1,0))</x:f>
        <x:v>0</x:v>
      </x:c>
      <x:c r="N300" s="2" t="str">
        <x:f>IF(B300="","",_xlfn.IFNA(INDEX('Клиентлер'!$B$8:$B$31,MATCH(B300,'Клиентлер'!$A$8:$A$31,0)),"Код қәте"))</x:f>
      </x:c>
    </x:row>
    <x:row r="301" ht="40" customHeight="1">
      <x:c r="A301" s="12"/>
      <x:c r="B301" s="10"/>
      <x:c r="C301" s="10"/>
      <x:c r="D301" s="13" t="str">
        <x:f>IF(C301="","",_xlfn.IFNA(INDEX('Күнлик реже'!$D$8:$D$390,MATCH(C301,'Күнлик реже'!$A$8:$A$390,0)),"Код қәте"))</x:f>
      </x:c>
      <x:c r="E301" s="2" t="str">
        <x:f>IF(B301="","",_xlfn.IFNA(INDEX('Клиентлер'!$E$8:$E$31,MATCH(B301,'Клиентлер'!$A$8:$A$31,0)),"Код қәте"))</x:f>
      </x:c>
      <x:c r="F301" s="11"/>
      <x:c r="G301" s="11"/>
      <x:c r="H301" s="11"/>
      <x:c r="I301" s="11"/>
      <x:c r="J301" s="11"/>
      <x:c r="K301" s="10"/>
      <x:c r="L301" s="2" t="n">
        <x:f>IF(COUNTA(A301:C301,F301:K301)=0,0,IF(AND(COUNT(A301:C301)=3,COUNT(F301:J301)=5),0,1))</x:f>
        <x:v>0</x:v>
      </x:c>
      <x:c r="M301" s="2" t="n">
        <x:f>IF(COUNTA(A301:C301,F301:K301)=0,0,IF(OR(H301&gt;F301,I301&gt;G301,D301="Код қәте",E301="Код қәте"),1,0))</x:f>
        <x:v>0</x:v>
      </x:c>
      <x:c r="N301" s="2" t="str">
        <x:f>IF(B301="","",_xlfn.IFNA(INDEX('Клиентлер'!$B$8:$B$31,MATCH(B301,'Клиентлер'!$A$8:$A$31,0)),"Код қәте"))</x:f>
      </x:c>
    </x:row>
    <x:row r="302" ht="40" customHeight="1">
      <x:c r="A302" s="12"/>
      <x:c r="B302" s="10"/>
      <x:c r="C302" s="10"/>
      <x:c r="D302" s="13" t="str">
        <x:f>IF(C302="","",_xlfn.IFNA(INDEX('Күнлик реже'!$D$8:$D$390,MATCH(C302,'Күнлик реже'!$A$8:$A$390,0)),"Код қәте"))</x:f>
      </x:c>
      <x:c r="E302" s="2" t="str">
        <x:f>IF(B302="","",_xlfn.IFNA(INDEX('Клиентлер'!$E$8:$E$31,MATCH(B302,'Клиентлер'!$A$8:$A$31,0)),"Код қәте"))</x:f>
      </x:c>
      <x:c r="F302" s="11"/>
      <x:c r="G302" s="11"/>
      <x:c r="H302" s="11"/>
      <x:c r="I302" s="11"/>
      <x:c r="J302" s="11"/>
      <x:c r="K302" s="10"/>
      <x:c r="L302" s="2" t="n">
        <x:f>IF(COUNTA(A302:C302,F302:K302)=0,0,IF(AND(COUNT(A302:C302)=3,COUNT(F302:J302)=5),0,1))</x:f>
        <x:v>0</x:v>
      </x:c>
      <x:c r="M302" s="2" t="n">
        <x:f>IF(COUNTA(A302:C302,F302:K302)=0,0,IF(OR(H302&gt;F302,I302&gt;G302,D302="Код қәте",E302="Код қәте"),1,0))</x:f>
        <x:v>0</x:v>
      </x:c>
      <x:c r="N302" s="2" t="str">
        <x:f>IF(B302="","",_xlfn.IFNA(INDEX('Клиентлер'!$B$8:$B$31,MATCH(B302,'Клиентлер'!$A$8:$A$31,0)),"Код қәте"))</x:f>
      </x:c>
    </x:row>
    <x:row r="303" ht="40" customHeight="1">
      <x:c r="A303" s="12"/>
      <x:c r="B303" s="10"/>
      <x:c r="C303" s="10"/>
      <x:c r="D303" s="13" t="str">
        <x:f>IF(C303="","",_xlfn.IFNA(INDEX('Күнлик реже'!$D$8:$D$390,MATCH(C303,'Күнлик реже'!$A$8:$A$390,0)),"Код қәте"))</x:f>
      </x:c>
      <x:c r="E303" s="2" t="str">
        <x:f>IF(B303="","",_xlfn.IFNA(INDEX('Клиентлер'!$E$8:$E$31,MATCH(B303,'Клиентлер'!$A$8:$A$31,0)),"Код қәте"))</x:f>
      </x:c>
      <x:c r="F303" s="11"/>
      <x:c r="G303" s="11"/>
      <x:c r="H303" s="11"/>
      <x:c r="I303" s="11"/>
      <x:c r="J303" s="11"/>
      <x:c r="K303" s="10"/>
      <x:c r="L303" s="2" t="n">
        <x:f>IF(COUNTA(A303:C303,F303:K303)=0,0,IF(AND(COUNT(A303:C303)=3,COUNT(F303:J303)=5),0,1))</x:f>
        <x:v>0</x:v>
      </x:c>
      <x:c r="M303" s="2" t="n">
        <x:f>IF(COUNTA(A303:C303,F303:K303)=0,0,IF(OR(H303&gt;F303,I303&gt;G303,D303="Код қәте",E303="Код қәте"),1,0))</x:f>
        <x:v>0</x:v>
      </x:c>
      <x:c r="N303" s="2" t="str">
        <x:f>IF(B303="","",_xlfn.IFNA(INDEX('Клиентлер'!$B$8:$B$31,MATCH(B303,'Клиентлер'!$A$8:$A$31,0)),"Код қәте"))</x:f>
      </x:c>
    </x:row>
    <x:row r="304" ht="40" customHeight="1">
      <x:c r="A304" s="12"/>
      <x:c r="B304" s="10"/>
      <x:c r="C304" s="10"/>
      <x:c r="D304" s="13" t="str">
        <x:f>IF(C304="","",_xlfn.IFNA(INDEX('Күнлик реже'!$D$8:$D$390,MATCH(C304,'Күнлик реже'!$A$8:$A$390,0)),"Код қәте"))</x:f>
      </x:c>
      <x:c r="E304" s="2" t="str">
        <x:f>IF(B304="","",_xlfn.IFNA(INDEX('Клиентлер'!$E$8:$E$31,MATCH(B304,'Клиентлер'!$A$8:$A$31,0)),"Код қәте"))</x:f>
      </x:c>
      <x:c r="F304" s="11"/>
      <x:c r="G304" s="11"/>
      <x:c r="H304" s="11"/>
      <x:c r="I304" s="11"/>
      <x:c r="J304" s="11"/>
      <x:c r="K304" s="10"/>
      <x:c r="L304" s="2" t="n">
        <x:f>IF(COUNTA(A304:C304,F304:K304)=0,0,IF(AND(COUNT(A304:C304)=3,COUNT(F304:J304)=5),0,1))</x:f>
        <x:v>0</x:v>
      </x:c>
      <x:c r="M304" s="2" t="n">
        <x:f>IF(COUNTA(A304:C304,F304:K304)=0,0,IF(OR(H304&gt;F304,I304&gt;G304,D304="Код қәте",E304="Код қәте"),1,0))</x:f>
        <x:v>0</x:v>
      </x:c>
      <x:c r="N304" s="2" t="str">
        <x:f>IF(B304="","",_xlfn.IFNA(INDEX('Клиентлер'!$B$8:$B$31,MATCH(B304,'Клиентлер'!$A$8:$A$31,0)),"Код қәте"))</x:f>
      </x:c>
    </x:row>
    <x:row r="305" ht="40" customHeight="1">
      <x:c r="A305" s="12"/>
      <x:c r="B305" s="10"/>
      <x:c r="C305" s="10"/>
      <x:c r="D305" s="13" t="str">
        <x:f>IF(C305="","",_xlfn.IFNA(INDEX('Күнлик реже'!$D$8:$D$390,MATCH(C305,'Күнлик реже'!$A$8:$A$390,0)),"Код қәте"))</x:f>
      </x:c>
      <x:c r="E305" s="2" t="str">
        <x:f>IF(B305="","",_xlfn.IFNA(INDEX('Клиентлер'!$E$8:$E$31,MATCH(B305,'Клиентлер'!$A$8:$A$31,0)),"Код қәте"))</x:f>
      </x:c>
      <x:c r="F305" s="11"/>
      <x:c r="G305" s="11"/>
      <x:c r="H305" s="11"/>
      <x:c r="I305" s="11"/>
      <x:c r="J305" s="11"/>
      <x:c r="K305" s="10"/>
      <x:c r="L305" s="2" t="n">
        <x:f>IF(COUNTA(A305:C305,F305:K305)=0,0,IF(AND(COUNT(A305:C305)=3,COUNT(F305:J305)=5),0,1))</x:f>
        <x:v>0</x:v>
      </x:c>
      <x:c r="M305" s="2" t="n">
        <x:f>IF(COUNTA(A305:C305,F305:K305)=0,0,IF(OR(H305&gt;F305,I305&gt;G305,D305="Код қәте",E305="Код қәте"),1,0))</x:f>
        <x:v>0</x:v>
      </x:c>
      <x:c r="N305" s="2" t="str">
        <x:f>IF(B305="","",_xlfn.IFNA(INDEX('Клиентлер'!$B$8:$B$31,MATCH(B305,'Клиентлер'!$A$8:$A$31,0)),"Код қәте"))</x:f>
      </x:c>
    </x:row>
    <x:row r="306" ht="40" customHeight="1">
      <x:c r="A306" s="12"/>
      <x:c r="B306" s="10"/>
      <x:c r="C306" s="10"/>
      <x:c r="D306" s="13" t="str">
        <x:f>IF(C306="","",_xlfn.IFNA(INDEX('Күнлик реже'!$D$8:$D$390,MATCH(C306,'Күнлик реже'!$A$8:$A$390,0)),"Код қәте"))</x:f>
      </x:c>
      <x:c r="E306" s="2" t="str">
        <x:f>IF(B306="","",_xlfn.IFNA(INDEX('Клиентлер'!$E$8:$E$31,MATCH(B306,'Клиентлер'!$A$8:$A$31,0)),"Код қәте"))</x:f>
      </x:c>
      <x:c r="F306" s="11"/>
      <x:c r="G306" s="11"/>
      <x:c r="H306" s="11"/>
      <x:c r="I306" s="11"/>
      <x:c r="J306" s="11"/>
      <x:c r="K306" s="10"/>
      <x:c r="L306" s="2" t="n">
        <x:f>IF(COUNTA(A306:C306,F306:K306)=0,0,IF(AND(COUNT(A306:C306)=3,COUNT(F306:J306)=5),0,1))</x:f>
        <x:v>0</x:v>
      </x:c>
      <x:c r="M306" s="2" t="n">
        <x:f>IF(COUNTA(A306:C306,F306:K306)=0,0,IF(OR(H306&gt;F306,I306&gt;G306,D306="Код қәте",E306="Код қәте"),1,0))</x:f>
        <x:v>0</x:v>
      </x:c>
      <x:c r="N306" s="2" t="str">
        <x:f>IF(B306="","",_xlfn.IFNA(INDEX('Клиентлер'!$B$8:$B$31,MATCH(B306,'Клиентлер'!$A$8:$A$31,0)),"Код қәте"))</x:f>
      </x:c>
    </x:row>
    <x:row r="307" ht="40" customHeight="1">
      <x:c r="A307" s="12"/>
      <x:c r="B307" s="10"/>
      <x:c r="C307" s="10"/>
      <x:c r="D307" s="13" t="str">
        <x:f>IF(C307="","",_xlfn.IFNA(INDEX('Күнлик реже'!$D$8:$D$390,MATCH(C307,'Күнлик реже'!$A$8:$A$390,0)),"Код қәте"))</x:f>
      </x:c>
      <x:c r="E307" s="2" t="str">
        <x:f>IF(B307="","",_xlfn.IFNA(INDEX('Клиентлер'!$E$8:$E$31,MATCH(B307,'Клиентлер'!$A$8:$A$31,0)),"Код қәте"))</x:f>
      </x:c>
      <x:c r="F307" s="11"/>
      <x:c r="G307" s="11"/>
      <x:c r="H307" s="11"/>
      <x:c r="I307" s="11"/>
      <x:c r="J307" s="11"/>
      <x:c r="K307" s="10"/>
      <x:c r="L307" s="2" t="n">
        <x:f>IF(COUNTA(A307:C307,F307:K307)=0,0,IF(AND(COUNT(A307:C307)=3,COUNT(F307:J307)=5),0,1))</x:f>
        <x:v>0</x:v>
      </x:c>
      <x:c r="M307" s="2" t="n">
        <x:f>IF(COUNTA(A307:C307,F307:K307)=0,0,IF(OR(H307&gt;F307,I307&gt;G307,D307="Код қәте",E307="Код қәте"),1,0))</x:f>
        <x:v>0</x:v>
      </x:c>
      <x:c r="N307" s="2" t="str">
        <x:f>IF(B307="","",_xlfn.IFNA(INDEX('Клиентлер'!$B$8:$B$31,MATCH(B307,'Клиентлер'!$A$8:$A$31,0)),"Код қәте"))</x:f>
      </x:c>
    </x:row>
    <x:row r="308" ht="40" customHeight="1">
      <x:c r="A308" s="12"/>
      <x:c r="B308" s="10"/>
      <x:c r="C308" s="10"/>
      <x:c r="D308" s="13" t="str">
        <x:f>IF(C308="","",_xlfn.IFNA(INDEX('Күнлик реже'!$D$8:$D$390,MATCH(C308,'Күнлик реже'!$A$8:$A$390,0)),"Код қәте"))</x:f>
      </x:c>
      <x:c r="E308" s="2" t="str">
        <x:f>IF(B308="","",_xlfn.IFNA(INDEX('Клиентлер'!$E$8:$E$31,MATCH(B308,'Клиентлер'!$A$8:$A$31,0)),"Код қәте"))</x:f>
      </x:c>
      <x:c r="F308" s="11"/>
      <x:c r="G308" s="11"/>
      <x:c r="H308" s="11"/>
      <x:c r="I308" s="11"/>
      <x:c r="J308" s="11"/>
      <x:c r="K308" s="10"/>
      <x:c r="L308" s="2" t="n">
        <x:f>IF(COUNTA(A308:C308,F308:K308)=0,0,IF(AND(COUNT(A308:C308)=3,COUNT(F308:J308)=5),0,1))</x:f>
        <x:v>0</x:v>
      </x:c>
      <x:c r="M308" s="2" t="n">
        <x:f>IF(COUNTA(A308:C308,F308:K308)=0,0,IF(OR(H308&gt;F308,I308&gt;G308,D308="Код қәте",E308="Код қәте"),1,0))</x:f>
        <x:v>0</x:v>
      </x:c>
      <x:c r="N308" s="2" t="str">
        <x:f>IF(B308="","",_xlfn.IFNA(INDEX('Клиентлер'!$B$8:$B$31,MATCH(B308,'Клиентлер'!$A$8:$A$31,0)),"Код қәте"))</x:f>
      </x:c>
    </x:row>
    <x:row r="309" ht="40" customHeight="1">
      <x:c r="A309" s="12"/>
      <x:c r="B309" s="10"/>
      <x:c r="C309" s="10"/>
      <x:c r="D309" s="13" t="str">
        <x:f>IF(C309="","",_xlfn.IFNA(INDEX('Күнлик реже'!$D$8:$D$390,MATCH(C309,'Күнлик реже'!$A$8:$A$390,0)),"Код қәте"))</x:f>
      </x:c>
      <x:c r="E309" s="2" t="str">
        <x:f>IF(B309="","",_xlfn.IFNA(INDEX('Клиентлер'!$E$8:$E$31,MATCH(B309,'Клиентлер'!$A$8:$A$31,0)),"Код қәте"))</x:f>
      </x:c>
      <x:c r="F309" s="11"/>
      <x:c r="G309" s="11"/>
      <x:c r="H309" s="11"/>
      <x:c r="I309" s="11"/>
      <x:c r="J309" s="11"/>
      <x:c r="K309" s="10"/>
      <x:c r="L309" s="2" t="n">
        <x:f>IF(COUNTA(A309:C309,F309:K309)=0,0,IF(AND(COUNT(A309:C309)=3,COUNT(F309:J309)=5),0,1))</x:f>
        <x:v>0</x:v>
      </x:c>
      <x:c r="M309" s="2" t="n">
        <x:f>IF(COUNTA(A309:C309,F309:K309)=0,0,IF(OR(H309&gt;F309,I309&gt;G309,D309="Код қәте",E309="Код қәте"),1,0))</x:f>
        <x:v>0</x:v>
      </x:c>
      <x:c r="N309" s="2" t="str">
        <x:f>IF(B309="","",_xlfn.IFNA(INDEX('Клиентлер'!$B$8:$B$31,MATCH(B309,'Клиентлер'!$A$8:$A$31,0)),"Код қәте"))</x:f>
      </x:c>
    </x:row>
    <x:row r="310" ht="40" customHeight="1">
      <x:c r="A310" s="12"/>
      <x:c r="B310" s="10"/>
      <x:c r="C310" s="10"/>
      <x:c r="D310" s="13" t="str">
        <x:f>IF(C310="","",_xlfn.IFNA(INDEX('Күнлик реже'!$D$8:$D$390,MATCH(C310,'Күнлик реже'!$A$8:$A$390,0)),"Код қәте"))</x:f>
      </x:c>
      <x:c r="E310" s="2" t="str">
        <x:f>IF(B310="","",_xlfn.IFNA(INDEX('Клиентлер'!$E$8:$E$31,MATCH(B310,'Клиентлер'!$A$8:$A$31,0)),"Код қәте"))</x:f>
      </x:c>
      <x:c r="F310" s="11"/>
      <x:c r="G310" s="11"/>
      <x:c r="H310" s="11"/>
      <x:c r="I310" s="11"/>
      <x:c r="J310" s="11"/>
      <x:c r="K310" s="10"/>
      <x:c r="L310" s="2" t="n">
        <x:f>IF(COUNTA(A310:C310,F310:K310)=0,0,IF(AND(COUNT(A310:C310)=3,COUNT(F310:J310)=5),0,1))</x:f>
        <x:v>0</x:v>
      </x:c>
      <x:c r="M310" s="2" t="n">
        <x:f>IF(COUNTA(A310:C310,F310:K310)=0,0,IF(OR(H310&gt;F310,I310&gt;G310,D310="Код қәте",E310="Код қәте"),1,0))</x:f>
        <x:v>0</x:v>
      </x:c>
      <x:c r="N310" s="2" t="str">
        <x:f>IF(B310="","",_xlfn.IFNA(INDEX('Клиентлер'!$B$8:$B$31,MATCH(B310,'Клиентлер'!$A$8:$A$31,0)),"Код қәте"))</x:f>
      </x:c>
    </x:row>
    <x:row r="311" ht="40" customHeight="1">
      <x:c r="A311" s="12"/>
      <x:c r="B311" s="10"/>
      <x:c r="C311" s="10"/>
      <x:c r="D311" s="13" t="str">
        <x:f>IF(C311="","",_xlfn.IFNA(INDEX('Күнлик реже'!$D$8:$D$390,MATCH(C311,'Күнлик реже'!$A$8:$A$390,0)),"Код қәте"))</x:f>
      </x:c>
      <x:c r="E311" s="2" t="str">
        <x:f>IF(B311="","",_xlfn.IFNA(INDEX('Клиентлер'!$E$8:$E$31,MATCH(B311,'Клиентлер'!$A$8:$A$31,0)),"Код қәте"))</x:f>
      </x:c>
      <x:c r="F311" s="11"/>
      <x:c r="G311" s="11"/>
      <x:c r="H311" s="11"/>
      <x:c r="I311" s="11"/>
      <x:c r="J311" s="11"/>
      <x:c r="K311" s="10"/>
      <x:c r="L311" s="2" t="n">
        <x:f>IF(COUNTA(A311:C311,F311:K311)=0,0,IF(AND(COUNT(A311:C311)=3,COUNT(F311:J311)=5),0,1))</x:f>
        <x:v>0</x:v>
      </x:c>
      <x:c r="M311" s="2" t="n">
        <x:f>IF(COUNTA(A311:C311,F311:K311)=0,0,IF(OR(H311&gt;F311,I311&gt;G311,D311="Код қәте",E311="Код қәте"),1,0))</x:f>
        <x:v>0</x:v>
      </x:c>
      <x:c r="N311" s="2" t="str">
        <x:f>IF(B311="","",_xlfn.IFNA(INDEX('Клиентлер'!$B$8:$B$31,MATCH(B311,'Клиентлер'!$A$8:$A$31,0)),"Код қәте"))</x:f>
      </x:c>
    </x:row>
    <x:row r="312" ht="40" customHeight="1">
      <x:c r="A312" s="12"/>
      <x:c r="B312" s="10"/>
      <x:c r="C312" s="10"/>
      <x:c r="D312" s="13" t="str">
        <x:f>IF(C312="","",_xlfn.IFNA(INDEX('Күнлик реже'!$D$8:$D$390,MATCH(C312,'Күнлик реже'!$A$8:$A$390,0)),"Код қәте"))</x:f>
      </x:c>
      <x:c r="E312" s="2" t="str">
        <x:f>IF(B312="","",_xlfn.IFNA(INDEX('Клиентлер'!$E$8:$E$31,MATCH(B312,'Клиентлер'!$A$8:$A$31,0)),"Код қәте"))</x:f>
      </x:c>
      <x:c r="F312" s="11"/>
      <x:c r="G312" s="11"/>
      <x:c r="H312" s="11"/>
      <x:c r="I312" s="11"/>
      <x:c r="J312" s="11"/>
      <x:c r="K312" s="10"/>
      <x:c r="L312" s="2" t="n">
        <x:f>IF(COUNTA(A312:C312,F312:K312)=0,0,IF(AND(COUNT(A312:C312)=3,COUNT(F312:J312)=5),0,1))</x:f>
        <x:v>0</x:v>
      </x:c>
      <x:c r="M312" s="2" t="n">
        <x:f>IF(COUNTA(A312:C312,F312:K312)=0,0,IF(OR(H312&gt;F312,I312&gt;G312,D312="Код қәте",E312="Код қәте"),1,0))</x:f>
        <x:v>0</x:v>
      </x:c>
      <x:c r="N312" s="2" t="str">
        <x:f>IF(B312="","",_xlfn.IFNA(INDEX('Клиентлер'!$B$8:$B$31,MATCH(B312,'Клиентлер'!$A$8:$A$31,0)),"Код қәте"))</x:f>
      </x:c>
    </x:row>
    <x:row r="313" ht="40" customHeight="1">
      <x:c r="A313" s="12"/>
      <x:c r="B313" s="10"/>
      <x:c r="C313" s="10"/>
      <x:c r="D313" s="13" t="str">
        <x:f>IF(C313="","",_xlfn.IFNA(INDEX('Күнлик реже'!$D$8:$D$390,MATCH(C313,'Күнлик реже'!$A$8:$A$390,0)),"Код қәте"))</x:f>
      </x:c>
      <x:c r="E313" s="2" t="str">
        <x:f>IF(B313="","",_xlfn.IFNA(INDEX('Клиентлер'!$E$8:$E$31,MATCH(B313,'Клиентлер'!$A$8:$A$31,0)),"Код қәте"))</x:f>
      </x:c>
      <x:c r="F313" s="11"/>
      <x:c r="G313" s="11"/>
      <x:c r="H313" s="11"/>
      <x:c r="I313" s="11"/>
      <x:c r="J313" s="11"/>
      <x:c r="K313" s="10"/>
      <x:c r="L313" s="2" t="n">
        <x:f>IF(COUNTA(A313:C313,F313:K313)=0,0,IF(AND(COUNT(A313:C313)=3,COUNT(F313:J313)=5),0,1))</x:f>
        <x:v>0</x:v>
      </x:c>
      <x:c r="M313" s="2" t="n">
        <x:f>IF(COUNTA(A313:C313,F313:K313)=0,0,IF(OR(H313&gt;F313,I313&gt;G313,D313="Код қәте",E313="Код қәте"),1,0))</x:f>
        <x:v>0</x:v>
      </x:c>
      <x:c r="N313" s="2" t="str">
        <x:f>IF(B313="","",_xlfn.IFNA(INDEX('Клиентлер'!$B$8:$B$31,MATCH(B313,'Клиентлер'!$A$8:$A$31,0)),"Код қәте"))</x:f>
      </x:c>
    </x:row>
    <x:row r="314" ht="40" customHeight="1">
      <x:c r="A314" s="12"/>
      <x:c r="B314" s="10"/>
      <x:c r="C314" s="10"/>
      <x:c r="D314" s="13" t="str">
        <x:f>IF(C314="","",_xlfn.IFNA(INDEX('Күнлик реже'!$D$8:$D$390,MATCH(C314,'Күнлик реже'!$A$8:$A$390,0)),"Код қәте"))</x:f>
      </x:c>
      <x:c r="E314" s="2" t="str">
        <x:f>IF(B314="","",_xlfn.IFNA(INDEX('Клиентлер'!$E$8:$E$31,MATCH(B314,'Клиентлер'!$A$8:$A$31,0)),"Код қәте"))</x:f>
      </x:c>
      <x:c r="F314" s="11"/>
      <x:c r="G314" s="11"/>
      <x:c r="H314" s="11"/>
      <x:c r="I314" s="11"/>
      <x:c r="J314" s="11"/>
      <x:c r="K314" s="10"/>
      <x:c r="L314" s="2" t="n">
        <x:f>IF(COUNTA(A314:C314,F314:K314)=0,0,IF(AND(COUNT(A314:C314)=3,COUNT(F314:J314)=5),0,1))</x:f>
        <x:v>0</x:v>
      </x:c>
      <x:c r="M314" s="2" t="n">
        <x:f>IF(COUNTA(A314:C314,F314:K314)=0,0,IF(OR(H314&gt;F314,I314&gt;G314,D314="Код қәте",E314="Код қәте"),1,0))</x:f>
        <x:v>0</x:v>
      </x:c>
      <x:c r="N314" s="2" t="str">
        <x:f>IF(B314="","",_xlfn.IFNA(INDEX('Клиентлер'!$B$8:$B$31,MATCH(B314,'Клиентлер'!$A$8:$A$31,0)),"Код қәте"))</x:f>
      </x:c>
    </x:row>
    <x:row r="315" ht="40" customHeight="1">
      <x:c r="A315" s="12"/>
      <x:c r="B315" s="10"/>
      <x:c r="C315" s="10"/>
      <x:c r="D315" s="13" t="str">
        <x:f>IF(C315="","",_xlfn.IFNA(INDEX('Күнлик реже'!$D$8:$D$390,MATCH(C315,'Күнлик реже'!$A$8:$A$390,0)),"Код қәте"))</x:f>
      </x:c>
      <x:c r="E315" s="2" t="str">
        <x:f>IF(B315="","",_xlfn.IFNA(INDEX('Клиентлер'!$E$8:$E$31,MATCH(B315,'Клиентлер'!$A$8:$A$31,0)),"Код қәте"))</x:f>
      </x:c>
      <x:c r="F315" s="11"/>
      <x:c r="G315" s="11"/>
      <x:c r="H315" s="11"/>
      <x:c r="I315" s="11"/>
      <x:c r="J315" s="11"/>
      <x:c r="K315" s="10"/>
      <x:c r="L315" s="2" t="n">
        <x:f>IF(COUNTA(A315:C315,F315:K315)=0,0,IF(AND(COUNT(A315:C315)=3,COUNT(F315:J315)=5),0,1))</x:f>
        <x:v>0</x:v>
      </x:c>
      <x:c r="M315" s="2" t="n">
        <x:f>IF(COUNTA(A315:C315,F315:K315)=0,0,IF(OR(H315&gt;F315,I315&gt;G315,D315="Код қәте",E315="Код қәте"),1,0))</x:f>
        <x:v>0</x:v>
      </x:c>
      <x:c r="N315" s="2" t="str">
        <x:f>IF(B315="","",_xlfn.IFNA(INDEX('Клиентлер'!$B$8:$B$31,MATCH(B315,'Клиентлер'!$A$8:$A$31,0)),"Код қәте"))</x:f>
      </x:c>
    </x:row>
    <x:row r="316" ht="40" customHeight="1">
      <x:c r="A316" s="12"/>
      <x:c r="B316" s="10"/>
      <x:c r="C316" s="10"/>
      <x:c r="D316" s="13" t="str">
        <x:f>IF(C316="","",_xlfn.IFNA(INDEX('Күнлик реже'!$D$8:$D$390,MATCH(C316,'Күнлик реже'!$A$8:$A$390,0)),"Код қәте"))</x:f>
      </x:c>
      <x:c r="E316" s="2" t="str">
        <x:f>IF(B316="","",_xlfn.IFNA(INDEX('Клиентлер'!$E$8:$E$31,MATCH(B316,'Клиентлер'!$A$8:$A$31,0)),"Код қәте"))</x:f>
      </x:c>
      <x:c r="F316" s="11"/>
      <x:c r="G316" s="11"/>
      <x:c r="H316" s="11"/>
      <x:c r="I316" s="11"/>
      <x:c r="J316" s="11"/>
      <x:c r="K316" s="10"/>
      <x:c r="L316" s="2" t="n">
        <x:f>IF(COUNTA(A316:C316,F316:K316)=0,0,IF(AND(COUNT(A316:C316)=3,COUNT(F316:J316)=5),0,1))</x:f>
        <x:v>0</x:v>
      </x:c>
      <x:c r="M316" s="2" t="n">
        <x:f>IF(COUNTA(A316:C316,F316:K316)=0,0,IF(OR(H316&gt;F316,I316&gt;G316,D316="Код қәте",E316="Код қәте"),1,0))</x:f>
        <x:v>0</x:v>
      </x:c>
      <x:c r="N316" s="2" t="str">
        <x:f>IF(B316="","",_xlfn.IFNA(INDEX('Клиентлер'!$B$8:$B$31,MATCH(B316,'Клиентлер'!$A$8:$A$31,0)),"Код қәте"))</x:f>
      </x:c>
    </x:row>
    <x:row r="317" ht="40" customHeight="1">
      <x:c r="A317" s="12"/>
      <x:c r="B317" s="10"/>
      <x:c r="C317" s="10"/>
      <x:c r="D317" s="13" t="str">
        <x:f>IF(C317="","",_xlfn.IFNA(INDEX('Күнлик реже'!$D$8:$D$390,MATCH(C317,'Күнлик реже'!$A$8:$A$390,0)),"Код қәте"))</x:f>
      </x:c>
      <x:c r="E317" s="2" t="str">
        <x:f>IF(B317="","",_xlfn.IFNA(INDEX('Клиентлер'!$E$8:$E$31,MATCH(B317,'Клиентлер'!$A$8:$A$31,0)),"Код қәте"))</x:f>
      </x:c>
      <x:c r="F317" s="11"/>
      <x:c r="G317" s="11"/>
      <x:c r="H317" s="11"/>
      <x:c r="I317" s="11"/>
      <x:c r="J317" s="11"/>
      <x:c r="K317" s="10"/>
      <x:c r="L317" s="2" t="n">
        <x:f>IF(COUNTA(A317:C317,F317:K317)=0,0,IF(AND(COUNT(A317:C317)=3,COUNT(F317:J317)=5),0,1))</x:f>
        <x:v>0</x:v>
      </x:c>
      <x:c r="M317" s="2" t="n">
        <x:f>IF(COUNTA(A317:C317,F317:K317)=0,0,IF(OR(H317&gt;F317,I317&gt;G317,D317="Код қәте",E317="Код қәте"),1,0))</x:f>
        <x:v>0</x:v>
      </x:c>
      <x:c r="N317" s="2" t="str">
        <x:f>IF(B317="","",_xlfn.IFNA(INDEX('Клиентлер'!$B$8:$B$31,MATCH(B317,'Клиентлер'!$A$8:$A$31,0)),"Код қәте"))</x:f>
      </x:c>
    </x:row>
    <x:row r="318" ht="40" customHeight="1">
      <x:c r="A318" s="12"/>
      <x:c r="B318" s="10"/>
      <x:c r="C318" s="10"/>
      <x:c r="D318" s="13" t="str">
        <x:f>IF(C318="","",_xlfn.IFNA(INDEX('Күнлик реже'!$D$8:$D$390,MATCH(C318,'Күнлик реже'!$A$8:$A$390,0)),"Код қәте"))</x:f>
      </x:c>
      <x:c r="E318" s="2" t="str">
        <x:f>IF(B318="","",_xlfn.IFNA(INDEX('Клиентлер'!$E$8:$E$31,MATCH(B318,'Клиентлер'!$A$8:$A$31,0)),"Код қәте"))</x:f>
      </x:c>
      <x:c r="F318" s="11"/>
      <x:c r="G318" s="11"/>
      <x:c r="H318" s="11"/>
      <x:c r="I318" s="11"/>
      <x:c r="J318" s="11"/>
      <x:c r="K318" s="10"/>
      <x:c r="L318" s="2" t="n">
        <x:f>IF(COUNTA(A318:C318,F318:K318)=0,0,IF(AND(COUNT(A318:C318)=3,COUNT(F318:J318)=5),0,1))</x:f>
        <x:v>0</x:v>
      </x:c>
      <x:c r="M318" s="2" t="n">
        <x:f>IF(COUNTA(A318:C318,F318:K318)=0,0,IF(OR(H318&gt;F318,I318&gt;G318,D318="Код қәте",E318="Код қәте"),1,0))</x:f>
        <x:v>0</x:v>
      </x:c>
      <x:c r="N318" s="2" t="str">
        <x:f>IF(B318="","",_xlfn.IFNA(INDEX('Клиентлер'!$B$8:$B$31,MATCH(B318,'Клиентлер'!$A$8:$A$31,0)),"Код қәте"))</x:f>
      </x:c>
    </x:row>
    <x:row r="319" ht="40" customHeight="1">
      <x:c r="A319" s="12"/>
      <x:c r="B319" s="10"/>
      <x:c r="C319" s="10"/>
      <x:c r="D319" s="13" t="str">
        <x:f>IF(C319="","",_xlfn.IFNA(INDEX('Күнлик реже'!$D$8:$D$390,MATCH(C319,'Күнлик реже'!$A$8:$A$390,0)),"Код қәте"))</x:f>
      </x:c>
      <x:c r="E319" s="2" t="str">
        <x:f>IF(B319="","",_xlfn.IFNA(INDEX('Клиентлер'!$E$8:$E$31,MATCH(B319,'Клиентлер'!$A$8:$A$31,0)),"Код қәте"))</x:f>
      </x:c>
      <x:c r="F319" s="11"/>
      <x:c r="G319" s="11"/>
      <x:c r="H319" s="11"/>
      <x:c r="I319" s="11"/>
      <x:c r="J319" s="11"/>
      <x:c r="K319" s="10"/>
      <x:c r="L319" s="2" t="n">
        <x:f>IF(COUNTA(A319:C319,F319:K319)=0,0,IF(AND(COUNT(A319:C319)=3,COUNT(F319:J319)=5),0,1))</x:f>
        <x:v>0</x:v>
      </x:c>
      <x:c r="M319" s="2" t="n">
        <x:f>IF(COUNTA(A319:C319,F319:K319)=0,0,IF(OR(H319&gt;F319,I319&gt;G319,D319="Код қәте",E319="Код қәте"),1,0))</x:f>
        <x:v>0</x:v>
      </x:c>
      <x:c r="N319" s="2" t="str">
        <x:f>IF(B319="","",_xlfn.IFNA(INDEX('Клиентлер'!$B$8:$B$31,MATCH(B319,'Клиентлер'!$A$8:$A$31,0)),"Код қәте"))</x:f>
      </x:c>
    </x:row>
    <x:row r="320" ht="40" customHeight="1">
      <x:c r="A320" s="12"/>
      <x:c r="B320" s="10"/>
      <x:c r="C320" s="10"/>
      <x:c r="D320" s="13" t="str">
        <x:f>IF(C320="","",_xlfn.IFNA(INDEX('Күнлик реже'!$D$8:$D$390,MATCH(C320,'Күнлик реже'!$A$8:$A$390,0)),"Код қәте"))</x:f>
      </x:c>
      <x:c r="E320" s="2" t="str">
        <x:f>IF(B320="","",_xlfn.IFNA(INDEX('Клиентлер'!$E$8:$E$31,MATCH(B320,'Клиентлер'!$A$8:$A$31,0)),"Код қәте"))</x:f>
      </x:c>
      <x:c r="F320" s="11"/>
      <x:c r="G320" s="11"/>
      <x:c r="H320" s="11"/>
      <x:c r="I320" s="11"/>
      <x:c r="J320" s="11"/>
      <x:c r="K320" s="10"/>
      <x:c r="L320" s="2" t="n">
        <x:f>IF(COUNTA(A320:C320,F320:K320)=0,0,IF(AND(COUNT(A320:C320)=3,COUNT(F320:J320)=5),0,1))</x:f>
        <x:v>0</x:v>
      </x:c>
      <x:c r="M320" s="2" t="n">
        <x:f>IF(COUNTA(A320:C320,F320:K320)=0,0,IF(OR(H320&gt;F320,I320&gt;G320,D320="Код қәте",E320="Код қәте"),1,0))</x:f>
        <x:v>0</x:v>
      </x:c>
      <x:c r="N320" s="2" t="str">
        <x:f>IF(B320="","",_xlfn.IFNA(INDEX('Клиентлер'!$B$8:$B$31,MATCH(B320,'Клиентлер'!$A$8:$A$31,0)),"Код қәте"))</x:f>
      </x:c>
    </x:row>
    <x:row r="321" ht="40" customHeight="1">
      <x:c r="A321" s="12"/>
      <x:c r="B321" s="10"/>
      <x:c r="C321" s="10"/>
      <x:c r="D321" s="13" t="str">
        <x:f>IF(C321="","",_xlfn.IFNA(INDEX('Күнлик реже'!$D$8:$D$390,MATCH(C321,'Күнлик реже'!$A$8:$A$390,0)),"Код қәте"))</x:f>
      </x:c>
      <x:c r="E321" s="2" t="str">
        <x:f>IF(B321="","",_xlfn.IFNA(INDEX('Клиентлер'!$E$8:$E$31,MATCH(B321,'Клиентлер'!$A$8:$A$31,0)),"Код қәте"))</x:f>
      </x:c>
      <x:c r="F321" s="11"/>
      <x:c r="G321" s="11"/>
      <x:c r="H321" s="11"/>
      <x:c r="I321" s="11"/>
      <x:c r="J321" s="11"/>
      <x:c r="K321" s="10"/>
      <x:c r="L321" s="2" t="n">
        <x:f>IF(COUNTA(A321:C321,F321:K321)=0,0,IF(AND(COUNT(A321:C321)=3,COUNT(F321:J321)=5),0,1))</x:f>
        <x:v>0</x:v>
      </x:c>
      <x:c r="M321" s="2" t="n">
        <x:f>IF(COUNTA(A321:C321,F321:K321)=0,0,IF(OR(H321&gt;F321,I321&gt;G321,D321="Код қәте",E321="Код қәте"),1,0))</x:f>
        <x:v>0</x:v>
      </x:c>
      <x:c r="N321" s="2" t="str">
        <x:f>IF(B321="","",_xlfn.IFNA(INDEX('Клиентлер'!$B$8:$B$31,MATCH(B321,'Клиентлер'!$A$8:$A$31,0)),"Код қәте"))</x:f>
      </x:c>
    </x:row>
    <x:row r="322" ht="40" customHeight="1">
      <x:c r="A322" s="12"/>
      <x:c r="B322" s="10"/>
      <x:c r="C322" s="10"/>
      <x:c r="D322" s="13" t="str">
        <x:f>IF(C322="","",_xlfn.IFNA(INDEX('Күнлик реже'!$D$8:$D$390,MATCH(C322,'Күнлик реже'!$A$8:$A$390,0)),"Код қәте"))</x:f>
      </x:c>
      <x:c r="E322" s="2" t="str">
        <x:f>IF(B322="","",_xlfn.IFNA(INDEX('Клиентлер'!$E$8:$E$31,MATCH(B322,'Клиентлер'!$A$8:$A$31,0)),"Код қәте"))</x:f>
      </x:c>
      <x:c r="F322" s="11"/>
      <x:c r="G322" s="11"/>
      <x:c r="H322" s="11"/>
      <x:c r="I322" s="11"/>
      <x:c r="J322" s="11"/>
      <x:c r="K322" s="10"/>
      <x:c r="L322" s="2" t="n">
        <x:f>IF(COUNTA(A322:C322,F322:K322)=0,0,IF(AND(COUNT(A322:C322)=3,COUNT(F322:J322)=5),0,1))</x:f>
        <x:v>0</x:v>
      </x:c>
      <x:c r="M322" s="2" t="n">
        <x:f>IF(COUNTA(A322:C322,F322:K322)=0,0,IF(OR(H322&gt;F322,I322&gt;G322,D322="Код қәте",E322="Код қәте"),1,0))</x:f>
        <x:v>0</x:v>
      </x:c>
      <x:c r="N322" s="2" t="str">
        <x:f>IF(B322="","",_xlfn.IFNA(INDEX('Клиентлер'!$B$8:$B$31,MATCH(B322,'Клиентлер'!$A$8:$A$31,0)),"Код қәте"))</x:f>
      </x:c>
    </x:row>
    <x:row r="323" ht="40" customHeight="1">
      <x:c r="A323" s="12"/>
      <x:c r="B323" s="10"/>
      <x:c r="C323" s="10"/>
      <x:c r="D323" s="13" t="str">
        <x:f>IF(C323="","",_xlfn.IFNA(INDEX('Күнлик реже'!$D$8:$D$390,MATCH(C323,'Күнлик реже'!$A$8:$A$390,0)),"Код қәте"))</x:f>
      </x:c>
      <x:c r="E323" s="2" t="str">
        <x:f>IF(B323="","",_xlfn.IFNA(INDEX('Клиентлер'!$E$8:$E$31,MATCH(B323,'Клиентлер'!$A$8:$A$31,0)),"Код қәте"))</x:f>
      </x:c>
      <x:c r="F323" s="11"/>
      <x:c r="G323" s="11"/>
      <x:c r="H323" s="11"/>
      <x:c r="I323" s="11"/>
      <x:c r="J323" s="11"/>
      <x:c r="K323" s="10"/>
      <x:c r="L323" s="2" t="n">
        <x:f>IF(COUNTA(A323:C323,F323:K323)=0,0,IF(AND(COUNT(A323:C323)=3,COUNT(F323:J323)=5),0,1))</x:f>
        <x:v>0</x:v>
      </x:c>
      <x:c r="M323" s="2" t="n">
        <x:f>IF(COUNTA(A323:C323,F323:K323)=0,0,IF(OR(H323&gt;F323,I323&gt;G323,D323="Код қәте",E323="Код қәте"),1,0))</x:f>
        <x:v>0</x:v>
      </x:c>
      <x:c r="N323" s="2" t="str">
        <x:f>IF(B323="","",_xlfn.IFNA(INDEX('Клиентлер'!$B$8:$B$31,MATCH(B323,'Клиентлер'!$A$8:$A$31,0)),"Код қәте"))</x:f>
      </x:c>
    </x:row>
    <x:row r="324" ht="40" customHeight="1">
      <x:c r="A324" s="12"/>
      <x:c r="B324" s="10"/>
      <x:c r="C324" s="10"/>
      <x:c r="D324" s="13" t="str">
        <x:f>IF(C324="","",_xlfn.IFNA(INDEX('Күнлик реже'!$D$8:$D$390,MATCH(C324,'Күнлик реже'!$A$8:$A$390,0)),"Код қәте"))</x:f>
      </x:c>
      <x:c r="E324" s="2" t="str">
        <x:f>IF(B324="","",_xlfn.IFNA(INDEX('Клиентлер'!$E$8:$E$31,MATCH(B324,'Клиентлер'!$A$8:$A$31,0)),"Код қәте"))</x:f>
      </x:c>
      <x:c r="F324" s="11"/>
      <x:c r="G324" s="11"/>
      <x:c r="H324" s="11"/>
      <x:c r="I324" s="11"/>
      <x:c r="J324" s="11"/>
      <x:c r="K324" s="10"/>
      <x:c r="L324" s="2" t="n">
        <x:f>IF(COUNTA(A324:C324,F324:K324)=0,0,IF(AND(COUNT(A324:C324)=3,COUNT(F324:J324)=5),0,1))</x:f>
        <x:v>0</x:v>
      </x:c>
      <x:c r="M324" s="2" t="n">
        <x:f>IF(COUNTA(A324:C324,F324:K324)=0,0,IF(OR(H324&gt;F324,I324&gt;G324,D324="Код қәте",E324="Код қәте"),1,0))</x:f>
        <x:v>0</x:v>
      </x:c>
      <x:c r="N324" s="2" t="str">
        <x:f>IF(B324="","",_xlfn.IFNA(INDEX('Клиентлер'!$B$8:$B$31,MATCH(B324,'Клиентлер'!$A$8:$A$31,0)),"Код қәте"))</x:f>
      </x:c>
    </x:row>
    <x:row r="325" ht="40" customHeight="1">
      <x:c r="A325" s="12"/>
      <x:c r="B325" s="10"/>
      <x:c r="C325" s="10"/>
      <x:c r="D325" s="13" t="str">
        <x:f>IF(C325="","",_xlfn.IFNA(INDEX('Күнлик реже'!$D$8:$D$390,MATCH(C325,'Күнлик реже'!$A$8:$A$390,0)),"Код қәте"))</x:f>
      </x:c>
      <x:c r="E325" s="2" t="str">
        <x:f>IF(B325="","",_xlfn.IFNA(INDEX('Клиентлер'!$E$8:$E$31,MATCH(B325,'Клиентлер'!$A$8:$A$31,0)),"Код қәте"))</x:f>
      </x:c>
      <x:c r="F325" s="11"/>
      <x:c r="G325" s="11"/>
      <x:c r="H325" s="11"/>
      <x:c r="I325" s="11"/>
      <x:c r="J325" s="11"/>
      <x:c r="K325" s="10"/>
      <x:c r="L325" s="2" t="n">
        <x:f>IF(COUNTA(A325:C325,F325:K325)=0,0,IF(AND(COUNT(A325:C325)=3,COUNT(F325:J325)=5),0,1))</x:f>
        <x:v>0</x:v>
      </x:c>
      <x:c r="M325" s="2" t="n">
        <x:f>IF(COUNTA(A325:C325,F325:K325)=0,0,IF(OR(H325&gt;F325,I325&gt;G325,D325="Код қәте",E325="Код қәте"),1,0))</x:f>
        <x:v>0</x:v>
      </x:c>
      <x:c r="N325" s="2" t="str">
        <x:f>IF(B325="","",_xlfn.IFNA(INDEX('Клиентлер'!$B$8:$B$31,MATCH(B325,'Клиентлер'!$A$8:$A$31,0)),"Код қәте"))</x:f>
      </x:c>
    </x:row>
    <x:row r="326" ht="40" customHeight="1">
      <x:c r="A326" s="12"/>
      <x:c r="B326" s="10"/>
      <x:c r="C326" s="10"/>
      <x:c r="D326" s="13" t="str">
        <x:f>IF(C326="","",_xlfn.IFNA(INDEX('Күнлик реже'!$D$8:$D$390,MATCH(C326,'Күнлик реже'!$A$8:$A$390,0)),"Код қәте"))</x:f>
      </x:c>
      <x:c r="E326" s="2" t="str">
        <x:f>IF(B326="","",_xlfn.IFNA(INDEX('Клиентлер'!$E$8:$E$31,MATCH(B326,'Клиентлер'!$A$8:$A$31,0)),"Код қәте"))</x:f>
      </x:c>
      <x:c r="F326" s="11"/>
      <x:c r="G326" s="11"/>
      <x:c r="H326" s="11"/>
      <x:c r="I326" s="11"/>
      <x:c r="J326" s="11"/>
      <x:c r="K326" s="10"/>
      <x:c r="L326" s="2" t="n">
        <x:f>IF(COUNTA(A326:C326,F326:K326)=0,0,IF(AND(COUNT(A326:C326)=3,COUNT(F326:J326)=5),0,1))</x:f>
        <x:v>0</x:v>
      </x:c>
      <x:c r="M326" s="2" t="n">
        <x:f>IF(COUNTA(A326:C326,F326:K326)=0,0,IF(OR(H326&gt;F326,I326&gt;G326,D326="Код қәте",E326="Код қәте"),1,0))</x:f>
        <x:v>0</x:v>
      </x:c>
      <x:c r="N326" s="2" t="str">
        <x:f>IF(B326="","",_xlfn.IFNA(INDEX('Клиентлер'!$B$8:$B$31,MATCH(B326,'Клиентлер'!$A$8:$A$31,0)),"Код қәте"))</x:f>
      </x:c>
    </x:row>
    <x:row r="327" ht="40" customHeight="1">
      <x:c r="A327" s="12"/>
      <x:c r="B327" s="10"/>
      <x:c r="C327" s="10"/>
      <x:c r="D327" s="13" t="str">
        <x:f>IF(C327="","",_xlfn.IFNA(INDEX('Күнлик реже'!$D$8:$D$390,MATCH(C327,'Күнлик реже'!$A$8:$A$390,0)),"Код қәте"))</x:f>
      </x:c>
      <x:c r="E327" s="2" t="str">
        <x:f>IF(B327="","",_xlfn.IFNA(INDEX('Клиентлер'!$E$8:$E$31,MATCH(B327,'Клиентлер'!$A$8:$A$31,0)),"Код қәте"))</x:f>
      </x:c>
      <x:c r="F327" s="11"/>
      <x:c r="G327" s="11"/>
      <x:c r="H327" s="11"/>
      <x:c r="I327" s="11"/>
      <x:c r="J327" s="11"/>
      <x:c r="K327" s="10"/>
      <x:c r="L327" s="2" t="n">
        <x:f>IF(COUNTA(A327:C327,F327:K327)=0,0,IF(AND(COUNT(A327:C327)=3,COUNT(F327:J327)=5),0,1))</x:f>
        <x:v>0</x:v>
      </x:c>
      <x:c r="M327" s="2" t="n">
        <x:f>IF(COUNTA(A327:C327,F327:K327)=0,0,IF(OR(H327&gt;F327,I327&gt;G327,D327="Код қәте",E327="Код қәте"),1,0))</x:f>
        <x:v>0</x:v>
      </x:c>
      <x:c r="N327" s="2" t="str">
        <x:f>IF(B327="","",_xlfn.IFNA(INDEX('Клиентлер'!$B$8:$B$31,MATCH(B327,'Клиентлер'!$A$8:$A$31,0)),"Код қәте"))</x:f>
      </x:c>
    </x:row>
    <x:row r="328" ht="40" customHeight="1">
      <x:c r="A328" s="12"/>
      <x:c r="B328" s="10"/>
      <x:c r="C328" s="10"/>
      <x:c r="D328" s="13" t="str">
        <x:f>IF(C328="","",_xlfn.IFNA(INDEX('Күнлик реже'!$D$8:$D$390,MATCH(C328,'Күнлик реже'!$A$8:$A$390,0)),"Код қәте"))</x:f>
      </x:c>
      <x:c r="E328" s="2" t="str">
        <x:f>IF(B328="","",_xlfn.IFNA(INDEX('Клиентлер'!$E$8:$E$31,MATCH(B328,'Клиентлер'!$A$8:$A$31,0)),"Код қәте"))</x:f>
      </x:c>
      <x:c r="F328" s="11"/>
      <x:c r="G328" s="11"/>
      <x:c r="H328" s="11"/>
      <x:c r="I328" s="11"/>
      <x:c r="J328" s="11"/>
      <x:c r="K328" s="10"/>
      <x:c r="L328" s="2" t="n">
        <x:f>IF(COUNTA(A328:C328,F328:K328)=0,0,IF(AND(COUNT(A328:C328)=3,COUNT(F328:J328)=5),0,1))</x:f>
        <x:v>0</x:v>
      </x:c>
      <x:c r="M328" s="2" t="n">
        <x:f>IF(COUNTA(A328:C328,F328:K328)=0,0,IF(OR(H328&gt;F328,I328&gt;G328,D328="Код қәте",E328="Код қәте"),1,0))</x:f>
        <x:v>0</x:v>
      </x:c>
      <x:c r="N328" s="2" t="str">
        <x:f>IF(B328="","",_xlfn.IFNA(INDEX('Клиентлер'!$B$8:$B$31,MATCH(B328,'Клиентлер'!$A$8:$A$31,0)),"Код қәте"))</x:f>
      </x:c>
    </x:row>
    <x:row r="329" ht="40" customHeight="1">
      <x:c r="A329" s="12"/>
      <x:c r="B329" s="10"/>
      <x:c r="C329" s="10"/>
      <x:c r="D329" s="13" t="str">
        <x:f>IF(C329="","",_xlfn.IFNA(INDEX('Күнлик реже'!$D$8:$D$390,MATCH(C329,'Күнлик реже'!$A$8:$A$390,0)),"Код қәте"))</x:f>
      </x:c>
      <x:c r="E329" s="2" t="str">
        <x:f>IF(B329="","",_xlfn.IFNA(INDEX('Клиентлер'!$E$8:$E$31,MATCH(B329,'Клиентлер'!$A$8:$A$31,0)),"Код қәте"))</x:f>
      </x:c>
      <x:c r="F329" s="11"/>
      <x:c r="G329" s="11"/>
      <x:c r="H329" s="11"/>
      <x:c r="I329" s="11"/>
      <x:c r="J329" s="11"/>
      <x:c r="K329" s="10"/>
      <x:c r="L329" s="2" t="n">
        <x:f>IF(COUNTA(A329:C329,F329:K329)=0,0,IF(AND(COUNT(A329:C329)=3,COUNT(F329:J329)=5),0,1))</x:f>
        <x:v>0</x:v>
      </x:c>
      <x:c r="M329" s="2" t="n">
        <x:f>IF(COUNTA(A329:C329,F329:K329)=0,0,IF(OR(H329&gt;F329,I329&gt;G329,D329="Код қәте",E329="Код қәте"),1,0))</x:f>
        <x:v>0</x:v>
      </x:c>
      <x:c r="N329" s="2" t="str">
        <x:f>IF(B329="","",_xlfn.IFNA(INDEX('Клиентлер'!$B$8:$B$31,MATCH(B329,'Клиентлер'!$A$8:$A$31,0)),"Код қәте"))</x:f>
      </x:c>
    </x:row>
    <x:row r="330" ht="40" customHeight="1">
      <x:c r="A330" s="12"/>
      <x:c r="B330" s="10"/>
      <x:c r="C330" s="10"/>
      <x:c r="D330" s="13" t="str">
        <x:f>IF(C330="","",_xlfn.IFNA(INDEX('Күнлик реже'!$D$8:$D$390,MATCH(C330,'Күнлик реже'!$A$8:$A$390,0)),"Код қәте"))</x:f>
      </x:c>
      <x:c r="E330" s="2" t="str">
        <x:f>IF(B330="","",_xlfn.IFNA(INDEX('Клиентлер'!$E$8:$E$31,MATCH(B330,'Клиентлер'!$A$8:$A$31,0)),"Код қәте"))</x:f>
      </x:c>
      <x:c r="F330" s="11"/>
      <x:c r="G330" s="11"/>
      <x:c r="H330" s="11"/>
      <x:c r="I330" s="11"/>
      <x:c r="J330" s="11"/>
      <x:c r="K330" s="10"/>
      <x:c r="L330" s="2" t="n">
        <x:f>IF(COUNTA(A330:C330,F330:K330)=0,0,IF(AND(COUNT(A330:C330)=3,COUNT(F330:J330)=5),0,1))</x:f>
        <x:v>0</x:v>
      </x:c>
      <x:c r="M330" s="2" t="n">
        <x:f>IF(COUNTA(A330:C330,F330:K330)=0,0,IF(OR(H330&gt;F330,I330&gt;G330,D330="Код қәте",E330="Код қәте"),1,0))</x:f>
        <x:v>0</x:v>
      </x:c>
      <x:c r="N330" s="2" t="str">
        <x:f>IF(B330="","",_xlfn.IFNA(INDEX('Клиентлер'!$B$8:$B$31,MATCH(B330,'Клиентлер'!$A$8:$A$31,0)),"Код қәте"))</x:f>
      </x:c>
    </x:row>
    <x:row r="331" ht="40" customHeight="1">
      <x:c r="A331" s="12"/>
      <x:c r="B331" s="10"/>
      <x:c r="C331" s="10"/>
      <x:c r="D331" s="13" t="str">
        <x:f>IF(C331="","",_xlfn.IFNA(INDEX('Күнлик реже'!$D$8:$D$390,MATCH(C331,'Күнлик реже'!$A$8:$A$390,0)),"Код қәте"))</x:f>
      </x:c>
      <x:c r="E331" s="2" t="str">
        <x:f>IF(B331="","",_xlfn.IFNA(INDEX('Клиентлер'!$E$8:$E$31,MATCH(B331,'Клиентлер'!$A$8:$A$31,0)),"Код қәте"))</x:f>
      </x:c>
      <x:c r="F331" s="11"/>
      <x:c r="G331" s="11"/>
      <x:c r="H331" s="11"/>
      <x:c r="I331" s="11"/>
      <x:c r="J331" s="11"/>
      <x:c r="K331" s="10"/>
      <x:c r="L331" s="2" t="n">
        <x:f>IF(COUNTA(A331:C331,F331:K331)=0,0,IF(AND(COUNT(A331:C331)=3,COUNT(F331:J331)=5),0,1))</x:f>
        <x:v>0</x:v>
      </x:c>
      <x:c r="M331" s="2" t="n">
        <x:f>IF(COUNTA(A331:C331,F331:K331)=0,0,IF(OR(H331&gt;F331,I331&gt;G331,D331="Код қәте",E331="Код қәте"),1,0))</x:f>
        <x:v>0</x:v>
      </x:c>
      <x:c r="N331" s="2" t="str">
        <x:f>IF(B331="","",_xlfn.IFNA(INDEX('Клиентлер'!$B$8:$B$31,MATCH(B331,'Клиентлер'!$A$8:$A$31,0)),"Код қәте"))</x:f>
      </x:c>
    </x:row>
    <x:row r="332" ht="40" customHeight="1">
      <x:c r="A332" s="12"/>
      <x:c r="B332" s="10"/>
      <x:c r="C332" s="10"/>
      <x:c r="D332" s="13" t="str">
        <x:f>IF(C332="","",_xlfn.IFNA(INDEX('Күнлик реже'!$D$8:$D$390,MATCH(C332,'Күнлик реже'!$A$8:$A$390,0)),"Код қәте"))</x:f>
      </x:c>
      <x:c r="E332" s="2" t="str">
        <x:f>IF(B332="","",_xlfn.IFNA(INDEX('Клиентлер'!$E$8:$E$31,MATCH(B332,'Клиентлер'!$A$8:$A$31,0)),"Код қәте"))</x:f>
      </x:c>
      <x:c r="F332" s="11"/>
      <x:c r="G332" s="11"/>
      <x:c r="H332" s="11"/>
      <x:c r="I332" s="11"/>
      <x:c r="J332" s="11"/>
      <x:c r="K332" s="10"/>
      <x:c r="L332" s="2" t="n">
        <x:f>IF(COUNTA(A332:C332,F332:K332)=0,0,IF(AND(COUNT(A332:C332)=3,COUNT(F332:J332)=5),0,1))</x:f>
        <x:v>0</x:v>
      </x:c>
      <x:c r="M332" s="2" t="n">
        <x:f>IF(COUNTA(A332:C332,F332:K332)=0,0,IF(OR(H332&gt;F332,I332&gt;G332,D332="Код қәте",E332="Код қәте"),1,0))</x:f>
        <x:v>0</x:v>
      </x:c>
      <x:c r="N332" s="2" t="str">
        <x:f>IF(B332="","",_xlfn.IFNA(INDEX('Клиентлер'!$B$8:$B$31,MATCH(B332,'Клиентлер'!$A$8:$A$31,0)),"Код қәте"))</x:f>
      </x:c>
    </x:row>
    <x:row r="333" ht="40" customHeight="1">
      <x:c r="A333" s="12"/>
      <x:c r="B333" s="10"/>
      <x:c r="C333" s="10"/>
      <x:c r="D333" s="13" t="str">
        <x:f>IF(C333="","",_xlfn.IFNA(INDEX('Күнлик реже'!$D$8:$D$390,MATCH(C333,'Күнлик реже'!$A$8:$A$390,0)),"Код қәте"))</x:f>
      </x:c>
      <x:c r="E333" s="2" t="str">
        <x:f>IF(B333="","",_xlfn.IFNA(INDEX('Клиентлер'!$E$8:$E$31,MATCH(B333,'Клиентлер'!$A$8:$A$31,0)),"Код қәте"))</x:f>
      </x:c>
      <x:c r="F333" s="11"/>
      <x:c r="G333" s="11"/>
      <x:c r="H333" s="11"/>
      <x:c r="I333" s="11"/>
      <x:c r="J333" s="11"/>
      <x:c r="K333" s="10"/>
      <x:c r="L333" s="2" t="n">
        <x:f>IF(COUNTA(A333:C333,F333:K333)=0,0,IF(AND(COUNT(A333:C333)=3,COUNT(F333:J333)=5),0,1))</x:f>
        <x:v>0</x:v>
      </x:c>
      <x:c r="M333" s="2" t="n">
        <x:f>IF(COUNTA(A333:C333,F333:K333)=0,0,IF(OR(H333&gt;F333,I333&gt;G333,D333="Код қәте",E333="Код қәте"),1,0))</x:f>
        <x:v>0</x:v>
      </x:c>
      <x:c r="N333" s="2" t="str">
        <x:f>IF(B333="","",_xlfn.IFNA(INDEX('Клиентлер'!$B$8:$B$31,MATCH(B333,'Клиентлер'!$A$8:$A$31,0)),"Код қәте"))</x:f>
      </x:c>
    </x:row>
    <x:row r="334" ht="40" customHeight="1">
      <x:c r="A334" s="12"/>
      <x:c r="B334" s="10"/>
      <x:c r="C334" s="10"/>
      <x:c r="D334" s="13" t="str">
        <x:f>IF(C334="","",_xlfn.IFNA(INDEX('Күнлик реже'!$D$8:$D$390,MATCH(C334,'Күнлик реже'!$A$8:$A$390,0)),"Код қәте"))</x:f>
      </x:c>
      <x:c r="E334" s="2" t="str">
        <x:f>IF(B334="","",_xlfn.IFNA(INDEX('Клиентлер'!$E$8:$E$31,MATCH(B334,'Клиентлер'!$A$8:$A$31,0)),"Код қәте"))</x:f>
      </x:c>
      <x:c r="F334" s="11"/>
      <x:c r="G334" s="11"/>
      <x:c r="H334" s="11"/>
      <x:c r="I334" s="11"/>
      <x:c r="J334" s="11"/>
      <x:c r="K334" s="10"/>
      <x:c r="L334" s="2" t="n">
        <x:f>IF(COUNTA(A334:C334,F334:K334)=0,0,IF(AND(COUNT(A334:C334)=3,COUNT(F334:J334)=5),0,1))</x:f>
        <x:v>0</x:v>
      </x:c>
      <x:c r="M334" s="2" t="n">
        <x:f>IF(COUNTA(A334:C334,F334:K334)=0,0,IF(OR(H334&gt;F334,I334&gt;G334,D334="Код қәте",E334="Код қәте"),1,0))</x:f>
        <x:v>0</x:v>
      </x:c>
      <x:c r="N334" s="2" t="str">
        <x:f>IF(B334="","",_xlfn.IFNA(INDEX('Клиентлер'!$B$8:$B$31,MATCH(B334,'Клиентлер'!$A$8:$A$31,0)),"Код қәте"))</x:f>
      </x:c>
    </x:row>
    <x:row r="335" ht="40" customHeight="1">
      <x:c r="A335" s="12"/>
      <x:c r="B335" s="10"/>
      <x:c r="C335" s="10"/>
      <x:c r="D335" s="13" t="str">
        <x:f>IF(C335="","",_xlfn.IFNA(INDEX('Күнлик реже'!$D$8:$D$390,MATCH(C335,'Күнлик реже'!$A$8:$A$390,0)),"Код қәте"))</x:f>
      </x:c>
      <x:c r="E335" s="2" t="str">
        <x:f>IF(B335="","",_xlfn.IFNA(INDEX('Клиентлер'!$E$8:$E$31,MATCH(B335,'Клиентлер'!$A$8:$A$31,0)),"Код қәте"))</x:f>
      </x:c>
      <x:c r="F335" s="11"/>
      <x:c r="G335" s="11"/>
      <x:c r="H335" s="11"/>
      <x:c r="I335" s="11"/>
      <x:c r="J335" s="11"/>
      <x:c r="K335" s="10"/>
      <x:c r="L335" s="2" t="n">
        <x:f>IF(COUNTA(A335:C335,F335:K335)=0,0,IF(AND(COUNT(A335:C335)=3,COUNT(F335:J335)=5),0,1))</x:f>
        <x:v>0</x:v>
      </x:c>
      <x:c r="M335" s="2" t="n">
        <x:f>IF(COUNTA(A335:C335,F335:K335)=0,0,IF(OR(H335&gt;F335,I335&gt;G335,D335="Код қәте",E335="Код қәте"),1,0))</x:f>
        <x:v>0</x:v>
      </x:c>
      <x:c r="N335" s="2" t="str">
        <x:f>IF(B335="","",_xlfn.IFNA(INDEX('Клиентлер'!$B$8:$B$31,MATCH(B335,'Клиентлер'!$A$8:$A$31,0)),"Код қәте"))</x:f>
      </x:c>
    </x:row>
    <x:row r="336" ht="40" customHeight="1">
      <x:c r="A336" s="12"/>
      <x:c r="B336" s="10"/>
      <x:c r="C336" s="10"/>
      <x:c r="D336" s="13" t="str">
        <x:f>IF(C336="","",_xlfn.IFNA(INDEX('Күнлик реже'!$D$8:$D$390,MATCH(C336,'Күнлик реже'!$A$8:$A$390,0)),"Код қәте"))</x:f>
      </x:c>
      <x:c r="E336" s="2" t="str">
        <x:f>IF(B336="","",_xlfn.IFNA(INDEX('Клиентлер'!$E$8:$E$31,MATCH(B336,'Клиентлер'!$A$8:$A$31,0)),"Код қәте"))</x:f>
      </x:c>
      <x:c r="F336" s="11"/>
      <x:c r="G336" s="11"/>
      <x:c r="H336" s="11"/>
      <x:c r="I336" s="11"/>
      <x:c r="J336" s="11"/>
      <x:c r="K336" s="10"/>
      <x:c r="L336" s="2" t="n">
        <x:f>IF(COUNTA(A336:C336,F336:K336)=0,0,IF(AND(COUNT(A336:C336)=3,COUNT(F336:J336)=5),0,1))</x:f>
        <x:v>0</x:v>
      </x:c>
      <x:c r="M336" s="2" t="n">
        <x:f>IF(COUNTA(A336:C336,F336:K336)=0,0,IF(OR(H336&gt;F336,I336&gt;G336,D336="Код қәте",E336="Код қәте"),1,0))</x:f>
        <x:v>0</x:v>
      </x:c>
      <x:c r="N336" s="2" t="str">
        <x:f>IF(B336="","",_xlfn.IFNA(INDEX('Клиентлер'!$B$8:$B$31,MATCH(B336,'Клиентлер'!$A$8:$A$31,0)),"Код қәте"))</x:f>
      </x:c>
    </x:row>
    <x:row r="337" ht="40" customHeight="1">
      <x:c r="A337" s="12"/>
      <x:c r="B337" s="10"/>
      <x:c r="C337" s="10"/>
      <x:c r="D337" s="13" t="str">
        <x:f>IF(C337="","",_xlfn.IFNA(INDEX('Күнлик реже'!$D$8:$D$390,MATCH(C337,'Күнлик реже'!$A$8:$A$390,0)),"Код қәте"))</x:f>
      </x:c>
      <x:c r="E337" s="2" t="str">
        <x:f>IF(B337="","",_xlfn.IFNA(INDEX('Клиентлер'!$E$8:$E$31,MATCH(B337,'Клиентлер'!$A$8:$A$31,0)),"Код қәте"))</x:f>
      </x:c>
      <x:c r="F337" s="11"/>
      <x:c r="G337" s="11"/>
      <x:c r="H337" s="11"/>
      <x:c r="I337" s="11"/>
      <x:c r="J337" s="11"/>
      <x:c r="K337" s="10"/>
      <x:c r="L337" s="2" t="n">
        <x:f>IF(COUNTA(A337:C337,F337:K337)=0,0,IF(AND(COUNT(A337:C337)=3,COUNT(F337:J337)=5),0,1))</x:f>
        <x:v>0</x:v>
      </x:c>
      <x:c r="M337" s="2" t="n">
        <x:f>IF(COUNTA(A337:C337,F337:K337)=0,0,IF(OR(H337&gt;F337,I337&gt;G337,D337="Код қәте",E337="Код қәте"),1,0))</x:f>
        <x:v>0</x:v>
      </x:c>
      <x:c r="N337" s="2" t="str">
        <x:f>IF(B337="","",_xlfn.IFNA(INDEX('Клиентлер'!$B$8:$B$31,MATCH(B337,'Клиентлер'!$A$8:$A$31,0)),"Код қәте"))</x:f>
      </x:c>
    </x:row>
    <x:row r="338" ht="40" customHeight="1">
      <x:c r="A338" s="12"/>
      <x:c r="B338" s="10"/>
      <x:c r="C338" s="10"/>
      <x:c r="D338" s="13" t="str">
        <x:f>IF(C338="","",_xlfn.IFNA(INDEX('Күнлик реже'!$D$8:$D$390,MATCH(C338,'Күнлик реже'!$A$8:$A$390,0)),"Код қәте"))</x:f>
      </x:c>
      <x:c r="E338" s="2" t="str">
        <x:f>IF(B338="","",_xlfn.IFNA(INDEX('Клиентлер'!$E$8:$E$31,MATCH(B338,'Клиентлер'!$A$8:$A$31,0)),"Код қәте"))</x:f>
      </x:c>
      <x:c r="F338" s="11"/>
      <x:c r="G338" s="11"/>
      <x:c r="H338" s="11"/>
      <x:c r="I338" s="11"/>
      <x:c r="J338" s="11"/>
      <x:c r="K338" s="10"/>
      <x:c r="L338" s="2" t="n">
        <x:f>IF(COUNTA(A338:C338,F338:K338)=0,0,IF(AND(COUNT(A338:C338)=3,COUNT(F338:J338)=5),0,1))</x:f>
        <x:v>0</x:v>
      </x:c>
      <x:c r="M338" s="2" t="n">
        <x:f>IF(COUNTA(A338:C338,F338:K338)=0,0,IF(OR(H338&gt;F338,I338&gt;G338,D338="Код қәте",E338="Код қәте"),1,0))</x:f>
        <x:v>0</x:v>
      </x:c>
      <x:c r="N338" s="2" t="str">
        <x:f>IF(B338="","",_xlfn.IFNA(INDEX('Клиентлер'!$B$8:$B$31,MATCH(B338,'Клиентлер'!$A$8:$A$31,0)),"Код қәте"))</x:f>
      </x:c>
    </x:row>
    <x:row r="339" ht="40" customHeight="1">
      <x:c r="A339" s="12"/>
      <x:c r="B339" s="10"/>
      <x:c r="C339" s="10"/>
      <x:c r="D339" s="13" t="str">
        <x:f>IF(C339="","",_xlfn.IFNA(INDEX('Күнлик реже'!$D$8:$D$390,MATCH(C339,'Күнлик реже'!$A$8:$A$390,0)),"Код қәте"))</x:f>
      </x:c>
      <x:c r="E339" s="2" t="str">
        <x:f>IF(B339="","",_xlfn.IFNA(INDEX('Клиентлер'!$E$8:$E$31,MATCH(B339,'Клиентлер'!$A$8:$A$31,0)),"Код қәте"))</x:f>
      </x:c>
      <x:c r="F339" s="11"/>
      <x:c r="G339" s="11"/>
      <x:c r="H339" s="11"/>
      <x:c r="I339" s="11"/>
      <x:c r="J339" s="11"/>
      <x:c r="K339" s="10"/>
      <x:c r="L339" s="2" t="n">
        <x:f>IF(COUNTA(A339:C339,F339:K339)=0,0,IF(AND(COUNT(A339:C339)=3,COUNT(F339:J339)=5),0,1))</x:f>
        <x:v>0</x:v>
      </x:c>
      <x:c r="M339" s="2" t="n">
        <x:f>IF(COUNTA(A339:C339,F339:K339)=0,0,IF(OR(H339&gt;F339,I339&gt;G339,D339="Код қәте",E339="Код қәте"),1,0))</x:f>
        <x:v>0</x:v>
      </x:c>
      <x:c r="N339" s="2" t="str">
        <x:f>IF(B339="","",_xlfn.IFNA(INDEX('Клиентлер'!$B$8:$B$31,MATCH(B339,'Клиентлер'!$A$8:$A$31,0)),"Код қәте"))</x:f>
      </x:c>
    </x:row>
    <x:row r="340" ht="40" customHeight="1">
      <x:c r="A340" s="12"/>
      <x:c r="B340" s="10"/>
      <x:c r="C340" s="10"/>
      <x:c r="D340" s="13" t="str">
        <x:f>IF(C340="","",_xlfn.IFNA(INDEX('Күнлик реже'!$D$8:$D$390,MATCH(C340,'Күнлик реже'!$A$8:$A$390,0)),"Код қәте"))</x:f>
      </x:c>
      <x:c r="E340" s="2" t="str">
        <x:f>IF(B340="","",_xlfn.IFNA(INDEX('Клиентлер'!$E$8:$E$31,MATCH(B340,'Клиентлер'!$A$8:$A$31,0)),"Код қәте"))</x:f>
      </x:c>
      <x:c r="F340" s="11"/>
      <x:c r="G340" s="11"/>
      <x:c r="H340" s="11"/>
      <x:c r="I340" s="11"/>
      <x:c r="J340" s="11"/>
      <x:c r="K340" s="10"/>
      <x:c r="L340" s="2" t="n">
        <x:f>IF(COUNTA(A340:C340,F340:K340)=0,0,IF(AND(COUNT(A340:C340)=3,COUNT(F340:J340)=5),0,1))</x:f>
        <x:v>0</x:v>
      </x:c>
      <x:c r="M340" s="2" t="n">
        <x:f>IF(COUNTA(A340:C340,F340:K340)=0,0,IF(OR(H340&gt;F340,I340&gt;G340,D340="Код қәте",E340="Код қәте"),1,0))</x:f>
        <x:v>0</x:v>
      </x:c>
      <x:c r="N340" s="2" t="str">
        <x:f>IF(B340="","",_xlfn.IFNA(INDEX('Клиентлер'!$B$8:$B$31,MATCH(B340,'Клиентлер'!$A$8:$A$31,0)),"Код қәте"))</x:f>
      </x:c>
    </x:row>
    <x:row r="341" ht="40" customHeight="1">
      <x:c r="A341" s="12"/>
      <x:c r="B341" s="10"/>
      <x:c r="C341" s="10"/>
      <x:c r="D341" s="13" t="str">
        <x:f>IF(C341="","",_xlfn.IFNA(INDEX('Күнлик реже'!$D$8:$D$390,MATCH(C341,'Күнлик реже'!$A$8:$A$390,0)),"Код қәте"))</x:f>
      </x:c>
      <x:c r="E341" s="2" t="str">
        <x:f>IF(B341="","",_xlfn.IFNA(INDEX('Клиентлер'!$E$8:$E$31,MATCH(B341,'Клиентлер'!$A$8:$A$31,0)),"Код қәте"))</x:f>
      </x:c>
      <x:c r="F341" s="11"/>
      <x:c r="G341" s="11"/>
      <x:c r="H341" s="11"/>
      <x:c r="I341" s="11"/>
      <x:c r="J341" s="11"/>
      <x:c r="K341" s="10"/>
      <x:c r="L341" s="2" t="n">
        <x:f>IF(COUNTA(A341:C341,F341:K341)=0,0,IF(AND(COUNT(A341:C341)=3,COUNT(F341:J341)=5),0,1))</x:f>
        <x:v>0</x:v>
      </x:c>
      <x:c r="M341" s="2" t="n">
        <x:f>IF(COUNTA(A341:C341,F341:K341)=0,0,IF(OR(H341&gt;F341,I341&gt;G341,D341="Код қәте",E341="Код қәте"),1,0))</x:f>
        <x:v>0</x:v>
      </x:c>
      <x:c r="N341" s="2" t="str">
        <x:f>IF(B341="","",_xlfn.IFNA(INDEX('Клиентлер'!$B$8:$B$31,MATCH(B341,'Клиентлер'!$A$8:$A$31,0)),"Код қәте"))</x:f>
      </x:c>
    </x:row>
    <x:row r="342" ht="40" customHeight="1">
      <x:c r="A342" s="12"/>
      <x:c r="B342" s="10"/>
      <x:c r="C342" s="10"/>
      <x:c r="D342" s="13" t="str">
        <x:f>IF(C342="","",_xlfn.IFNA(INDEX('Күнлик реже'!$D$8:$D$390,MATCH(C342,'Күнлик реже'!$A$8:$A$390,0)),"Код қәте"))</x:f>
      </x:c>
      <x:c r="E342" s="2" t="str">
        <x:f>IF(B342="","",_xlfn.IFNA(INDEX('Клиентлер'!$E$8:$E$31,MATCH(B342,'Клиентлер'!$A$8:$A$31,0)),"Код қәте"))</x:f>
      </x:c>
      <x:c r="F342" s="11"/>
      <x:c r="G342" s="11"/>
      <x:c r="H342" s="11"/>
      <x:c r="I342" s="11"/>
      <x:c r="J342" s="11"/>
      <x:c r="K342" s="10"/>
      <x:c r="L342" s="2" t="n">
        <x:f>IF(COUNTA(A342:C342,F342:K342)=0,0,IF(AND(COUNT(A342:C342)=3,COUNT(F342:J342)=5),0,1))</x:f>
        <x:v>0</x:v>
      </x:c>
      <x:c r="M342" s="2" t="n">
        <x:f>IF(COUNTA(A342:C342,F342:K342)=0,0,IF(OR(H342&gt;F342,I342&gt;G342,D342="Код қәте",E342="Код қәте"),1,0))</x:f>
        <x:v>0</x:v>
      </x:c>
      <x:c r="N342" s="2" t="str">
        <x:f>IF(B342="","",_xlfn.IFNA(INDEX('Клиентлер'!$B$8:$B$31,MATCH(B342,'Клиентлер'!$A$8:$A$31,0)),"Код қәте"))</x:f>
      </x:c>
    </x:row>
    <x:row r="343" ht="40" customHeight="1">
      <x:c r="A343" s="12"/>
      <x:c r="B343" s="10"/>
      <x:c r="C343" s="10"/>
      <x:c r="D343" s="13" t="str">
        <x:f>IF(C343="","",_xlfn.IFNA(INDEX('Күнлик реже'!$D$8:$D$390,MATCH(C343,'Күнлик реже'!$A$8:$A$390,0)),"Код қәте"))</x:f>
      </x:c>
      <x:c r="E343" s="2" t="str">
        <x:f>IF(B343="","",_xlfn.IFNA(INDEX('Клиентлер'!$E$8:$E$31,MATCH(B343,'Клиентлер'!$A$8:$A$31,0)),"Код қәте"))</x:f>
      </x:c>
      <x:c r="F343" s="11"/>
      <x:c r="G343" s="11"/>
      <x:c r="H343" s="11"/>
      <x:c r="I343" s="11"/>
      <x:c r="J343" s="11"/>
      <x:c r="K343" s="10"/>
      <x:c r="L343" s="2" t="n">
        <x:f>IF(COUNTA(A343:C343,F343:K343)=0,0,IF(AND(COUNT(A343:C343)=3,COUNT(F343:J343)=5),0,1))</x:f>
        <x:v>0</x:v>
      </x:c>
      <x:c r="M343" s="2" t="n">
        <x:f>IF(COUNTA(A343:C343,F343:K343)=0,0,IF(OR(H343&gt;F343,I343&gt;G343,D343="Код қәте",E343="Код қәте"),1,0))</x:f>
        <x:v>0</x:v>
      </x:c>
      <x:c r="N343" s="2" t="str">
        <x:f>IF(B343="","",_xlfn.IFNA(INDEX('Клиентлер'!$B$8:$B$31,MATCH(B343,'Клиентлер'!$A$8:$A$31,0)),"Код қәте"))</x:f>
      </x:c>
    </x:row>
    <x:row r="344" ht="40" customHeight="1">
      <x:c r="A344" s="12"/>
      <x:c r="B344" s="10"/>
      <x:c r="C344" s="10"/>
      <x:c r="D344" s="13" t="str">
        <x:f>IF(C344="","",_xlfn.IFNA(INDEX('Күнлик реже'!$D$8:$D$390,MATCH(C344,'Күнлик реже'!$A$8:$A$390,0)),"Код қәте"))</x:f>
      </x:c>
      <x:c r="E344" s="2" t="str">
        <x:f>IF(B344="","",_xlfn.IFNA(INDEX('Клиентлер'!$E$8:$E$31,MATCH(B344,'Клиентлер'!$A$8:$A$31,0)),"Код қәте"))</x:f>
      </x:c>
      <x:c r="F344" s="11"/>
      <x:c r="G344" s="11"/>
      <x:c r="H344" s="11"/>
      <x:c r="I344" s="11"/>
      <x:c r="J344" s="11"/>
      <x:c r="K344" s="10"/>
      <x:c r="L344" s="2" t="n">
        <x:f>IF(COUNTA(A344:C344,F344:K344)=0,0,IF(AND(COUNT(A344:C344)=3,COUNT(F344:J344)=5),0,1))</x:f>
        <x:v>0</x:v>
      </x:c>
      <x:c r="M344" s="2" t="n">
        <x:f>IF(COUNTA(A344:C344,F344:K344)=0,0,IF(OR(H344&gt;F344,I344&gt;G344,D344="Код қәте",E344="Код қәте"),1,0))</x:f>
        <x:v>0</x:v>
      </x:c>
      <x:c r="N344" s="2" t="str">
        <x:f>IF(B344="","",_xlfn.IFNA(INDEX('Клиентлер'!$B$8:$B$31,MATCH(B344,'Клиентлер'!$A$8:$A$31,0)),"Код қәте"))</x:f>
      </x:c>
    </x:row>
    <x:row r="345" ht="40" customHeight="1">
      <x:c r="A345" s="12"/>
      <x:c r="B345" s="10"/>
      <x:c r="C345" s="10"/>
      <x:c r="D345" s="13" t="str">
        <x:f>IF(C345="","",_xlfn.IFNA(INDEX('Күнлик реже'!$D$8:$D$390,MATCH(C345,'Күнлик реже'!$A$8:$A$390,0)),"Код қәте"))</x:f>
      </x:c>
      <x:c r="E345" s="2" t="str">
        <x:f>IF(B345="","",_xlfn.IFNA(INDEX('Клиентлер'!$E$8:$E$31,MATCH(B345,'Клиентлер'!$A$8:$A$31,0)),"Код қәте"))</x:f>
      </x:c>
      <x:c r="F345" s="11"/>
      <x:c r="G345" s="11"/>
      <x:c r="H345" s="11"/>
      <x:c r="I345" s="11"/>
      <x:c r="J345" s="11"/>
      <x:c r="K345" s="10"/>
      <x:c r="L345" s="2" t="n">
        <x:f>IF(COUNTA(A345:C345,F345:K345)=0,0,IF(AND(COUNT(A345:C345)=3,COUNT(F345:J345)=5),0,1))</x:f>
        <x:v>0</x:v>
      </x:c>
      <x:c r="M345" s="2" t="n">
        <x:f>IF(COUNTA(A345:C345,F345:K345)=0,0,IF(OR(H345&gt;F345,I345&gt;G345,D345="Код қәте",E345="Код қәте"),1,0))</x:f>
        <x:v>0</x:v>
      </x:c>
      <x:c r="N345" s="2" t="str">
        <x:f>IF(B345="","",_xlfn.IFNA(INDEX('Клиентлер'!$B$8:$B$31,MATCH(B345,'Клиентлер'!$A$8:$A$31,0)),"Код қәте"))</x:f>
      </x:c>
    </x:row>
    <x:row r="346" ht="40" customHeight="1">
      <x:c r="A346" s="12"/>
      <x:c r="B346" s="10"/>
      <x:c r="C346" s="10"/>
      <x:c r="D346" s="13" t="str">
        <x:f>IF(C346="","",_xlfn.IFNA(INDEX('Күнлик реже'!$D$8:$D$390,MATCH(C346,'Күнлик реже'!$A$8:$A$390,0)),"Код қәте"))</x:f>
      </x:c>
      <x:c r="E346" s="2" t="str">
        <x:f>IF(B346="","",_xlfn.IFNA(INDEX('Клиентлер'!$E$8:$E$31,MATCH(B346,'Клиентлер'!$A$8:$A$31,0)),"Код қәте"))</x:f>
      </x:c>
      <x:c r="F346" s="11"/>
      <x:c r="G346" s="11"/>
      <x:c r="H346" s="11"/>
      <x:c r="I346" s="11"/>
      <x:c r="J346" s="11"/>
      <x:c r="K346" s="10"/>
      <x:c r="L346" s="2" t="n">
        <x:f>IF(COUNTA(A346:C346,F346:K346)=0,0,IF(AND(COUNT(A346:C346)=3,COUNT(F346:J346)=5),0,1))</x:f>
        <x:v>0</x:v>
      </x:c>
      <x:c r="M346" s="2" t="n">
        <x:f>IF(COUNTA(A346:C346,F346:K346)=0,0,IF(OR(H346&gt;F346,I346&gt;G346,D346="Код қәте",E346="Код қәте"),1,0))</x:f>
        <x:v>0</x:v>
      </x:c>
      <x:c r="N346" s="2" t="str">
        <x:f>IF(B346="","",_xlfn.IFNA(INDEX('Клиентлер'!$B$8:$B$31,MATCH(B346,'Клиентлер'!$A$8:$A$31,0)),"Код қәте"))</x:f>
      </x:c>
    </x:row>
    <x:row r="347" ht="40" customHeight="1">
      <x:c r="A347" s="12"/>
      <x:c r="B347" s="10"/>
      <x:c r="C347" s="10"/>
      <x:c r="D347" s="13" t="str">
        <x:f>IF(C347="","",_xlfn.IFNA(INDEX('Күнлик реже'!$D$8:$D$390,MATCH(C347,'Күнлик реже'!$A$8:$A$390,0)),"Код қәте"))</x:f>
      </x:c>
      <x:c r="E347" s="2" t="str">
        <x:f>IF(B347="","",_xlfn.IFNA(INDEX('Клиентлер'!$E$8:$E$31,MATCH(B347,'Клиентлер'!$A$8:$A$31,0)),"Код қәте"))</x:f>
      </x:c>
      <x:c r="F347" s="11"/>
      <x:c r="G347" s="11"/>
      <x:c r="H347" s="11"/>
      <x:c r="I347" s="11"/>
      <x:c r="J347" s="11"/>
      <x:c r="K347" s="10"/>
      <x:c r="L347" s="2" t="n">
        <x:f>IF(COUNTA(A347:C347,F347:K347)=0,0,IF(AND(COUNT(A347:C347)=3,COUNT(F347:J347)=5),0,1))</x:f>
        <x:v>0</x:v>
      </x:c>
      <x:c r="M347" s="2" t="n">
        <x:f>IF(COUNTA(A347:C347,F347:K347)=0,0,IF(OR(H347&gt;F347,I347&gt;G347,D347="Код қәте",E347="Код қәте"),1,0))</x:f>
        <x:v>0</x:v>
      </x:c>
      <x:c r="N347" s="2" t="str">
        <x:f>IF(B347="","",_xlfn.IFNA(INDEX('Клиентлер'!$B$8:$B$31,MATCH(B347,'Клиентлер'!$A$8:$A$31,0)),"Код қәте"))</x:f>
      </x:c>
    </x:row>
    <x:row r="348" ht="40" customHeight="1">
      <x:c r="A348" s="12"/>
      <x:c r="B348" s="10"/>
      <x:c r="C348" s="10"/>
      <x:c r="D348" s="13" t="str">
        <x:f>IF(C348="","",_xlfn.IFNA(INDEX('Күнлик реже'!$D$8:$D$390,MATCH(C348,'Күнлик реже'!$A$8:$A$390,0)),"Код қәте"))</x:f>
      </x:c>
      <x:c r="E348" s="2" t="str">
        <x:f>IF(B348="","",_xlfn.IFNA(INDEX('Клиентлер'!$E$8:$E$31,MATCH(B348,'Клиентлер'!$A$8:$A$31,0)),"Код қәте"))</x:f>
      </x:c>
      <x:c r="F348" s="11"/>
      <x:c r="G348" s="11"/>
      <x:c r="H348" s="11"/>
      <x:c r="I348" s="11"/>
      <x:c r="J348" s="11"/>
      <x:c r="K348" s="10"/>
      <x:c r="L348" s="2" t="n">
        <x:f>IF(COUNTA(A348:C348,F348:K348)=0,0,IF(AND(COUNT(A348:C348)=3,COUNT(F348:J348)=5),0,1))</x:f>
        <x:v>0</x:v>
      </x:c>
      <x:c r="M348" s="2" t="n">
        <x:f>IF(COUNTA(A348:C348,F348:K348)=0,0,IF(OR(H348&gt;F348,I348&gt;G348,D348="Код қәте",E348="Код қәте"),1,0))</x:f>
        <x:v>0</x:v>
      </x:c>
      <x:c r="N348" s="2" t="str">
        <x:f>IF(B348="","",_xlfn.IFNA(INDEX('Клиентлер'!$B$8:$B$31,MATCH(B348,'Клиентлер'!$A$8:$A$31,0)),"Код қәте"))</x:f>
      </x:c>
    </x:row>
    <x:row r="349" ht="40" customHeight="1">
      <x:c r="A349" s="12"/>
      <x:c r="B349" s="10"/>
      <x:c r="C349" s="10"/>
      <x:c r="D349" s="13" t="str">
        <x:f>IF(C349="","",_xlfn.IFNA(INDEX('Күнлик реже'!$D$8:$D$390,MATCH(C349,'Күнлик реже'!$A$8:$A$390,0)),"Код қәте"))</x:f>
      </x:c>
      <x:c r="E349" s="2" t="str">
        <x:f>IF(B349="","",_xlfn.IFNA(INDEX('Клиентлер'!$E$8:$E$31,MATCH(B349,'Клиентлер'!$A$8:$A$31,0)),"Код қәте"))</x:f>
      </x:c>
      <x:c r="F349" s="11"/>
      <x:c r="G349" s="11"/>
      <x:c r="H349" s="11"/>
      <x:c r="I349" s="11"/>
      <x:c r="J349" s="11"/>
      <x:c r="K349" s="10"/>
      <x:c r="L349" s="2" t="n">
        <x:f>IF(COUNTA(A349:C349,F349:K349)=0,0,IF(AND(COUNT(A349:C349)=3,COUNT(F349:J349)=5),0,1))</x:f>
        <x:v>0</x:v>
      </x:c>
      <x:c r="M349" s="2" t="n">
        <x:f>IF(COUNTA(A349:C349,F349:K349)=0,0,IF(OR(H349&gt;F349,I349&gt;G349,D349="Код қәте",E349="Код қәте"),1,0))</x:f>
        <x:v>0</x:v>
      </x:c>
      <x:c r="N349" s="2" t="str">
        <x:f>IF(B349="","",_xlfn.IFNA(INDEX('Клиентлер'!$B$8:$B$31,MATCH(B349,'Клиентлер'!$A$8:$A$31,0)),"Код қәте"))</x:f>
      </x:c>
    </x:row>
    <x:row r="350" ht="40" customHeight="1">
      <x:c r="A350" s="12"/>
      <x:c r="B350" s="10"/>
      <x:c r="C350" s="10"/>
      <x:c r="D350" s="13" t="str">
        <x:f>IF(C350="","",_xlfn.IFNA(INDEX('Күнлик реже'!$D$8:$D$390,MATCH(C350,'Күнлик реже'!$A$8:$A$390,0)),"Код қәте"))</x:f>
      </x:c>
      <x:c r="E350" s="2" t="str">
        <x:f>IF(B350="","",_xlfn.IFNA(INDEX('Клиентлер'!$E$8:$E$31,MATCH(B350,'Клиентлер'!$A$8:$A$31,0)),"Код қәте"))</x:f>
      </x:c>
      <x:c r="F350" s="11"/>
      <x:c r="G350" s="11"/>
      <x:c r="H350" s="11"/>
      <x:c r="I350" s="11"/>
      <x:c r="J350" s="11"/>
      <x:c r="K350" s="10"/>
      <x:c r="L350" s="2" t="n">
        <x:f>IF(COUNTA(A350:C350,F350:K350)=0,0,IF(AND(COUNT(A350:C350)=3,COUNT(F350:J350)=5),0,1))</x:f>
        <x:v>0</x:v>
      </x:c>
      <x:c r="M350" s="2" t="n">
        <x:f>IF(COUNTA(A350:C350,F350:K350)=0,0,IF(OR(H350&gt;F350,I350&gt;G350,D350="Код қәте",E350="Код қәте"),1,0))</x:f>
        <x:v>0</x:v>
      </x:c>
      <x:c r="N350" s="2" t="str">
        <x:f>IF(B350="","",_xlfn.IFNA(INDEX('Клиентлер'!$B$8:$B$31,MATCH(B350,'Клиентлер'!$A$8:$A$31,0)),"Код қәте"))</x:f>
      </x:c>
    </x:row>
    <x:row r="351" ht="40" customHeight="1">
      <x:c r="A351" s="12"/>
      <x:c r="B351" s="10"/>
      <x:c r="C351" s="10"/>
      <x:c r="D351" s="13" t="str">
        <x:f>IF(C351="","",_xlfn.IFNA(INDEX('Күнлик реже'!$D$8:$D$390,MATCH(C351,'Күнлик реже'!$A$8:$A$390,0)),"Код қәте"))</x:f>
      </x:c>
      <x:c r="E351" s="2" t="str">
        <x:f>IF(B351="","",_xlfn.IFNA(INDEX('Клиентлер'!$E$8:$E$31,MATCH(B351,'Клиентлер'!$A$8:$A$31,0)),"Код қәте"))</x:f>
      </x:c>
      <x:c r="F351" s="11"/>
      <x:c r="G351" s="11"/>
      <x:c r="H351" s="11"/>
      <x:c r="I351" s="11"/>
      <x:c r="J351" s="11"/>
      <x:c r="K351" s="10"/>
      <x:c r="L351" s="2" t="n">
        <x:f>IF(COUNTA(A351:C351,F351:K351)=0,0,IF(AND(COUNT(A351:C351)=3,COUNT(F351:J351)=5),0,1))</x:f>
        <x:v>0</x:v>
      </x:c>
      <x:c r="M351" s="2" t="n">
        <x:f>IF(COUNTA(A351:C351,F351:K351)=0,0,IF(OR(H351&gt;F351,I351&gt;G351,D351="Код қәте",E351="Код қәте"),1,0))</x:f>
        <x:v>0</x:v>
      </x:c>
      <x:c r="N351" s="2" t="str">
        <x:f>IF(B351="","",_xlfn.IFNA(INDEX('Клиентлер'!$B$8:$B$31,MATCH(B351,'Клиентлер'!$A$8:$A$31,0)),"Код қәте"))</x:f>
      </x:c>
    </x:row>
    <x:row r="352" ht="40" customHeight="1">
      <x:c r="A352" s="12"/>
      <x:c r="B352" s="10"/>
      <x:c r="C352" s="10"/>
      <x:c r="D352" s="13" t="str">
        <x:f>IF(C352="","",_xlfn.IFNA(INDEX('Күнлик реже'!$D$8:$D$390,MATCH(C352,'Күнлик реже'!$A$8:$A$390,0)),"Код қәте"))</x:f>
      </x:c>
      <x:c r="E352" s="2" t="str">
        <x:f>IF(B352="","",_xlfn.IFNA(INDEX('Клиентлер'!$E$8:$E$31,MATCH(B352,'Клиентлер'!$A$8:$A$31,0)),"Код қәте"))</x:f>
      </x:c>
      <x:c r="F352" s="11"/>
      <x:c r="G352" s="11"/>
      <x:c r="H352" s="11"/>
      <x:c r="I352" s="11"/>
      <x:c r="J352" s="11"/>
      <x:c r="K352" s="10"/>
      <x:c r="L352" s="2" t="n">
        <x:f>IF(COUNTA(A352:C352,F352:K352)=0,0,IF(AND(COUNT(A352:C352)=3,COUNT(F352:J352)=5),0,1))</x:f>
        <x:v>0</x:v>
      </x:c>
      <x:c r="M352" s="2" t="n">
        <x:f>IF(COUNTA(A352:C352,F352:K352)=0,0,IF(OR(H352&gt;F352,I352&gt;G352,D352="Код қәте",E352="Код қәте"),1,0))</x:f>
        <x:v>0</x:v>
      </x:c>
      <x:c r="N352" s="2" t="str">
        <x:f>IF(B352="","",_xlfn.IFNA(INDEX('Клиентлер'!$B$8:$B$31,MATCH(B352,'Клиентлер'!$A$8:$A$31,0)),"Код қәте"))</x:f>
      </x:c>
    </x:row>
    <x:row r="353" ht="40" customHeight="1">
      <x:c r="A353" s="12"/>
      <x:c r="B353" s="10"/>
      <x:c r="C353" s="10"/>
      <x:c r="D353" s="13" t="str">
        <x:f>IF(C353="","",_xlfn.IFNA(INDEX('Күнлик реже'!$D$8:$D$390,MATCH(C353,'Күнлик реже'!$A$8:$A$390,0)),"Код қәте"))</x:f>
      </x:c>
      <x:c r="E353" s="2" t="str">
        <x:f>IF(B353="","",_xlfn.IFNA(INDEX('Клиентлер'!$E$8:$E$31,MATCH(B353,'Клиентлер'!$A$8:$A$31,0)),"Код қәте"))</x:f>
      </x:c>
      <x:c r="F353" s="11"/>
      <x:c r="G353" s="11"/>
      <x:c r="H353" s="11"/>
      <x:c r="I353" s="11"/>
      <x:c r="J353" s="11"/>
      <x:c r="K353" s="10"/>
      <x:c r="L353" s="2" t="n">
        <x:f>IF(COUNTA(A353:C353,F353:K353)=0,0,IF(AND(COUNT(A353:C353)=3,COUNT(F353:J353)=5),0,1))</x:f>
        <x:v>0</x:v>
      </x:c>
      <x:c r="M353" s="2" t="n">
        <x:f>IF(COUNTA(A353:C353,F353:K353)=0,0,IF(OR(H353&gt;F353,I353&gt;G353,D353="Код қәте",E353="Код қәте"),1,0))</x:f>
        <x:v>0</x:v>
      </x:c>
      <x:c r="N353" s="2" t="str">
        <x:f>IF(B353="","",_xlfn.IFNA(INDEX('Клиентлер'!$B$8:$B$31,MATCH(B353,'Клиентлер'!$A$8:$A$31,0)),"Код қәте"))</x:f>
      </x:c>
    </x:row>
    <x:row r="354" ht="40" customHeight="1">
      <x:c r="A354" s="12"/>
      <x:c r="B354" s="10"/>
      <x:c r="C354" s="10"/>
      <x:c r="D354" s="13" t="str">
        <x:f>IF(C354="","",_xlfn.IFNA(INDEX('Күнлик реже'!$D$8:$D$390,MATCH(C354,'Күнлик реже'!$A$8:$A$390,0)),"Код қәте"))</x:f>
      </x:c>
      <x:c r="E354" s="2" t="str">
        <x:f>IF(B354="","",_xlfn.IFNA(INDEX('Клиентлер'!$E$8:$E$31,MATCH(B354,'Клиентлер'!$A$8:$A$31,0)),"Код қәте"))</x:f>
      </x:c>
      <x:c r="F354" s="11"/>
      <x:c r="G354" s="11"/>
      <x:c r="H354" s="11"/>
      <x:c r="I354" s="11"/>
      <x:c r="J354" s="11"/>
      <x:c r="K354" s="10"/>
      <x:c r="L354" s="2" t="n">
        <x:f>IF(COUNTA(A354:C354,F354:K354)=0,0,IF(AND(COUNT(A354:C354)=3,COUNT(F354:J354)=5),0,1))</x:f>
        <x:v>0</x:v>
      </x:c>
      <x:c r="M354" s="2" t="n">
        <x:f>IF(COUNTA(A354:C354,F354:K354)=0,0,IF(OR(H354&gt;F354,I354&gt;G354,D354="Код қәте",E354="Код қәте"),1,0))</x:f>
        <x:v>0</x:v>
      </x:c>
      <x:c r="N354" s="2" t="str">
        <x:f>IF(B354="","",_xlfn.IFNA(INDEX('Клиентлер'!$B$8:$B$31,MATCH(B354,'Клиентлер'!$A$8:$A$31,0)),"Код қәте"))</x:f>
      </x:c>
    </x:row>
    <x:row r="355" ht="40" customHeight="1">
      <x:c r="A355" s="12"/>
      <x:c r="B355" s="10"/>
      <x:c r="C355" s="10"/>
      <x:c r="D355" s="13" t="str">
        <x:f>IF(C355="","",_xlfn.IFNA(INDEX('Күнлик реже'!$D$8:$D$390,MATCH(C355,'Күнлик реже'!$A$8:$A$390,0)),"Код қәте"))</x:f>
      </x:c>
      <x:c r="E355" s="2" t="str">
        <x:f>IF(B355="","",_xlfn.IFNA(INDEX('Клиентлер'!$E$8:$E$31,MATCH(B355,'Клиентлер'!$A$8:$A$31,0)),"Код қәте"))</x:f>
      </x:c>
      <x:c r="F355" s="11"/>
      <x:c r="G355" s="11"/>
      <x:c r="H355" s="11"/>
      <x:c r="I355" s="11"/>
      <x:c r="J355" s="11"/>
      <x:c r="K355" s="10"/>
      <x:c r="L355" s="2" t="n">
        <x:f>IF(COUNTA(A355:C355,F355:K355)=0,0,IF(AND(COUNT(A355:C355)=3,COUNT(F355:J355)=5),0,1))</x:f>
        <x:v>0</x:v>
      </x:c>
      <x:c r="M355" s="2" t="n">
        <x:f>IF(COUNTA(A355:C355,F355:K355)=0,0,IF(OR(H355&gt;F355,I355&gt;G355,D355="Код қәте",E355="Код қәте"),1,0))</x:f>
        <x:v>0</x:v>
      </x:c>
      <x:c r="N355" s="2" t="str">
        <x:f>IF(B355="","",_xlfn.IFNA(INDEX('Клиентлер'!$B$8:$B$31,MATCH(B355,'Клиентлер'!$A$8:$A$31,0)),"Код қәте"))</x:f>
      </x:c>
    </x:row>
    <x:row r="356" ht="40" customHeight="1">
      <x:c r="A356" s="12"/>
      <x:c r="B356" s="10"/>
      <x:c r="C356" s="10"/>
      <x:c r="D356" s="13" t="str">
        <x:f>IF(C356="","",_xlfn.IFNA(INDEX('Күнлик реже'!$D$8:$D$390,MATCH(C356,'Күнлик реже'!$A$8:$A$390,0)),"Код қәте"))</x:f>
      </x:c>
      <x:c r="E356" s="2" t="str">
        <x:f>IF(B356="","",_xlfn.IFNA(INDEX('Клиентлер'!$E$8:$E$31,MATCH(B356,'Клиентлер'!$A$8:$A$31,0)),"Код қәте"))</x:f>
      </x:c>
      <x:c r="F356" s="11"/>
      <x:c r="G356" s="11"/>
      <x:c r="H356" s="11"/>
      <x:c r="I356" s="11"/>
      <x:c r="J356" s="11"/>
      <x:c r="K356" s="10"/>
      <x:c r="L356" s="2" t="n">
        <x:f>IF(COUNTA(A356:C356,F356:K356)=0,0,IF(AND(COUNT(A356:C356)=3,COUNT(F356:J356)=5),0,1))</x:f>
        <x:v>0</x:v>
      </x:c>
      <x:c r="M356" s="2" t="n">
        <x:f>IF(COUNTA(A356:C356,F356:K356)=0,0,IF(OR(H356&gt;F356,I356&gt;G356,D356="Код қәте",E356="Код қәте"),1,0))</x:f>
        <x:v>0</x:v>
      </x:c>
      <x:c r="N356" s="2" t="str">
        <x:f>IF(B356="","",_xlfn.IFNA(INDEX('Клиентлер'!$B$8:$B$31,MATCH(B356,'Клиентлер'!$A$8:$A$31,0)),"Код қәте"))</x:f>
      </x:c>
    </x:row>
    <x:row r="357" ht="40" customHeight="1">
      <x:c r="A357" s="12"/>
      <x:c r="B357" s="10"/>
      <x:c r="C357" s="10"/>
      <x:c r="D357" s="13" t="str">
        <x:f>IF(C357="","",_xlfn.IFNA(INDEX('Күнлик реже'!$D$8:$D$390,MATCH(C357,'Күнлик реже'!$A$8:$A$390,0)),"Код қәте"))</x:f>
      </x:c>
      <x:c r="E357" s="2" t="str">
        <x:f>IF(B357="","",_xlfn.IFNA(INDEX('Клиентлер'!$E$8:$E$31,MATCH(B357,'Клиентлер'!$A$8:$A$31,0)),"Код қәте"))</x:f>
      </x:c>
      <x:c r="F357" s="11"/>
      <x:c r="G357" s="11"/>
      <x:c r="H357" s="11"/>
      <x:c r="I357" s="11"/>
      <x:c r="J357" s="11"/>
      <x:c r="K357" s="10"/>
      <x:c r="L357" s="2" t="n">
        <x:f>IF(COUNTA(A357:C357,F357:K357)=0,0,IF(AND(COUNT(A357:C357)=3,COUNT(F357:J357)=5),0,1))</x:f>
        <x:v>0</x:v>
      </x:c>
      <x:c r="M357" s="2" t="n">
        <x:f>IF(COUNTA(A357:C357,F357:K357)=0,0,IF(OR(H357&gt;F357,I357&gt;G357,D357="Код қәте",E357="Код қәте"),1,0))</x:f>
        <x:v>0</x:v>
      </x:c>
      <x:c r="N357" s="2" t="str">
        <x:f>IF(B357="","",_xlfn.IFNA(INDEX('Клиентлер'!$B$8:$B$31,MATCH(B357,'Клиентлер'!$A$8:$A$31,0)),"Код қәте"))</x:f>
      </x:c>
    </x:row>
    <x:row r="358" ht="40" customHeight="1">
      <x:c r="A358" s="12"/>
      <x:c r="B358" s="10"/>
      <x:c r="C358" s="10"/>
      <x:c r="D358" s="13" t="str">
        <x:f>IF(C358="","",_xlfn.IFNA(INDEX('Күнлик реже'!$D$8:$D$390,MATCH(C358,'Күнлик реже'!$A$8:$A$390,0)),"Код қәте"))</x:f>
      </x:c>
      <x:c r="E358" s="2" t="str">
        <x:f>IF(B358="","",_xlfn.IFNA(INDEX('Клиентлер'!$E$8:$E$31,MATCH(B358,'Клиентлер'!$A$8:$A$31,0)),"Код қәте"))</x:f>
      </x:c>
      <x:c r="F358" s="11"/>
      <x:c r="G358" s="11"/>
      <x:c r="H358" s="11"/>
      <x:c r="I358" s="11"/>
      <x:c r="J358" s="11"/>
      <x:c r="K358" s="10"/>
      <x:c r="L358" s="2" t="n">
        <x:f>IF(COUNTA(A358:C358,F358:K358)=0,0,IF(AND(COUNT(A358:C358)=3,COUNT(F358:J358)=5),0,1))</x:f>
        <x:v>0</x:v>
      </x:c>
      <x:c r="M358" s="2" t="n">
        <x:f>IF(COUNTA(A358:C358,F358:K358)=0,0,IF(OR(H358&gt;F358,I358&gt;G358,D358="Код қәте",E358="Код қәте"),1,0))</x:f>
        <x:v>0</x:v>
      </x:c>
      <x:c r="N358" s="2" t="str">
        <x:f>IF(B358="","",_xlfn.IFNA(INDEX('Клиентлер'!$B$8:$B$31,MATCH(B358,'Клиентлер'!$A$8:$A$31,0)),"Код қәте"))</x:f>
      </x:c>
    </x:row>
    <x:row r="359" ht="40" customHeight="1">
      <x:c r="A359" s="12"/>
      <x:c r="B359" s="10"/>
      <x:c r="C359" s="10"/>
      <x:c r="D359" s="13" t="str">
        <x:f>IF(C359="","",_xlfn.IFNA(INDEX('Күнлик реже'!$D$8:$D$390,MATCH(C359,'Күнлик реже'!$A$8:$A$390,0)),"Код қәте"))</x:f>
      </x:c>
      <x:c r="E359" s="2" t="str">
        <x:f>IF(B359="","",_xlfn.IFNA(INDEX('Клиентлер'!$E$8:$E$31,MATCH(B359,'Клиентлер'!$A$8:$A$31,0)),"Код қәте"))</x:f>
      </x:c>
      <x:c r="F359" s="11"/>
      <x:c r="G359" s="11"/>
      <x:c r="H359" s="11"/>
      <x:c r="I359" s="11"/>
      <x:c r="J359" s="11"/>
      <x:c r="K359" s="10"/>
      <x:c r="L359" s="2" t="n">
        <x:f>IF(COUNTA(A359:C359,F359:K359)=0,0,IF(AND(COUNT(A359:C359)=3,COUNT(F359:J359)=5),0,1))</x:f>
        <x:v>0</x:v>
      </x:c>
      <x:c r="M359" s="2" t="n">
        <x:f>IF(COUNTA(A359:C359,F359:K359)=0,0,IF(OR(H359&gt;F359,I359&gt;G359,D359="Код қәте",E359="Код қәте"),1,0))</x:f>
        <x:v>0</x:v>
      </x:c>
      <x:c r="N359" s="2" t="str">
        <x:f>IF(B359="","",_xlfn.IFNA(INDEX('Клиентлер'!$B$8:$B$31,MATCH(B359,'Клиентлер'!$A$8:$A$31,0)),"Код қәте"))</x:f>
      </x:c>
    </x:row>
    <x:row r="360" ht="40" customHeight="1">
      <x:c r="A360" s="12"/>
      <x:c r="B360" s="10"/>
      <x:c r="C360" s="10"/>
      <x:c r="D360" s="13" t="str">
        <x:f>IF(C360="","",_xlfn.IFNA(INDEX('Күнлик реже'!$D$8:$D$390,MATCH(C360,'Күнлик реже'!$A$8:$A$390,0)),"Код қәте"))</x:f>
      </x:c>
      <x:c r="E360" s="2" t="str">
        <x:f>IF(B360="","",_xlfn.IFNA(INDEX('Клиентлер'!$E$8:$E$31,MATCH(B360,'Клиентлер'!$A$8:$A$31,0)),"Код қәте"))</x:f>
      </x:c>
      <x:c r="F360" s="11"/>
      <x:c r="G360" s="11"/>
      <x:c r="H360" s="11"/>
      <x:c r="I360" s="11"/>
      <x:c r="J360" s="11"/>
      <x:c r="K360" s="10"/>
      <x:c r="L360" s="2" t="n">
        <x:f>IF(COUNTA(A360:C360,F360:K360)=0,0,IF(AND(COUNT(A360:C360)=3,COUNT(F360:J360)=5),0,1))</x:f>
        <x:v>0</x:v>
      </x:c>
      <x:c r="M360" s="2" t="n">
        <x:f>IF(COUNTA(A360:C360,F360:K360)=0,0,IF(OR(H360&gt;F360,I360&gt;G360,D360="Код қәте",E360="Код қәте"),1,0))</x:f>
        <x:v>0</x:v>
      </x:c>
      <x:c r="N360" s="2" t="str">
        <x:f>IF(B360="","",_xlfn.IFNA(INDEX('Клиентлер'!$B$8:$B$31,MATCH(B360,'Клиентлер'!$A$8:$A$31,0)),"Код қәте"))</x:f>
      </x:c>
    </x:row>
    <x:row r="361" ht="40" customHeight="1">
      <x:c r="A361" s="12"/>
      <x:c r="B361" s="10"/>
      <x:c r="C361" s="10"/>
      <x:c r="D361" s="13" t="str">
        <x:f>IF(C361="","",_xlfn.IFNA(INDEX('Күнлик реже'!$D$8:$D$390,MATCH(C361,'Күнлик реже'!$A$8:$A$390,0)),"Код қәте"))</x:f>
      </x:c>
      <x:c r="E361" s="2" t="str">
        <x:f>IF(B361="","",_xlfn.IFNA(INDEX('Клиентлер'!$E$8:$E$31,MATCH(B361,'Клиентлер'!$A$8:$A$31,0)),"Код қәте"))</x:f>
      </x:c>
      <x:c r="F361" s="11"/>
      <x:c r="G361" s="11"/>
      <x:c r="H361" s="11"/>
      <x:c r="I361" s="11"/>
      <x:c r="J361" s="11"/>
      <x:c r="K361" s="10"/>
      <x:c r="L361" s="2" t="n">
        <x:f>IF(COUNTA(A361:C361,F361:K361)=0,0,IF(AND(COUNT(A361:C361)=3,COUNT(F361:J361)=5),0,1))</x:f>
        <x:v>0</x:v>
      </x:c>
      <x:c r="M361" s="2" t="n">
        <x:f>IF(COUNTA(A361:C361,F361:K361)=0,0,IF(OR(H361&gt;F361,I361&gt;G361,D361="Код қәте",E361="Код қәте"),1,0))</x:f>
        <x:v>0</x:v>
      </x:c>
      <x:c r="N361" s="2" t="str">
        <x:f>IF(B361="","",_xlfn.IFNA(INDEX('Клиентлер'!$B$8:$B$31,MATCH(B361,'Клиентлер'!$A$8:$A$31,0)),"Код қәте"))</x:f>
      </x:c>
    </x:row>
    <x:row r="362" ht="40" customHeight="1">
      <x:c r="A362" s="12"/>
      <x:c r="B362" s="10"/>
      <x:c r="C362" s="10"/>
      <x:c r="D362" s="13" t="str">
        <x:f>IF(C362="","",_xlfn.IFNA(INDEX('Күнлик реже'!$D$8:$D$390,MATCH(C362,'Күнлик реже'!$A$8:$A$390,0)),"Код қәте"))</x:f>
      </x:c>
      <x:c r="E362" s="2" t="str">
        <x:f>IF(B362="","",_xlfn.IFNA(INDEX('Клиентлер'!$E$8:$E$31,MATCH(B362,'Клиентлер'!$A$8:$A$31,0)),"Код қәте"))</x:f>
      </x:c>
      <x:c r="F362" s="11"/>
      <x:c r="G362" s="11"/>
      <x:c r="H362" s="11"/>
      <x:c r="I362" s="11"/>
      <x:c r="J362" s="11"/>
      <x:c r="K362" s="10"/>
      <x:c r="L362" s="2" t="n">
        <x:f>IF(COUNTA(A362:C362,F362:K362)=0,0,IF(AND(COUNT(A362:C362)=3,COUNT(F362:J362)=5),0,1))</x:f>
        <x:v>0</x:v>
      </x:c>
      <x:c r="M362" s="2" t="n">
        <x:f>IF(COUNTA(A362:C362,F362:K362)=0,0,IF(OR(H362&gt;F362,I362&gt;G362,D362="Код қәте",E362="Код қәте"),1,0))</x:f>
        <x:v>0</x:v>
      </x:c>
      <x:c r="N362" s="2" t="str">
        <x:f>IF(B362="","",_xlfn.IFNA(INDEX('Клиентлер'!$B$8:$B$31,MATCH(B362,'Клиентлер'!$A$8:$A$31,0)),"Код қәте"))</x:f>
      </x:c>
    </x:row>
    <x:row r="363" ht="40" customHeight="1">
      <x:c r="A363" s="12"/>
      <x:c r="B363" s="10"/>
      <x:c r="C363" s="10"/>
      <x:c r="D363" s="13" t="str">
        <x:f>IF(C363="","",_xlfn.IFNA(INDEX('Күнлик реже'!$D$8:$D$390,MATCH(C363,'Күнлик реже'!$A$8:$A$390,0)),"Код қәте"))</x:f>
      </x:c>
      <x:c r="E363" s="2" t="str">
        <x:f>IF(B363="","",_xlfn.IFNA(INDEX('Клиентлер'!$E$8:$E$31,MATCH(B363,'Клиентлер'!$A$8:$A$31,0)),"Код қәте"))</x:f>
      </x:c>
      <x:c r="F363" s="11"/>
      <x:c r="G363" s="11"/>
      <x:c r="H363" s="11"/>
      <x:c r="I363" s="11"/>
      <x:c r="J363" s="11"/>
      <x:c r="K363" s="10"/>
      <x:c r="L363" s="2" t="n">
        <x:f>IF(COUNTA(A363:C363,F363:K363)=0,0,IF(AND(COUNT(A363:C363)=3,COUNT(F363:J363)=5),0,1))</x:f>
        <x:v>0</x:v>
      </x:c>
      <x:c r="M363" s="2" t="n">
        <x:f>IF(COUNTA(A363:C363,F363:K363)=0,0,IF(OR(H363&gt;F363,I363&gt;G363,D363="Код қәте",E363="Код қәте"),1,0))</x:f>
        <x:v>0</x:v>
      </x:c>
      <x:c r="N363" s="2" t="str">
        <x:f>IF(B363="","",_xlfn.IFNA(INDEX('Клиентлер'!$B$8:$B$31,MATCH(B363,'Клиентлер'!$A$8:$A$31,0)),"Код қәте"))</x:f>
      </x:c>
    </x:row>
    <x:row r="364" ht="40" customHeight="1">
      <x:c r="A364" s="12"/>
      <x:c r="B364" s="10"/>
      <x:c r="C364" s="10"/>
      <x:c r="D364" s="13" t="str">
        <x:f>IF(C364="","",_xlfn.IFNA(INDEX('Күнлик реже'!$D$8:$D$390,MATCH(C364,'Күнлик реже'!$A$8:$A$390,0)),"Код қәте"))</x:f>
      </x:c>
      <x:c r="E364" s="2" t="str">
        <x:f>IF(B364="","",_xlfn.IFNA(INDEX('Клиентлер'!$E$8:$E$31,MATCH(B364,'Клиентлер'!$A$8:$A$31,0)),"Код қәте"))</x:f>
      </x:c>
      <x:c r="F364" s="11"/>
      <x:c r="G364" s="11"/>
      <x:c r="H364" s="11"/>
      <x:c r="I364" s="11"/>
      <x:c r="J364" s="11"/>
      <x:c r="K364" s="10"/>
      <x:c r="L364" s="2" t="n">
        <x:f>IF(COUNTA(A364:C364,F364:K364)=0,0,IF(AND(COUNT(A364:C364)=3,COUNT(F364:J364)=5),0,1))</x:f>
        <x:v>0</x:v>
      </x:c>
      <x:c r="M364" s="2" t="n">
        <x:f>IF(COUNTA(A364:C364,F364:K364)=0,0,IF(OR(H364&gt;F364,I364&gt;G364,D364="Код қәте",E364="Код қәте"),1,0))</x:f>
        <x:v>0</x:v>
      </x:c>
      <x:c r="N364" s="2" t="str">
        <x:f>IF(B364="","",_xlfn.IFNA(INDEX('Клиентлер'!$B$8:$B$31,MATCH(B364,'Клиентлер'!$A$8:$A$31,0)),"Код қәте"))</x:f>
      </x:c>
    </x:row>
    <x:row r="365" ht="40" customHeight="1">
      <x:c r="A365" s="12"/>
      <x:c r="B365" s="10"/>
      <x:c r="C365" s="10"/>
      <x:c r="D365" s="13" t="str">
        <x:f>IF(C365="","",_xlfn.IFNA(INDEX('Күнлик реже'!$D$8:$D$390,MATCH(C365,'Күнлик реже'!$A$8:$A$390,0)),"Код қәте"))</x:f>
      </x:c>
      <x:c r="E365" s="2" t="str">
        <x:f>IF(B365="","",_xlfn.IFNA(INDEX('Клиентлер'!$E$8:$E$31,MATCH(B365,'Клиентлер'!$A$8:$A$31,0)),"Код қәте"))</x:f>
      </x:c>
      <x:c r="F365" s="11"/>
      <x:c r="G365" s="11"/>
      <x:c r="H365" s="11"/>
      <x:c r="I365" s="11"/>
      <x:c r="J365" s="11"/>
      <x:c r="K365" s="10"/>
      <x:c r="L365" s="2" t="n">
        <x:f>IF(COUNTA(A365:C365,F365:K365)=0,0,IF(AND(COUNT(A365:C365)=3,COUNT(F365:J365)=5),0,1))</x:f>
        <x:v>0</x:v>
      </x:c>
      <x:c r="M365" s="2" t="n">
        <x:f>IF(COUNTA(A365:C365,F365:K365)=0,0,IF(OR(H365&gt;F365,I365&gt;G365,D365="Код қәте",E365="Код қәте"),1,0))</x:f>
        <x:v>0</x:v>
      </x:c>
      <x:c r="N365" s="2" t="str">
        <x:f>IF(B365="","",_xlfn.IFNA(INDEX('Клиентлер'!$B$8:$B$31,MATCH(B365,'Клиентлер'!$A$8:$A$31,0)),"Код қәте"))</x:f>
      </x:c>
    </x:row>
    <x:row r="366" ht="40" customHeight="1">
      <x:c r="A366" s="12"/>
      <x:c r="B366" s="10"/>
      <x:c r="C366" s="10"/>
      <x:c r="D366" s="13" t="str">
        <x:f>IF(C366="","",_xlfn.IFNA(INDEX('Күнлик реже'!$D$8:$D$390,MATCH(C366,'Күнлик реже'!$A$8:$A$390,0)),"Код қәте"))</x:f>
      </x:c>
      <x:c r="E366" s="2" t="str">
        <x:f>IF(B366="","",_xlfn.IFNA(INDEX('Клиентлер'!$E$8:$E$31,MATCH(B366,'Клиентлер'!$A$8:$A$31,0)),"Код қәте"))</x:f>
      </x:c>
      <x:c r="F366" s="11"/>
      <x:c r="G366" s="11"/>
      <x:c r="H366" s="11"/>
      <x:c r="I366" s="11"/>
      <x:c r="J366" s="11"/>
      <x:c r="K366" s="10"/>
      <x:c r="L366" s="2" t="n">
        <x:f>IF(COUNTA(A366:C366,F366:K366)=0,0,IF(AND(COUNT(A366:C366)=3,COUNT(F366:J366)=5),0,1))</x:f>
        <x:v>0</x:v>
      </x:c>
      <x:c r="M366" s="2" t="n">
        <x:f>IF(COUNTA(A366:C366,F366:K366)=0,0,IF(OR(H366&gt;F366,I366&gt;G366,D366="Код қәте",E366="Код қәте"),1,0))</x:f>
        <x:v>0</x:v>
      </x:c>
      <x:c r="N366" s="2" t="str">
        <x:f>IF(B366="","",_xlfn.IFNA(INDEX('Клиентлер'!$B$8:$B$31,MATCH(B366,'Клиентлер'!$A$8:$A$31,0)),"Код қәте"))</x:f>
      </x:c>
    </x:row>
    <x:row r="367" ht="40" customHeight="1">
      <x:c r="A367" s="12"/>
      <x:c r="B367" s="10"/>
      <x:c r="C367" s="10"/>
      <x:c r="D367" s="13" t="str">
        <x:f>IF(C367="","",_xlfn.IFNA(INDEX('Күнлик реже'!$D$8:$D$390,MATCH(C367,'Күнлик реже'!$A$8:$A$390,0)),"Код қәте"))</x:f>
      </x:c>
      <x:c r="E367" s="2" t="str">
        <x:f>IF(B367="","",_xlfn.IFNA(INDEX('Клиентлер'!$E$8:$E$31,MATCH(B367,'Клиентлер'!$A$8:$A$31,0)),"Код қәте"))</x:f>
      </x:c>
      <x:c r="F367" s="11"/>
      <x:c r="G367" s="11"/>
      <x:c r="H367" s="11"/>
      <x:c r="I367" s="11"/>
      <x:c r="J367" s="11"/>
      <x:c r="K367" s="10"/>
      <x:c r="L367" s="2" t="n">
        <x:f>IF(COUNTA(A367:C367,F367:K367)=0,0,IF(AND(COUNT(A367:C367)=3,COUNT(F367:J367)=5),0,1))</x:f>
        <x:v>0</x:v>
      </x:c>
      <x:c r="M367" s="2" t="n">
        <x:f>IF(COUNTA(A367:C367,F367:K367)=0,0,IF(OR(H367&gt;F367,I367&gt;G367,D367="Код қәте",E367="Код қәте"),1,0))</x:f>
        <x:v>0</x:v>
      </x:c>
      <x:c r="N367" s="2" t="str">
        <x:f>IF(B367="","",_xlfn.IFNA(INDEX('Клиентлер'!$B$8:$B$31,MATCH(B367,'Клиентлер'!$A$8:$A$31,0)),"Код қәте"))</x:f>
      </x:c>
    </x:row>
    <x:row r="368" ht="40" customHeight="1">
      <x:c r="A368" s="12"/>
      <x:c r="B368" s="10"/>
      <x:c r="C368" s="10"/>
      <x:c r="D368" s="13" t="str">
        <x:f>IF(C368="","",_xlfn.IFNA(INDEX('Күнлик реже'!$D$8:$D$390,MATCH(C368,'Күнлик реже'!$A$8:$A$390,0)),"Код қәте"))</x:f>
      </x:c>
      <x:c r="E368" s="2" t="str">
        <x:f>IF(B368="","",_xlfn.IFNA(INDEX('Клиентлер'!$E$8:$E$31,MATCH(B368,'Клиентлер'!$A$8:$A$31,0)),"Код қәте"))</x:f>
      </x:c>
      <x:c r="F368" s="11"/>
      <x:c r="G368" s="11"/>
      <x:c r="H368" s="11"/>
      <x:c r="I368" s="11"/>
      <x:c r="J368" s="11"/>
      <x:c r="K368" s="10"/>
      <x:c r="L368" s="2" t="n">
        <x:f>IF(COUNTA(A368:C368,F368:K368)=0,0,IF(AND(COUNT(A368:C368)=3,COUNT(F368:J368)=5),0,1))</x:f>
        <x:v>0</x:v>
      </x:c>
      <x:c r="M368" s="2" t="n">
        <x:f>IF(COUNTA(A368:C368,F368:K368)=0,0,IF(OR(H368&gt;F368,I368&gt;G368,D368="Код қәте",E368="Код қәте"),1,0))</x:f>
        <x:v>0</x:v>
      </x:c>
      <x:c r="N368" s="2" t="str">
        <x:f>IF(B368="","",_xlfn.IFNA(INDEX('Клиентлер'!$B$8:$B$31,MATCH(B368,'Клиентлер'!$A$8:$A$31,0)),"Код қәте"))</x:f>
      </x:c>
    </x:row>
    <x:row r="369" ht="40" customHeight="1">
      <x:c r="A369" s="12"/>
      <x:c r="B369" s="10"/>
      <x:c r="C369" s="10"/>
      <x:c r="D369" s="13" t="str">
        <x:f>IF(C369="","",_xlfn.IFNA(INDEX('Күнлик реже'!$D$8:$D$390,MATCH(C369,'Күнлик реже'!$A$8:$A$390,0)),"Код қәте"))</x:f>
      </x:c>
      <x:c r="E369" s="2" t="str">
        <x:f>IF(B369="","",_xlfn.IFNA(INDEX('Клиентлер'!$E$8:$E$31,MATCH(B369,'Клиентлер'!$A$8:$A$31,0)),"Код қәте"))</x:f>
      </x:c>
      <x:c r="F369" s="11"/>
      <x:c r="G369" s="11"/>
      <x:c r="H369" s="11"/>
      <x:c r="I369" s="11"/>
      <x:c r="J369" s="11"/>
      <x:c r="K369" s="10"/>
      <x:c r="L369" s="2" t="n">
        <x:f>IF(COUNTA(A369:C369,F369:K369)=0,0,IF(AND(COUNT(A369:C369)=3,COUNT(F369:J369)=5),0,1))</x:f>
        <x:v>0</x:v>
      </x:c>
      <x:c r="M369" s="2" t="n">
        <x:f>IF(COUNTA(A369:C369,F369:K369)=0,0,IF(OR(H369&gt;F369,I369&gt;G369,D369="Код қәте",E369="Код қәте"),1,0))</x:f>
        <x:v>0</x:v>
      </x:c>
      <x:c r="N369" s="2" t="str">
        <x:f>IF(B369="","",_xlfn.IFNA(INDEX('Клиентлер'!$B$8:$B$31,MATCH(B369,'Клиентлер'!$A$8:$A$31,0)),"Код қәте"))</x:f>
      </x:c>
    </x:row>
    <x:row r="370" ht="40" customHeight="1">
      <x:c r="A370" s="12"/>
      <x:c r="B370" s="10"/>
      <x:c r="C370" s="10"/>
      <x:c r="D370" s="13" t="str">
        <x:f>IF(C370="","",_xlfn.IFNA(INDEX('Күнлик реже'!$D$8:$D$390,MATCH(C370,'Күнлик реже'!$A$8:$A$390,0)),"Код қәте"))</x:f>
      </x:c>
      <x:c r="E370" s="2" t="str">
        <x:f>IF(B370="","",_xlfn.IFNA(INDEX('Клиентлер'!$E$8:$E$31,MATCH(B370,'Клиентлер'!$A$8:$A$31,0)),"Код қәте"))</x:f>
      </x:c>
      <x:c r="F370" s="11"/>
      <x:c r="G370" s="11"/>
      <x:c r="H370" s="11"/>
      <x:c r="I370" s="11"/>
      <x:c r="J370" s="11"/>
      <x:c r="K370" s="10"/>
      <x:c r="L370" s="2" t="n">
        <x:f>IF(COUNTA(A370:C370,F370:K370)=0,0,IF(AND(COUNT(A370:C370)=3,COUNT(F370:J370)=5),0,1))</x:f>
        <x:v>0</x:v>
      </x:c>
      <x:c r="M370" s="2" t="n">
        <x:f>IF(COUNTA(A370:C370,F370:K370)=0,0,IF(OR(H370&gt;F370,I370&gt;G370,D370="Код қәте",E370="Код қәте"),1,0))</x:f>
        <x:v>0</x:v>
      </x:c>
      <x:c r="N370" s="2" t="str">
        <x:f>IF(B370="","",_xlfn.IFNA(INDEX('Клиентлер'!$B$8:$B$31,MATCH(B370,'Клиентлер'!$A$8:$A$31,0)),"Код қәте"))</x:f>
      </x:c>
    </x:row>
    <x:row r="371" ht="40" customHeight="1">
      <x:c r="A371" s="12"/>
      <x:c r="B371" s="10"/>
      <x:c r="C371" s="10"/>
      <x:c r="D371" s="13" t="str">
        <x:f>IF(C371="","",_xlfn.IFNA(INDEX('Күнлик реже'!$D$8:$D$390,MATCH(C371,'Күнлик реже'!$A$8:$A$390,0)),"Код қәте"))</x:f>
      </x:c>
      <x:c r="E371" s="2" t="str">
        <x:f>IF(B371="","",_xlfn.IFNA(INDEX('Клиентлер'!$E$8:$E$31,MATCH(B371,'Клиентлер'!$A$8:$A$31,0)),"Код қәте"))</x:f>
      </x:c>
      <x:c r="F371" s="11"/>
      <x:c r="G371" s="11"/>
      <x:c r="H371" s="11"/>
      <x:c r="I371" s="11"/>
      <x:c r="J371" s="11"/>
      <x:c r="K371" s="10"/>
      <x:c r="L371" s="2" t="n">
        <x:f>IF(COUNTA(A371:C371,F371:K371)=0,0,IF(AND(COUNT(A371:C371)=3,COUNT(F371:J371)=5),0,1))</x:f>
        <x:v>0</x:v>
      </x:c>
      <x:c r="M371" s="2" t="n">
        <x:f>IF(COUNTA(A371:C371,F371:K371)=0,0,IF(OR(H371&gt;F371,I371&gt;G371,D371="Код қәте",E371="Код қәте"),1,0))</x:f>
        <x:v>0</x:v>
      </x:c>
      <x:c r="N371" s="2" t="str">
        <x:f>IF(B371="","",_xlfn.IFNA(INDEX('Клиентлер'!$B$8:$B$31,MATCH(B371,'Клиентлер'!$A$8:$A$31,0)),"Код қәте"))</x:f>
      </x:c>
    </x:row>
    <x:row r="372" ht="40" customHeight="1">
      <x:c r="A372" s="12"/>
      <x:c r="B372" s="10"/>
      <x:c r="C372" s="10"/>
      <x:c r="D372" s="13" t="str">
        <x:f>IF(C372="","",_xlfn.IFNA(INDEX('Күнлик реже'!$D$8:$D$390,MATCH(C372,'Күнлик реже'!$A$8:$A$390,0)),"Код қәте"))</x:f>
      </x:c>
      <x:c r="E372" s="2" t="str">
        <x:f>IF(B372="","",_xlfn.IFNA(INDEX('Клиентлер'!$E$8:$E$31,MATCH(B372,'Клиентлер'!$A$8:$A$31,0)),"Код қәте"))</x:f>
      </x:c>
      <x:c r="F372" s="11"/>
      <x:c r="G372" s="11"/>
      <x:c r="H372" s="11"/>
      <x:c r="I372" s="11"/>
      <x:c r="J372" s="11"/>
      <x:c r="K372" s="10"/>
      <x:c r="L372" s="2" t="n">
        <x:f>IF(COUNTA(A372:C372,F372:K372)=0,0,IF(AND(COUNT(A372:C372)=3,COUNT(F372:J372)=5),0,1))</x:f>
        <x:v>0</x:v>
      </x:c>
      <x:c r="M372" s="2" t="n">
        <x:f>IF(COUNTA(A372:C372,F372:K372)=0,0,IF(OR(H372&gt;F372,I372&gt;G372,D372="Код қәте",E372="Код қәте"),1,0))</x:f>
        <x:v>0</x:v>
      </x:c>
      <x:c r="N372" s="2" t="str">
        <x:f>IF(B372="","",_xlfn.IFNA(INDEX('Клиентлер'!$B$8:$B$31,MATCH(B372,'Клиентлер'!$A$8:$A$31,0)),"Код қәте"))</x:f>
      </x:c>
    </x:row>
    <x:row r="373" ht="40" customHeight="1">
      <x:c r="A373" s="12"/>
      <x:c r="B373" s="10"/>
      <x:c r="C373" s="10"/>
      <x:c r="D373" s="13" t="str">
        <x:f>IF(C373="","",_xlfn.IFNA(INDEX('Күнлик реже'!$D$8:$D$390,MATCH(C373,'Күнлик реже'!$A$8:$A$390,0)),"Код қәте"))</x:f>
      </x:c>
      <x:c r="E373" s="2" t="str">
        <x:f>IF(B373="","",_xlfn.IFNA(INDEX('Клиентлер'!$E$8:$E$31,MATCH(B373,'Клиентлер'!$A$8:$A$31,0)),"Код қәте"))</x:f>
      </x:c>
      <x:c r="F373" s="11"/>
      <x:c r="G373" s="11"/>
      <x:c r="H373" s="11"/>
      <x:c r="I373" s="11"/>
      <x:c r="J373" s="11"/>
      <x:c r="K373" s="10"/>
      <x:c r="L373" s="2" t="n">
        <x:f>IF(COUNTA(A373:C373,F373:K373)=0,0,IF(AND(COUNT(A373:C373)=3,COUNT(F373:J373)=5),0,1))</x:f>
        <x:v>0</x:v>
      </x:c>
      <x:c r="M373" s="2" t="n">
        <x:f>IF(COUNTA(A373:C373,F373:K373)=0,0,IF(OR(H373&gt;F373,I373&gt;G373,D373="Код қәте",E373="Код қәте"),1,0))</x:f>
        <x:v>0</x:v>
      </x:c>
      <x:c r="N373" s="2" t="str">
        <x:f>IF(B373="","",_xlfn.IFNA(INDEX('Клиентлер'!$B$8:$B$31,MATCH(B373,'Клиентлер'!$A$8:$A$31,0)),"Код қәте"))</x:f>
      </x:c>
    </x:row>
    <x:row r="374" ht="40" customHeight="1">
      <x:c r="A374" s="12"/>
      <x:c r="B374" s="10"/>
      <x:c r="C374" s="10"/>
      <x:c r="D374" s="13" t="str">
        <x:f>IF(C374="","",_xlfn.IFNA(INDEX('Күнлик реже'!$D$8:$D$390,MATCH(C374,'Күнлик реже'!$A$8:$A$390,0)),"Код қәте"))</x:f>
      </x:c>
      <x:c r="E374" s="2" t="str">
        <x:f>IF(B374="","",_xlfn.IFNA(INDEX('Клиентлер'!$E$8:$E$31,MATCH(B374,'Клиентлер'!$A$8:$A$31,0)),"Код қәте"))</x:f>
      </x:c>
      <x:c r="F374" s="11"/>
      <x:c r="G374" s="11"/>
      <x:c r="H374" s="11"/>
      <x:c r="I374" s="11"/>
      <x:c r="J374" s="11"/>
      <x:c r="K374" s="10"/>
      <x:c r="L374" s="2" t="n">
        <x:f>IF(COUNTA(A374:C374,F374:K374)=0,0,IF(AND(COUNT(A374:C374)=3,COUNT(F374:J374)=5),0,1))</x:f>
        <x:v>0</x:v>
      </x:c>
      <x:c r="M374" s="2" t="n">
        <x:f>IF(COUNTA(A374:C374,F374:K374)=0,0,IF(OR(H374&gt;F374,I374&gt;G374,D374="Код қәте",E374="Код қәте"),1,0))</x:f>
        <x:v>0</x:v>
      </x:c>
      <x:c r="N374" s="2" t="str">
        <x:f>IF(B374="","",_xlfn.IFNA(INDEX('Клиентлер'!$B$8:$B$31,MATCH(B374,'Клиентлер'!$A$8:$A$31,0)),"Код қәте"))</x:f>
      </x:c>
    </x:row>
    <x:row r="375" ht="40" customHeight="1">
      <x:c r="A375" s="12"/>
      <x:c r="B375" s="10"/>
      <x:c r="C375" s="10"/>
      <x:c r="D375" s="13" t="str">
        <x:f>IF(C375="","",_xlfn.IFNA(INDEX('Күнлик реже'!$D$8:$D$390,MATCH(C375,'Күнлик реже'!$A$8:$A$390,0)),"Код қәте"))</x:f>
      </x:c>
      <x:c r="E375" s="2" t="str">
        <x:f>IF(B375="","",_xlfn.IFNA(INDEX('Клиентлер'!$E$8:$E$31,MATCH(B375,'Клиентлер'!$A$8:$A$31,0)),"Код қәте"))</x:f>
      </x:c>
      <x:c r="F375" s="11"/>
      <x:c r="G375" s="11"/>
      <x:c r="H375" s="11"/>
      <x:c r="I375" s="11"/>
      <x:c r="J375" s="11"/>
      <x:c r="K375" s="10"/>
      <x:c r="L375" s="2" t="n">
        <x:f>IF(COUNTA(A375:C375,F375:K375)=0,0,IF(AND(COUNT(A375:C375)=3,COUNT(F375:J375)=5),0,1))</x:f>
        <x:v>0</x:v>
      </x:c>
      <x:c r="M375" s="2" t="n">
        <x:f>IF(COUNTA(A375:C375,F375:K375)=0,0,IF(OR(H375&gt;F375,I375&gt;G375,D375="Код қәте",E375="Код қәте"),1,0))</x:f>
        <x:v>0</x:v>
      </x:c>
      <x:c r="N375" s="2" t="str">
        <x:f>IF(B375="","",_xlfn.IFNA(INDEX('Клиентлер'!$B$8:$B$31,MATCH(B375,'Клиентлер'!$A$8:$A$31,0)),"Код қәте"))</x:f>
      </x:c>
    </x:row>
    <x:row r="376" ht="40" customHeight="1">
      <x:c r="A376" s="12"/>
      <x:c r="B376" s="10"/>
      <x:c r="C376" s="10"/>
      <x:c r="D376" s="13" t="str">
        <x:f>IF(C376="","",_xlfn.IFNA(INDEX('Күнлик реже'!$D$8:$D$390,MATCH(C376,'Күнлик реже'!$A$8:$A$390,0)),"Код қәте"))</x:f>
      </x:c>
      <x:c r="E376" s="2" t="str">
        <x:f>IF(B376="","",_xlfn.IFNA(INDEX('Клиентлер'!$E$8:$E$31,MATCH(B376,'Клиентлер'!$A$8:$A$31,0)),"Код қәте"))</x:f>
      </x:c>
      <x:c r="F376" s="11"/>
      <x:c r="G376" s="11"/>
      <x:c r="H376" s="11"/>
      <x:c r="I376" s="11"/>
      <x:c r="J376" s="11"/>
      <x:c r="K376" s="10"/>
      <x:c r="L376" s="2" t="n">
        <x:f>IF(COUNTA(A376:C376,F376:K376)=0,0,IF(AND(COUNT(A376:C376)=3,COUNT(F376:J376)=5),0,1))</x:f>
        <x:v>0</x:v>
      </x:c>
      <x:c r="M376" s="2" t="n">
        <x:f>IF(COUNTA(A376:C376,F376:K376)=0,0,IF(OR(H376&gt;F376,I376&gt;G376,D376="Код қәте",E376="Код қәте"),1,0))</x:f>
        <x:v>0</x:v>
      </x:c>
      <x:c r="N376" s="2" t="str">
        <x:f>IF(B376="","",_xlfn.IFNA(INDEX('Клиентлер'!$B$8:$B$31,MATCH(B376,'Клиентлер'!$A$8:$A$31,0)),"Код қәте"))</x:f>
      </x:c>
    </x:row>
    <x:row r="377" ht="40" customHeight="1">
      <x:c r="A377" s="12"/>
      <x:c r="B377" s="10"/>
      <x:c r="C377" s="10"/>
      <x:c r="D377" s="13" t="str">
        <x:f>IF(C377="","",_xlfn.IFNA(INDEX('Күнлик реже'!$D$8:$D$390,MATCH(C377,'Күнлик реже'!$A$8:$A$390,0)),"Код қәте"))</x:f>
      </x:c>
      <x:c r="E377" s="2" t="str">
        <x:f>IF(B377="","",_xlfn.IFNA(INDEX('Клиентлер'!$E$8:$E$31,MATCH(B377,'Клиентлер'!$A$8:$A$31,0)),"Код қәте"))</x:f>
      </x:c>
      <x:c r="F377" s="11"/>
      <x:c r="G377" s="11"/>
      <x:c r="H377" s="11"/>
      <x:c r="I377" s="11"/>
      <x:c r="J377" s="11"/>
      <x:c r="K377" s="10"/>
      <x:c r="L377" s="2" t="n">
        <x:f>IF(COUNTA(A377:C377,F377:K377)=0,0,IF(AND(COUNT(A377:C377)=3,COUNT(F377:J377)=5),0,1))</x:f>
        <x:v>0</x:v>
      </x:c>
      <x:c r="M377" s="2" t="n">
        <x:f>IF(COUNTA(A377:C377,F377:K377)=0,0,IF(OR(H377&gt;F377,I377&gt;G377,D377="Код қәте",E377="Код қәте"),1,0))</x:f>
        <x:v>0</x:v>
      </x:c>
      <x:c r="N377" s="2" t="str">
        <x:f>IF(B377="","",_xlfn.IFNA(INDEX('Клиентлер'!$B$8:$B$31,MATCH(B377,'Клиентлер'!$A$8:$A$31,0)),"Код қәте"))</x:f>
      </x:c>
    </x:row>
    <x:row r="378" ht="40" customHeight="1">
      <x:c r="A378" s="12"/>
      <x:c r="B378" s="10"/>
      <x:c r="C378" s="10"/>
      <x:c r="D378" s="13" t="str">
        <x:f>IF(C378="","",_xlfn.IFNA(INDEX('Күнлик реже'!$D$8:$D$390,MATCH(C378,'Күнлик реже'!$A$8:$A$390,0)),"Код қәте"))</x:f>
      </x:c>
      <x:c r="E378" s="2" t="str">
        <x:f>IF(B378="","",_xlfn.IFNA(INDEX('Клиентлер'!$E$8:$E$31,MATCH(B378,'Клиентлер'!$A$8:$A$31,0)),"Код қәте"))</x:f>
      </x:c>
      <x:c r="F378" s="11"/>
      <x:c r="G378" s="11"/>
      <x:c r="H378" s="11"/>
      <x:c r="I378" s="11"/>
      <x:c r="J378" s="11"/>
      <x:c r="K378" s="10"/>
      <x:c r="L378" s="2" t="n">
        <x:f>IF(COUNTA(A378:C378,F378:K378)=0,0,IF(AND(COUNT(A378:C378)=3,COUNT(F378:J378)=5),0,1))</x:f>
        <x:v>0</x:v>
      </x:c>
      <x:c r="M378" s="2" t="n">
        <x:f>IF(COUNTA(A378:C378,F378:K378)=0,0,IF(OR(H378&gt;F378,I378&gt;G378,D378="Код қәте",E378="Код қәте"),1,0))</x:f>
        <x:v>0</x:v>
      </x:c>
      <x:c r="N378" s="2" t="str">
        <x:f>IF(B378="","",_xlfn.IFNA(INDEX('Клиентлер'!$B$8:$B$31,MATCH(B378,'Клиентлер'!$A$8:$A$31,0)),"Код қәте"))</x:f>
      </x:c>
    </x:row>
    <x:row r="379" ht="40" customHeight="1">
      <x:c r="A379" s="12"/>
      <x:c r="B379" s="10"/>
      <x:c r="C379" s="10"/>
      <x:c r="D379" s="13" t="str">
        <x:f>IF(C379="","",_xlfn.IFNA(INDEX('Күнлик реже'!$D$8:$D$390,MATCH(C379,'Күнлик реже'!$A$8:$A$390,0)),"Код қәте"))</x:f>
      </x:c>
      <x:c r="E379" s="2" t="str">
        <x:f>IF(B379="","",_xlfn.IFNA(INDEX('Клиентлер'!$E$8:$E$31,MATCH(B379,'Клиентлер'!$A$8:$A$31,0)),"Код қәте"))</x:f>
      </x:c>
      <x:c r="F379" s="11"/>
      <x:c r="G379" s="11"/>
      <x:c r="H379" s="11"/>
      <x:c r="I379" s="11"/>
      <x:c r="J379" s="11"/>
      <x:c r="K379" s="10"/>
      <x:c r="L379" s="2" t="n">
        <x:f>IF(COUNTA(A379:C379,F379:K379)=0,0,IF(AND(COUNT(A379:C379)=3,COUNT(F379:J379)=5),0,1))</x:f>
        <x:v>0</x:v>
      </x:c>
      <x:c r="M379" s="2" t="n">
        <x:f>IF(COUNTA(A379:C379,F379:K379)=0,0,IF(OR(H379&gt;F379,I379&gt;G379,D379="Код қәте",E379="Код қәте"),1,0))</x:f>
        <x:v>0</x:v>
      </x:c>
      <x:c r="N379" s="2" t="str">
        <x:f>IF(B379="","",_xlfn.IFNA(INDEX('Клиентлер'!$B$8:$B$31,MATCH(B379,'Клиентлер'!$A$8:$A$31,0)),"Код қәте"))</x:f>
      </x:c>
    </x:row>
    <x:row r="380" ht="40" customHeight="1">
      <x:c r="A380" s="12"/>
      <x:c r="B380" s="10"/>
      <x:c r="C380" s="10"/>
      <x:c r="D380" s="13" t="str">
        <x:f>IF(C380="","",_xlfn.IFNA(INDEX('Күнлик реже'!$D$8:$D$390,MATCH(C380,'Күнлик реже'!$A$8:$A$390,0)),"Код қәте"))</x:f>
      </x:c>
      <x:c r="E380" s="2" t="str">
        <x:f>IF(B380="","",_xlfn.IFNA(INDEX('Клиентлер'!$E$8:$E$31,MATCH(B380,'Клиентлер'!$A$8:$A$31,0)),"Код қәте"))</x:f>
      </x:c>
      <x:c r="F380" s="11"/>
      <x:c r="G380" s="11"/>
      <x:c r="H380" s="11"/>
      <x:c r="I380" s="11"/>
      <x:c r="J380" s="11"/>
      <x:c r="K380" s="10"/>
      <x:c r="L380" s="2" t="n">
        <x:f>IF(COUNTA(A380:C380,F380:K380)=0,0,IF(AND(COUNT(A380:C380)=3,COUNT(F380:J380)=5),0,1))</x:f>
        <x:v>0</x:v>
      </x:c>
      <x:c r="M380" s="2" t="n">
        <x:f>IF(COUNTA(A380:C380,F380:K380)=0,0,IF(OR(H380&gt;F380,I380&gt;G380,D380="Код қәте",E380="Код қәте"),1,0))</x:f>
        <x:v>0</x:v>
      </x:c>
      <x:c r="N380" s="2" t="str">
        <x:f>IF(B380="","",_xlfn.IFNA(INDEX('Клиентлер'!$B$8:$B$31,MATCH(B380,'Клиентлер'!$A$8:$A$31,0)),"Код қәте"))</x:f>
      </x:c>
    </x:row>
    <x:row r="381" ht="40" customHeight="1">
      <x:c r="A381" s="12"/>
      <x:c r="B381" s="10"/>
      <x:c r="C381" s="10"/>
      <x:c r="D381" s="13" t="str">
        <x:f>IF(C381="","",_xlfn.IFNA(INDEX('Күнлик реже'!$D$8:$D$390,MATCH(C381,'Күнлик реже'!$A$8:$A$390,0)),"Код қәте"))</x:f>
      </x:c>
      <x:c r="E381" s="2" t="str">
        <x:f>IF(B381="","",_xlfn.IFNA(INDEX('Клиентлер'!$E$8:$E$31,MATCH(B381,'Клиентлер'!$A$8:$A$31,0)),"Код қәте"))</x:f>
      </x:c>
      <x:c r="F381" s="11"/>
      <x:c r="G381" s="11"/>
      <x:c r="H381" s="11"/>
      <x:c r="I381" s="11"/>
      <x:c r="J381" s="11"/>
      <x:c r="K381" s="10"/>
      <x:c r="L381" s="2" t="n">
        <x:f>IF(COUNTA(A381:C381,F381:K381)=0,0,IF(AND(COUNT(A381:C381)=3,COUNT(F381:J381)=5),0,1))</x:f>
        <x:v>0</x:v>
      </x:c>
      <x:c r="M381" s="2" t="n">
        <x:f>IF(COUNTA(A381:C381,F381:K381)=0,0,IF(OR(H381&gt;F381,I381&gt;G381,D381="Код қәте",E381="Код қәте"),1,0))</x:f>
        <x:v>0</x:v>
      </x:c>
      <x:c r="N381" s="2" t="str">
        <x:f>IF(B381="","",_xlfn.IFNA(INDEX('Клиентлер'!$B$8:$B$31,MATCH(B381,'Клиентлер'!$A$8:$A$31,0)),"Код қәте"))</x:f>
      </x:c>
    </x:row>
    <x:row r="382" ht="40" customHeight="1">
      <x:c r="A382" s="12"/>
      <x:c r="B382" s="10"/>
      <x:c r="C382" s="10"/>
      <x:c r="D382" s="13" t="str">
        <x:f>IF(C382="","",_xlfn.IFNA(INDEX('Күнлик реже'!$D$8:$D$390,MATCH(C382,'Күнлик реже'!$A$8:$A$390,0)),"Код қәте"))</x:f>
      </x:c>
      <x:c r="E382" s="2" t="str">
        <x:f>IF(B382="","",_xlfn.IFNA(INDEX('Клиентлер'!$E$8:$E$31,MATCH(B382,'Клиентлер'!$A$8:$A$31,0)),"Код қәте"))</x:f>
      </x:c>
      <x:c r="F382" s="11"/>
      <x:c r="G382" s="11"/>
      <x:c r="H382" s="11"/>
      <x:c r="I382" s="11"/>
      <x:c r="J382" s="11"/>
      <x:c r="K382" s="10"/>
      <x:c r="L382" s="2" t="n">
        <x:f>IF(COUNTA(A382:C382,F382:K382)=0,0,IF(AND(COUNT(A382:C382)=3,COUNT(F382:J382)=5),0,1))</x:f>
        <x:v>0</x:v>
      </x:c>
      <x:c r="M382" s="2" t="n">
        <x:f>IF(COUNTA(A382:C382,F382:K382)=0,0,IF(OR(H382&gt;F382,I382&gt;G382,D382="Код қәте",E382="Код қәте"),1,0))</x:f>
        <x:v>0</x:v>
      </x:c>
      <x:c r="N382" s="2" t="str">
        <x:f>IF(B382="","",_xlfn.IFNA(INDEX('Клиентлер'!$B$8:$B$31,MATCH(B382,'Клиентлер'!$A$8:$A$31,0)),"Код қәте"))</x:f>
      </x:c>
    </x:row>
    <x:row r="383" ht="40" customHeight="1">
      <x:c r="A383" s="12"/>
      <x:c r="B383" s="10"/>
      <x:c r="C383" s="10"/>
      <x:c r="D383" s="13" t="str">
        <x:f>IF(C383="","",_xlfn.IFNA(INDEX('Күнлик реже'!$D$8:$D$390,MATCH(C383,'Күнлик реже'!$A$8:$A$390,0)),"Код қәте"))</x:f>
      </x:c>
      <x:c r="E383" s="2" t="str">
        <x:f>IF(B383="","",_xlfn.IFNA(INDEX('Клиентлер'!$E$8:$E$31,MATCH(B383,'Клиентлер'!$A$8:$A$31,0)),"Код қәте"))</x:f>
      </x:c>
      <x:c r="F383" s="11"/>
      <x:c r="G383" s="11"/>
      <x:c r="H383" s="11"/>
      <x:c r="I383" s="11"/>
      <x:c r="J383" s="11"/>
      <x:c r="K383" s="10"/>
      <x:c r="L383" s="2" t="n">
        <x:f>IF(COUNTA(A383:C383,F383:K383)=0,0,IF(AND(COUNT(A383:C383)=3,COUNT(F383:J383)=5),0,1))</x:f>
        <x:v>0</x:v>
      </x:c>
      <x:c r="M383" s="2" t="n">
        <x:f>IF(COUNTA(A383:C383,F383:K383)=0,0,IF(OR(H383&gt;F383,I383&gt;G383,D383="Код қәте",E383="Код қәте"),1,0))</x:f>
        <x:v>0</x:v>
      </x:c>
      <x:c r="N383" s="2" t="str">
        <x:f>IF(B383="","",_xlfn.IFNA(INDEX('Клиентлер'!$B$8:$B$31,MATCH(B383,'Клиентлер'!$A$8:$A$31,0)),"Код қәте"))</x:f>
      </x:c>
    </x:row>
    <x:row r="384" ht="40" customHeight="1">
      <x:c r="A384" s="12"/>
      <x:c r="B384" s="10"/>
      <x:c r="C384" s="10"/>
      <x:c r="D384" s="13" t="str">
        <x:f>IF(C384="","",_xlfn.IFNA(INDEX('Күнлик реже'!$D$8:$D$390,MATCH(C384,'Күнлик реже'!$A$8:$A$390,0)),"Код қәте"))</x:f>
      </x:c>
      <x:c r="E384" s="2" t="str">
        <x:f>IF(B384="","",_xlfn.IFNA(INDEX('Клиентлер'!$E$8:$E$31,MATCH(B384,'Клиентлер'!$A$8:$A$31,0)),"Код қәте"))</x:f>
      </x:c>
      <x:c r="F384" s="11"/>
      <x:c r="G384" s="11"/>
      <x:c r="H384" s="11"/>
      <x:c r="I384" s="11"/>
      <x:c r="J384" s="11"/>
      <x:c r="K384" s="10"/>
      <x:c r="L384" s="2" t="n">
        <x:f>IF(COUNTA(A384:C384,F384:K384)=0,0,IF(AND(COUNT(A384:C384)=3,COUNT(F384:J384)=5),0,1))</x:f>
        <x:v>0</x:v>
      </x:c>
      <x:c r="M384" s="2" t="n">
        <x:f>IF(COUNTA(A384:C384,F384:K384)=0,0,IF(OR(H384&gt;F384,I384&gt;G384,D384="Код қәте",E384="Код қәте"),1,0))</x:f>
        <x:v>0</x:v>
      </x:c>
      <x:c r="N384" s="2" t="str">
        <x:f>IF(B384="","",_xlfn.IFNA(INDEX('Клиентлер'!$B$8:$B$31,MATCH(B384,'Клиентлер'!$A$8:$A$31,0)),"Код қәте"))</x:f>
      </x:c>
    </x:row>
    <x:row r="385" ht="40" customHeight="1">
      <x:c r="A385" s="12"/>
      <x:c r="B385" s="10"/>
      <x:c r="C385" s="10"/>
      <x:c r="D385" s="13" t="str">
        <x:f>IF(C385="","",_xlfn.IFNA(INDEX('Күнлик реже'!$D$8:$D$390,MATCH(C385,'Күнлик реже'!$A$8:$A$390,0)),"Код қәте"))</x:f>
      </x:c>
      <x:c r="E385" s="2" t="str">
        <x:f>IF(B385="","",_xlfn.IFNA(INDEX('Клиентлер'!$E$8:$E$31,MATCH(B385,'Клиентлер'!$A$8:$A$31,0)),"Код қәте"))</x:f>
      </x:c>
      <x:c r="F385" s="11"/>
      <x:c r="G385" s="11"/>
      <x:c r="H385" s="11"/>
      <x:c r="I385" s="11"/>
      <x:c r="J385" s="11"/>
      <x:c r="K385" s="10"/>
      <x:c r="L385" s="2" t="n">
        <x:f>IF(COUNTA(A385:C385,F385:K385)=0,0,IF(AND(COUNT(A385:C385)=3,COUNT(F385:J385)=5),0,1))</x:f>
        <x:v>0</x:v>
      </x:c>
      <x:c r="M385" s="2" t="n">
        <x:f>IF(COUNTA(A385:C385,F385:K385)=0,0,IF(OR(H385&gt;F385,I385&gt;G385,D385="Код қәте",E385="Код қәте"),1,0))</x:f>
        <x:v>0</x:v>
      </x:c>
      <x:c r="N385" s="2" t="str">
        <x:f>IF(B385="","",_xlfn.IFNA(INDEX('Клиентлер'!$B$8:$B$31,MATCH(B385,'Клиентлер'!$A$8:$A$31,0)),"Код қәте"))</x:f>
      </x:c>
    </x:row>
    <x:row r="386" ht="40" customHeight="1">
      <x:c r="A386" s="12"/>
      <x:c r="B386" s="10"/>
      <x:c r="C386" s="10"/>
      <x:c r="D386" s="13" t="str">
        <x:f>IF(C386="","",_xlfn.IFNA(INDEX('Күнлик реже'!$D$8:$D$390,MATCH(C386,'Күнлик реже'!$A$8:$A$390,0)),"Код қәте"))</x:f>
      </x:c>
      <x:c r="E386" s="2" t="str">
        <x:f>IF(B386="","",_xlfn.IFNA(INDEX('Клиентлер'!$E$8:$E$31,MATCH(B386,'Клиентлер'!$A$8:$A$31,0)),"Код қәте"))</x:f>
      </x:c>
      <x:c r="F386" s="11"/>
      <x:c r="G386" s="11"/>
      <x:c r="H386" s="11"/>
      <x:c r="I386" s="11"/>
      <x:c r="J386" s="11"/>
      <x:c r="K386" s="10"/>
      <x:c r="L386" s="2" t="n">
        <x:f>IF(COUNTA(A386:C386,F386:K386)=0,0,IF(AND(COUNT(A386:C386)=3,COUNT(F386:J386)=5),0,1))</x:f>
        <x:v>0</x:v>
      </x:c>
      <x:c r="M386" s="2" t="n">
        <x:f>IF(COUNTA(A386:C386,F386:K386)=0,0,IF(OR(H386&gt;F386,I386&gt;G386,D386="Код қәте",E386="Код қәте"),1,0))</x:f>
        <x:v>0</x:v>
      </x:c>
      <x:c r="N386" s="2" t="str">
        <x:f>IF(B386="","",_xlfn.IFNA(INDEX('Клиентлер'!$B$8:$B$31,MATCH(B386,'Клиентлер'!$A$8:$A$31,0)),"Код қәте"))</x:f>
      </x:c>
    </x:row>
    <x:row r="387" ht="40" customHeight="1">
      <x:c r="A387" s="12"/>
      <x:c r="B387" s="10"/>
      <x:c r="C387" s="10"/>
      <x:c r="D387" s="13" t="str">
        <x:f>IF(C387="","",_xlfn.IFNA(INDEX('Күнлик реже'!$D$8:$D$390,MATCH(C387,'Күнлик реже'!$A$8:$A$390,0)),"Код қәте"))</x:f>
      </x:c>
      <x:c r="E387" s="2" t="str">
        <x:f>IF(B387="","",_xlfn.IFNA(INDEX('Клиентлер'!$E$8:$E$31,MATCH(B387,'Клиентлер'!$A$8:$A$31,0)),"Код қәте"))</x:f>
      </x:c>
      <x:c r="F387" s="11"/>
      <x:c r="G387" s="11"/>
      <x:c r="H387" s="11"/>
      <x:c r="I387" s="11"/>
      <x:c r="J387" s="11"/>
      <x:c r="K387" s="10"/>
      <x:c r="L387" s="2" t="n">
        <x:f>IF(COUNTA(A387:C387,F387:K387)=0,0,IF(AND(COUNT(A387:C387)=3,COUNT(F387:J387)=5),0,1))</x:f>
        <x:v>0</x:v>
      </x:c>
      <x:c r="M387" s="2" t="n">
        <x:f>IF(COUNTA(A387:C387,F387:K387)=0,0,IF(OR(H387&gt;F387,I387&gt;G387,D387="Код қәте",E387="Код қәте"),1,0))</x:f>
        <x:v>0</x:v>
      </x:c>
      <x:c r="N387" s="2" t="str">
        <x:f>IF(B387="","",_xlfn.IFNA(INDEX('Клиентлер'!$B$8:$B$31,MATCH(B387,'Клиентлер'!$A$8:$A$31,0)),"Код қәте"))</x:f>
      </x:c>
    </x:row>
    <x:row r="388" ht="40" customHeight="1">
      <x:c r="A388" s="12"/>
      <x:c r="B388" s="10"/>
      <x:c r="C388" s="10"/>
      <x:c r="D388" s="13" t="str">
        <x:f>IF(C388="","",_xlfn.IFNA(INDEX('Күнлик реже'!$D$8:$D$390,MATCH(C388,'Күнлик реже'!$A$8:$A$390,0)),"Код қәте"))</x:f>
      </x:c>
      <x:c r="E388" s="2" t="str">
        <x:f>IF(B388="","",_xlfn.IFNA(INDEX('Клиентлер'!$E$8:$E$31,MATCH(B388,'Клиентлер'!$A$8:$A$31,0)),"Код қәте"))</x:f>
      </x:c>
      <x:c r="F388" s="11"/>
      <x:c r="G388" s="11"/>
      <x:c r="H388" s="11"/>
      <x:c r="I388" s="11"/>
      <x:c r="J388" s="11"/>
      <x:c r="K388" s="10"/>
      <x:c r="L388" s="2" t="n">
        <x:f>IF(COUNTA(A388:C388,F388:K388)=0,0,IF(AND(COUNT(A388:C388)=3,COUNT(F388:J388)=5),0,1))</x:f>
        <x:v>0</x:v>
      </x:c>
      <x:c r="M388" s="2" t="n">
        <x:f>IF(COUNTA(A388:C388,F388:K388)=0,0,IF(OR(H388&gt;F388,I388&gt;G388,D388="Код қәте",E388="Код қәте"),1,0))</x:f>
        <x:v>0</x:v>
      </x:c>
      <x:c r="N388" s="2" t="str">
        <x:f>IF(B388="","",_xlfn.IFNA(INDEX('Клиентлер'!$B$8:$B$31,MATCH(B388,'Клиентлер'!$A$8:$A$31,0)),"Код қәте"))</x:f>
      </x:c>
    </x:row>
    <x:row r="389" ht="40" customHeight="1">
      <x:c r="A389" s="12"/>
      <x:c r="B389" s="10"/>
      <x:c r="C389" s="10"/>
      <x:c r="D389" s="13" t="str">
        <x:f>IF(C389="","",_xlfn.IFNA(INDEX('Күнлик реже'!$D$8:$D$390,MATCH(C389,'Күнлик реже'!$A$8:$A$390,0)),"Код қәте"))</x:f>
      </x:c>
      <x:c r="E389" s="2" t="str">
        <x:f>IF(B389="","",_xlfn.IFNA(INDEX('Клиентлер'!$E$8:$E$31,MATCH(B389,'Клиентлер'!$A$8:$A$31,0)),"Код қәте"))</x:f>
      </x:c>
      <x:c r="F389" s="11"/>
      <x:c r="G389" s="11"/>
      <x:c r="H389" s="11"/>
      <x:c r="I389" s="11"/>
      <x:c r="J389" s="11"/>
      <x:c r="K389" s="10"/>
      <x:c r="L389" s="2" t="n">
        <x:f>IF(COUNTA(A389:C389,F389:K389)=0,0,IF(AND(COUNT(A389:C389)=3,COUNT(F389:J389)=5),0,1))</x:f>
        <x:v>0</x:v>
      </x:c>
      <x:c r="M389" s="2" t="n">
        <x:f>IF(COUNTA(A389:C389,F389:K389)=0,0,IF(OR(H389&gt;F389,I389&gt;G389,D389="Код қәте",E389="Код қәте"),1,0))</x:f>
        <x:v>0</x:v>
      </x:c>
      <x:c r="N389" s="2" t="str">
        <x:f>IF(B389="","",_xlfn.IFNA(INDEX('Клиентлер'!$B$8:$B$31,MATCH(B389,'Клиентлер'!$A$8:$A$31,0)),"Код қәте"))</x:f>
      </x:c>
    </x:row>
    <x:row r="390" ht="40" customHeight="1">
      <x:c r="A390" s="12"/>
      <x:c r="B390" s="10"/>
      <x:c r="C390" s="10"/>
      <x:c r="D390" s="13" t="str">
        <x:f>IF(C390="","",_xlfn.IFNA(INDEX('Күнлик реже'!$D$8:$D$390,MATCH(C390,'Күнлик реже'!$A$8:$A$390,0)),"Код қәте"))</x:f>
      </x:c>
      <x:c r="E390" s="2" t="str">
        <x:f>IF(B390="","",_xlfn.IFNA(INDEX('Клиентлер'!$E$8:$E$31,MATCH(B390,'Клиентлер'!$A$8:$A$31,0)),"Код қәте"))</x:f>
      </x:c>
      <x:c r="F390" s="11"/>
      <x:c r="G390" s="11"/>
      <x:c r="H390" s="11"/>
      <x:c r="I390" s="11"/>
      <x:c r="J390" s="11"/>
      <x:c r="K390" s="10"/>
      <x:c r="L390" s="2" t="n">
        <x:f>IF(COUNTA(A390:C390,F390:K390)=0,0,IF(AND(COUNT(A390:C390)=3,COUNT(F390:J390)=5),0,1))</x:f>
        <x:v>0</x:v>
      </x:c>
      <x:c r="M390" s="2" t="n">
        <x:f>IF(COUNTA(A390:C390,F390:K390)=0,0,IF(OR(H390&gt;F390,I390&gt;G390,D390="Код қәте",E390="Код қәте"),1,0))</x:f>
        <x:v>0</x:v>
      </x:c>
      <x:c r="N390" s="2" t="str">
        <x:f>IF(B390="","",_xlfn.IFNA(INDEX('Клиентлер'!$B$8:$B$31,MATCH(B390,'Клиентлер'!$A$8:$A$31,0)),"Код қәте"))</x:f>
      </x:c>
    </x:row>
    <x:row r="391" ht="40" customHeight="1">
      <x:c r="A391" s="12"/>
      <x:c r="B391" s="10"/>
      <x:c r="C391" s="10"/>
      <x:c r="D391" s="13" t="str">
        <x:f>IF(C391="","",_xlfn.IFNA(INDEX('Күнлик реже'!$D$8:$D$390,MATCH(C391,'Күнлик реже'!$A$8:$A$390,0)),"Код қәте"))</x:f>
      </x:c>
      <x:c r="E391" s="2" t="str">
        <x:f>IF(B391="","",_xlfn.IFNA(INDEX('Клиентлер'!$E$8:$E$31,MATCH(B391,'Клиентлер'!$A$8:$A$31,0)),"Код қәте"))</x:f>
      </x:c>
      <x:c r="F391" s="11"/>
      <x:c r="G391" s="11"/>
      <x:c r="H391" s="11"/>
      <x:c r="I391" s="11"/>
      <x:c r="J391" s="11"/>
      <x:c r="K391" s="10"/>
      <x:c r="L391" s="2" t="n">
        <x:f>IF(COUNTA(A391:C391,F391:K391)=0,0,IF(AND(COUNT(A391:C391)=3,COUNT(F391:J391)=5),0,1))</x:f>
        <x:v>0</x:v>
      </x:c>
      <x:c r="M391" s="2" t="n">
        <x:f>IF(COUNTA(A391:C391,F391:K391)=0,0,IF(OR(H391&gt;F391,I391&gt;G391,D391="Код қәте",E391="Код қәте"),1,0))</x:f>
        <x:v>0</x:v>
      </x:c>
      <x:c r="N391" s="2" t="str">
        <x:f>IF(B391="","",_xlfn.IFNA(INDEX('Клиентлер'!$B$8:$B$31,MATCH(B391,'Клиентлер'!$A$8:$A$31,0)),"Код қәте"))</x:f>
      </x:c>
    </x:row>
    <x:row r="392" ht="40" customHeight="1">
      <x:c r="A392" s="12"/>
      <x:c r="B392" s="10"/>
      <x:c r="C392" s="10"/>
      <x:c r="D392" s="13" t="str">
        <x:f>IF(C392="","",_xlfn.IFNA(INDEX('Күнлик реже'!$D$8:$D$390,MATCH(C392,'Күнлик реже'!$A$8:$A$390,0)),"Код қәте"))</x:f>
      </x:c>
      <x:c r="E392" s="2" t="str">
        <x:f>IF(B392="","",_xlfn.IFNA(INDEX('Клиентлер'!$E$8:$E$31,MATCH(B392,'Клиентлер'!$A$8:$A$31,0)),"Код қәте"))</x:f>
      </x:c>
      <x:c r="F392" s="11"/>
      <x:c r="G392" s="11"/>
      <x:c r="H392" s="11"/>
      <x:c r="I392" s="11"/>
      <x:c r="J392" s="11"/>
      <x:c r="K392" s="10"/>
      <x:c r="L392" s="2" t="n">
        <x:f>IF(COUNTA(A392:C392,F392:K392)=0,0,IF(AND(COUNT(A392:C392)=3,COUNT(F392:J392)=5),0,1))</x:f>
        <x:v>0</x:v>
      </x:c>
      <x:c r="M392" s="2" t="n">
        <x:f>IF(COUNTA(A392:C392,F392:K392)=0,0,IF(OR(H392&gt;F392,I392&gt;G392,D392="Код қәте",E392="Код қәте"),1,0))</x:f>
        <x:v>0</x:v>
      </x:c>
      <x:c r="N392" s="2" t="str">
        <x:f>IF(B392="","",_xlfn.IFNA(INDEX('Клиентлер'!$B$8:$B$31,MATCH(B392,'Клиентлер'!$A$8:$A$31,0)),"Код қәте"))</x:f>
      </x:c>
    </x:row>
    <x:row r="393" ht="40" customHeight="1">
      <x:c r="A393" s="12"/>
      <x:c r="B393" s="10"/>
      <x:c r="C393" s="10"/>
      <x:c r="D393" s="13" t="str">
        <x:f>IF(C393="","",_xlfn.IFNA(INDEX('Күнлик реже'!$D$8:$D$390,MATCH(C393,'Күнлик реже'!$A$8:$A$390,0)),"Код қәте"))</x:f>
      </x:c>
      <x:c r="E393" s="2" t="str">
        <x:f>IF(B393="","",_xlfn.IFNA(INDEX('Клиентлер'!$E$8:$E$31,MATCH(B393,'Клиентлер'!$A$8:$A$31,0)),"Код қәте"))</x:f>
      </x:c>
      <x:c r="F393" s="11"/>
      <x:c r="G393" s="11"/>
      <x:c r="H393" s="11"/>
      <x:c r="I393" s="11"/>
      <x:c r="J393" s="11"/>
      <x:c r="K393" s="10"/>
      <x:c r="L393" s="2" t="n">
        <x:f>IF(COUNTA(A393:C393,F393:K393)=0,0,IF(AND(COUNT(A393:C393)=3,COUNT(F393:J393)=5),0,1))</x:f>
        <x:v>0</x:v>
      </x:c>
      <x:c r="M393" s="2" t="n">
        <x:f>IF(COUNTA(A393:C393,F393:K393)=0,0,IF(OR(H393&gt;F393,I393&gt;G393,D393="Код қәте",E393="Код қәте"),1,0))</x:f>
        <x:v>0</x:v>
      </x:c>
      <x:c r="N393" s="2" t="str">
        <x:f>IF(B393="","",_xlfn.IFNA(INDEX('Клиентлер'!$B$8:$B$31,MATCH(B393,'Клиентлер'!$A$8:$A$31,0)),"Код қәте"))</x:f>
      </x:c>
    </x:row>
    <x:row r="394" ht="40" customHeight="1">
      <x:c r="A394" s="12"/>
      <x:c r="B394" s="10"/>
      <x:c r="C394" s="10"/>
      <x:c r="D394" s="13" t="str">
        <x:f>IF(C394="","",_xlfn.IFNA(INDEX('Күнлик реже'!$D$8:$D$390,MATCH(C394,'Күнлик реже'!$A$8:$A$390,0)),"Код қәте"))</x:f>
      </x:c>
      <x:c r="E394" s="2" t="str">
        <x:f>IF(B394="","",_xlfn.IFNA(INDEX('Клиентлер'!$E$8:$E$31,MATCH(B394,'Клиентлер'!$A$8:$A$31,0)),"Код қәте"))</x:f>
      </x:c>
      <x:c r="F394" s="11"/>
      <x:c r="G394" s="11"/>
      <x:c r="H394" s="11"/>
      <x:c r="I394" s="11"/>
      <x:c r="J394" s="11"/>
      <x:c r="K394" s="10"/>
      <x:c r="L394" s="2" t="n">
        <x:f>IF(COUNTA(A394:C394,F394:K394)=0,0,IF(AND(COUNT(A394:C394)=3,COUNT(F394:J394)=5),0,1))</x:f>
        <x:v>0</x:v>
      </x:c>
      <x:c r="M394" s="2" t="n">
        <x:f>IF(COUNTA(A394:C394,F394:K394)=0,0,IF(OR(H394&gt;F394,I394&gt;G394,D394="Код қәте",E394="Код қәте"),1,0))</x:f>
        <x:v>0</x:v>
      </x:c>
      <x:c r="N394" s="2" t="str">
        <x:f>IF(B394="","",_xlfn.IFNA(INDEX('Клиентлер'!$B$8:$B$31,MATCH(B394,'Клиентлер'!$A$8:$A$31,0)),"Код қәте"))</x:f>
      </x:c>
    </x:row>
    <x:row r="395" ht="40" customHeight="1">
      <x:c r="A395" s="12"/>
      <x:c r="B395" s="10"/>
      <x:c r="C395" s="10"/>
      <x:c r="D395" s="13" t="str">
        <x:f>IF(C395="","",_xlfn.IFNA(INDEX('Күнлик реже'!$D$8:$D$390,MATCH(C395,'Күнлик реже'!$A$8:$A$390,0)),"Код қәте"))</x:f>
      </x:c>
      <x:c r="E395" s="2" t="str">
        <x:f>IF(B395="","",_xlfn.IFNA(INDEX('Клиентлер'!$E$8:$E$31,MATCH(B395,'Клиентлер'!$A$8:$A$31,0)),"Код қәте"))</x:f>
      </x:c>
      <x:c r="F395" s="11"/>
      <x:c r="G395" s="11"/>
      <x:c r="H395" s="11"/>
      <x:c r="I395" s="11"/>
      <x:c r="J395" s="11"/>
      <x:c r="K395" s="10"/>
      <x:c r="L395" s="2" t="n">
        <x:f>IF(COUNTA(A395:C395,F395:K395)=0,0,IF(AND(COUNT(A395:C395)=3,COUNT(F395:J395)=5),0,1))</x:f>
        <x:v>0</x:v>
      </x:c>
      <x:c r="M395" s="2" t="n">
        <x:f>IF(COUNTA(A395:C395,F395:K395)=0,0,IF(OR(H395&gt;F395,I395&gt;G395,D395="Код қәте",E395="Код қәте"),1,0))</x:f>
        <x:v>0</x:v>
      </x:c>
      <x:c r="N395" s="2" t="str">
        <x:f>IF(B395="","",_xlfn.IFNA(INDEX('Клиентлер'!$B$8:$B$31,MATCH(B395,'Клиентлер'!$A$8:$A$31,0)),"Код қәте"))</x:f>
      </x:c>
    </x:row>
    <x:row r="396" ht="40" customHeight="1">
      <x:c r="A396" s="12"/>
      <x:c r="B396" s="10"/>
      <x:c r="C396" s="10"/>
      <x:c r="D396" s="13" t="str">
        <x:f>IF(C396="","",_xlfn.IFNA(INDEX('Күнлик реже'!$D$8:$D$390,MATCH(C396,'Күнлик реже'!$A$8:$A$390,0)),"Код қәте"))</x:f>
      </x:c>
      <x:c r="E396" s="2" t="str">
        <x:f>IF(B396="","",_xlfn.IFNA(INDEX('Клиентлер'!$E$8:$E$31,MATCH(B396,'Клиентлер'!$A$8:$A$31,0)),"Код қәте"))</x:f>
      </x:c>
      <x:c r="F396" s="11"/>
      <x:c r="G396" s="11"/>
      <x:c r="H396" s="11"/>
      <x:c r="I396" s="11"/>
      <x:c r="J396" s="11"/>
      <x:c r="K396" s="10"/>
      <x:c r="L396" s="2" t="n">
        <x:f>IF(COUNTA(A396:C396,F396:K396)=0,0,IF(AND(COUNT(A396:C396)=3,COUNT(F396:J396)=5),0,1))</x:f>
        <x:v>0</x:v>
      </x:c>
      <x:c r="M396" s="2" t="n">
        <x:f>IF(COUNTA(A396:C396,F396:K396)=0,0,IF(OR(H396&gt;F396,I396&gt;G396,D396="Код қәте",E396="Код қәте"),1,0))</x:f>
        <x:v>0</x:v>
      </x:c>
      <x:c r="N396" s="2" t="str">
        <x:f>IF(B396="","",_xlfn.IFNA(INDEX('Клиентлер'!$B$8:$B$31,MATCH(B396,'Клиентлер'!$A$8:$A$31,0)),"Код қәте"))</x:f>
      </x:c>
    </x:row>
    <x:row r="397" ht="40" customHeight="1">
      <x:c r="A397" s="12"/>
      <x:c r="B397" s="10"/>
      <x:c r="C397" s="10"/>
      <x:c r="D397" s="13" t="str">
        <x:f>IF(C397="","",_xlfn.IFNA(INDEX('Күнлик реже'!$D$8:$D$390,MATCH(C397,'Күнлик реже'!$A$8:$A$390,0)),"Код қәте"))</x:f>
      </x:c>
      <x:c r="E397" s="2" t="str">
        <x:f>IF(B397="","",_xlfn.IFNA(INDEX('Клиентлер'!$E$8:$E$31,MATCH(B397,'Клиентлер'!$A$8:$A$31,0)),"Код қәте"))</x:f>
      </x:c>
      <x:c r="F397" s="11"/>
      <x:c r="G397" s="11"/>
      <x:c r="H397" s="11"/>
      <x:c r="I397" s="11"/>
      <x:c r="J397" s="11"/>
      <x:c r="K397" s="10"/>
      <x:c r="L397" s="2" t="n">
        <x:f>IF(COUNTA(A397:C397,F397:K397)=0,0,IF(AND(COUNT(A397:C397)=3,COUNT(F397:J397)=5),0,1))</x:f>
        <x:v>0</x:v>
      </x:c>
      <x:c r="M397" s="2" t="n">
        <x:f>IF(COUNTA(A397:C397,F397:K397)=0,0,IF(OR(H397&gt;F397,I397&gt;G397,D397="Код қәте",E397="Код қәте"),1,0))</x:f>
        <x:v>0</x:v>
      </x:c>
      <x:c r="N397" s="2" t="str">
        <x:f>IF(B397="","",_xlfn.IFNA(INDEX('Клиентлер'!$B$8:$B$31,MATCH(B397,'Клиентлер'!$A$8:$A$31,0)),"Код қәте"))</x:f>
      </x:c>
    </x:row>
    <x:row r="398" ht="40" customHeight="1">
      <x:c r="A398" s="12"/>
      <x:c r="B398" s="10"/>
      <x:c r="C398" s="10"/>
      <x:c r="D398" s="13" t="str">
        <x:f>IF(C398="","",_xlfn.IFNA(INDEX('Күнлик реже'!$D$8:$D$390,MATCH(C398,'Күнлик реже'!$A$8:$A$390,0)),"Код қәте"))</x:f>
      </x:c>
      <x:c r="E398" s="2" t="str">
        <x:f>IF(B398="","",_xlfn.IFNA(INDEX('Клиентлер'!$E$8:$E$31,MATCH(B398,'Клиентлер'!$A$8:$A$31,0)),"Код қәте"))</x:f>
      </x:c>
      <x:c r="F398" s="11"/>
      <x:c r="G398" s="11"/>
      <x:c r="H398" s="11"/>
      <x:c r="I398" s="11"/>
      <x:c r="J398" s="11"/>
      <x:c r="K398" s="10"/>
      <x:c r="L398" s="2" t="n">
        <x:f>IF(COUNTA(A398:C398,F398:K398)=0,0,IF(AND(COUNT(A398:C398)=3,COUNT(F398:J398)=5),0,1))</x:f>
        <x:v>0</x:v>
      </x:c>
      <x:c r="M398" s="2" t="n">
        <x:f>IF(COUNTA(A398:C398,F398:K398)=0,0,IF(OR(H398&gt;F398,I398&gt;G398,D398="Код қәте",E398="Код қәте"),1,0))</x:f>
        <x:v>0</x:v>
      </x:c>
      <x:c r="N398" s="2" t="str">
        <x:f>IF(B398="","",_xlfn.IFNA(INDEX('Клиентлер'!$B$8:$B$31,MATCH(B398,'Клиентлер'!$A$8:$A$31,0)),"Код қәте"))</x:f>
      </x:c>
    </x:row>
    <x:row r="399" ht="40" customHeight="1">
      <x:c r="A399" s="12"/>
      <x:c r="B399" s="10"/>
      <x:c r="C399" s="10"/>
      <x:c r="D399" s="13" t="str">
        <x:f>IF(C399="","",_xlfn.IFNA(INDEX('Күнлик реже'!$D$8:$D$390,MATCH(C399,'Күнлик реже'!$A$8:$A$390,0)),"Код қәте"))</x:f>
      </x:c>
      <x:c r="E399" s="2" t="str">
        <x:f>IF(B399="","",_xlfn.IFNA(INDEX('Клиентлер'!$E$8:$E$31,MATCH(B399,'Клиентлер'!$A$8:$A$31,0)),"Код қәте"))</x:f>
      </x:c>
      <x:c r="F399" s="11"/>
      <x:c r="G399" s="11"/>
      <x:c r="H399" s="11"/>
      <x:c r="I399" s="11"/>
      <x:c r="J399" s="11"/>
      <x:c r="K399" s="10"/>
      <x:c r="L399" s="2" t="n">
        <x:f>IF(COUNTA(A399:C399,F399:K399)=0,0,IF(AND(COUNT(A399:C399)=3,COUNT(F399:J399)=5),0,1))</x:f>
        <x:v>0</x:v>
      </x:c>
      <x:c r="M399" s="2" t="n">
        <x:f>IF(COUNTA(A399:C399,F399:K399)=0,0,IF(OR(H399&gt;F399,I399&gt;G399,D399="Код қәте",E399="Код қәте"),1,0))</x:f>
        <x:v>0</x:v>
      </x:c>
      <x:c r="N399" s="2" t="str">
        <x:f>IF(B399="","",_xlfn.IFNA(INDEX('Клиентлер'!$B$8:$B$31,MATCH(B399,'Клиентлер'!$A$8:$A$31,0)),"Код қәте"))</x:f>
      </x:c>
    </x:row>
    <x:row r="400" ht="40" customHeight="1">
      <x:c r="A400" s="12"/>
      <x:c r="B400" s="10"/>
      <x:c r="C400" s="10"/>
      <x:c r="D400" s="13" t="str">
        <x:f>IF(C400="","",_xlfn.IFNA(INDEX('Күнлик реже'!$D$8:$D$390,MATCH(C400,'Күнлик реже'!$A$8:$A$390,0)),"Код қәте"))</x:f>
      </x:c>
      <x:c r="E400" s="2" t="str">
        <x:f>IF(B400="","",_xlfn.IFNA(INDEX('Клиентлер'!$E$8:$E$31,MATCH(B400,'Клиентлер'!$A$8:$A$31,0)),"Код қәте"))</x:f>
      </x:c>
      <x:c r="F400" s="11"/>
      <x:c r="G400" s="11"/>
      <x:c r="H400" s="11"/>
      <x:c r="I400" s="11"/>
      <x:c r="J400" s="11"/>
      <x:c r="K400" s="10"/>
      <x:c r="L400" s="2" t="n">
        <x:f>IF(COUNTA(A400:C400,F400:K400)=0,0,IF(AND(COUNT(A400:C400)=3,COUNT(F400:J400)=5),0,1))</x:f>
        <x:v>0</x:v>
      </x:c>
      <x:c r="M400" s="2" t="n">
        <x:f>IF(COUNTA(A400:C400,F400:K400)=0,0,IF(OR(H400&gt;F400,I400&gt;G400,D400="Код қәте",E400="Код қәте"),1,0))</x:f>
        <x:v>0</x:v>
      </x:c>
      <x:c r="N400" s="2" t="str">
        <x:f>IF(B400="","",_xlfn.IFNA(INDEX('Клиентлер'!$B$8:$B$31,MATCH(B400,'Клиентлер'!$A$8:$A$31,0)),"Код қәте"))</x:f>
      </x:c>
    </x:row>
    <x:row r="401" ht="40" customHeight="1">
      <x:c r="A401" s="12"/>
      <x:c r="B401" s="10"/>
      <x:c r="C401" s="10"/>
      <x:c r="D401" s="13" t="str">
        <x:f>IF(C401="","",_xlfn.IFNA(INDEX('Күнлик реже'!$D$8:$D$390,MATCH(C401,'Күнлик реже'!$A$8:$A$390,0)),"Код қәте"))</x:f>
      </x:c>
      <x:c r="E401" s="2" t="str">
        <x:f>IF(B401="","",_xlfn.IFNA(INDEX('Клиентлер'!$E$8:$E$31,MATCH(B401,'Клиентлер'!$A$8:$A$31,0)),"Код қәте"))</x:f>
      </x:c>
      <x:c r="F401" s="11"/>
      <x:c r="G401" s="11"/>
      <x:c r="H401" s="11"/>
      <x:c r="I401" s="11"/>
      <x:c r="J401" s="11"/>
      <x:c r="K401" s="10"/>
      <x:c r="L401" s="2" t="n">
        <x:f>IF(COUNTA(A401:C401,F401:K401)=0,0,IF(AND(COUNT(A401:C401)=3,COUNT(F401:J401)=5),0,1))</x:f>
        <x:v>0</x:v>
      </x:c>
      <x:c r="M401" s="2" t="n">
        <x:f>IF(COUNTA(A401:C401,F401:K401)=0,0,IF(OR(H401&gt;F401,I401&gt;G401,D401="Код қәте",E401="Код қәте"),1,0))</x:f>
        <x:v>0</x:v>
      </x:c>
      <x:c r="N401" s="2" t="str">
        <x:f>IF(B401="","",_xlfn.IFNA(INDEX('Клиентлер'!$B$8:$B$31,MATCH(B401,'Клиентлер'!$A$8:$A$31,0)),"Код қәте"))</x:f>
      </x:c>
    </x:row>
    <x:row r="402" ht="40" customHeight="1">
      <x:c r="A402" s="12"/>
      <x:c r="B402" s="10"/>
      <x:c r="C402" s="10"/>
      <x:c r="D402" s="13" t="str">
        <x:f>IF(C402="","",_xlfn.IFNA(INDEX('Күнлик реже'!$D$8:$D$390,MATCH(C402,'Күнлик реже'!$A$8:$A$390,0)),"Код қәте"))</x:f>
      </x:c>
      <x:c r="E402" s="2" t="str">
        <x:f>IF(B402="","",_xlfn.IFNA(INDEX('Клиентлер'!$E$8:$E$31,MATCH(B402,'Клиентлер'!$A$8:$A$31,0)),"Код қәте"))</x:f>
      </x:c>
      <x:c r="F402" s="11"/>
      <x:c r="G402" s="11"/>
      <x:c r="H402" s="11"/>
      <x:c r="I402" s="11"/>
      <x:c r="J402" s="11"/>
      <x:c r="K402" s="10"/>
      <x:c r="L402" s="2" t="n">
        <x:f>IF(COUNTA(A402:C402,F402:K402)=0,0,IF(AND(COUNT(A402:C402)=3,COUNT(F402:J402)=5),0,1))</x:f>
        <x:v>0</x:v>
      </x:c>
      <x:c r="M402" s="2" t="n">
        <x:f>IF(COUNTA(A402:C402,F402:K402)=0,0,IF(OR(H402&gt;F402,I402&gt;G402,D402="Код қәте",E402="Код қәте"),1,0))</x:f>
        <x:v>0</x:v>
      </x:c>
      <x:c r="N402" s="2" t="str">
        <x:f>IF(B402="","",_xlfn.IFNA(INDEX('Клиентлер'!$B$8:$B$31,MATCH(B402,'Клиентлер'!$A$8:$A$31,0)),"Код қәте"))</x:f>
      </x:c>
    </x:row>
    <x:row r="403" ht="40" customHeight="1">
      <x:c r="A403" s="12"/>
      <x:c r="B403" s="10"/>
      <x:c r="C403" s="10"/>
      <x:c r="D403" s="13" t="str">
        <x:f>IF(C403="","",_xlfn.IFNA(INDEX('Күнлик реже'!$D$8:$D$390,MATCH(C403,'Күнлик реже'!$A$8:$A$390,0)),"Код қәте"))</x:f>
      </x:c>
      <x:c r="E403" s="2" t="str">
        <x:f>IF(B403="","",_xlfn.IFNA(INDEX('Клиентлер'!$E$8:$E$31,MATCH(B403,'Клиентлер'!$A$8:$A$31,0)),"Код қәте"))</x:f>
      </x:c>
      <x:c r="F403" s="11"/>
      <x:c r="G403" s="11"/>
      <x:c r="H403" s="11"/>
      <x:c r="I403" s="11"/>
      <x:c r="J403" s="11"/>
      <x:c r="K403" s="10"/>
      <x:c r="L403" s="2" t="n">
        <x:f>IF(COUNTA(A403:C403,F403:K403)=0,0,IF(AND(COUNT(A403:C403)=3,COUNT(F403:J403)=5),0,1))</x:f>
        <x:v>0</x:v>
      </x:c>
      <x:c r="M403" s="2" t="n">
        <x:f>IF(COUNTA(A403:C403,F403:K403)=0,0,IF(OR(H403&gt;F403,I403&gt;G403,D403="Код қәте",E403="Код қәте"),1,0))</x:f>
        <x:v>0</x:v>
      </x:c>
      <x:c r="N403" s="2" t="str">
        <x:f>IF(B403="","",_xlfn.IFNA(INDEX('Клиентлер'!$B$8:$B$31,MATCH(B403,'Клиентлер'!$A$8:$A$31,0)),"Код қәте"))</x:f>
      </x:c>
    </x:row>
    <x:row r="404" ht="40" customHeight="1">
      <x:c r="A404" s="12"/>
      <x:c r="B404" s="10"/>
      <x:c r="C404" s="10"/>
      <x:c r="D404" s="13" t="str">
        <x:f>IF(C404="","",_xlfn.IFNA(INDEX('Күнлик реже'!$D$8:$D$390,MATCH(C404,'Күнлик реже'!$A$8:$A$390,0)),"Код қәте"))</x:f>
      </x:c>
      <x:c r="E404" s="2" t="str">
        <x:f>IF(B404="","",_xlfn.IFNA(INDEX('Клиентлер'!$E$8:$E$31,MATCH(B404,'Клиентлер'!$A$8:$A$31,0)),"Код қәте"))</x:f>
      </x:c>
      <x:c r="F404" s="11"/>
      <x:c r="G404" s="11"/>
      <x:c r="H404" s="11"/>
      <x:c r="I404" s="11"/>
      <x:c r="J404" s="11"/>
      <x:c r="K404" s="10"/>
      <x:c r="L404" s="2" t="n">
        <x:f>IF(COUNTA(A404:C404,F404:K404)=0,0,IF(AND(COUNT(A404:C404)=3,COUNT(F404:J404)=5),0,1))</x:f>
        <x:v>0</x:v>
      </x:c>
      <x:c r="M404" s="2" t="n">
        <x:f>IF(COUNTA(A404:C404,F404:K404)=0,0,IF(OR(H404&gt;F404,I404&gt;G404,D404="Код қәте",E404="Код қәте"),1,0))</x:f>
        <x:v>0</x:v>
      </x:c>
      <x:c r="N404" s="2" t="str">
        <x:f>IF(B404="","",_xlfn.IFNA(INDEX('Клиентлер'!$B$8:$B$31,MATCH(B404,'Клиентлер'!$A$8:$A$31,0)),"Код қәте"))</x:f>
      </x:c>
    </x:row>
    <x:row r="405" ht="40" customHeight="1">
      <x:c r="A405" s="12"/>
      <x:c r="B405" s="10"/>
      <x:c r="C405" s="10"/>
      <x:c r="D405" s="13" t="str">
        <x:f>IF(C405="","",_xlfn.IFNA(INDEX('Күнлик реже'!$D$8:$D$390,MATCH(C405,'Күнлик реже'!$A$8:$A$390,0)),"Код қәте"))</x:f>
      </x:c>
      <x:c r="E405" s="2" t="str">
        <x:f>IF(B405="","",_xlfn.IFNA(INDEX('Клиентлер'!$E$8:$E$31,MATCH(B405,'Клиентлер'!$A$8:$A$31,0)),"Код қәте"))</x:f>
      </x:c>
      <x:c r="F405" s="11"/>
      <x:c r="G405" s="11"/>
      <x:c r="H405" s="11"/>
      <x:c r="I405" s="11"/>
      <x:c r="J405" s="11"/>
      <x:c r="K405" s="10"/>
      <x:c r="L405" s="2" t="n">
        <x:f>IF(COUNTA(A405:C405,F405:K405)=0,0,IF(AND(COUNT(A405:C405)=3,COUNT(F405:J405)=5),0,1))</x:f>
        <x:v>0</x:v>
      </x:c>
      <x:c r="M405" s="2" t="n">
        <x:f>IF(COUNTA(A405:C405,F405:K405)=0,0,IF(OR(H405&gt;F405,I405&gt;G405,D405="Код қәте",E405="Код қәте"),1,0))</x:f>
        <x:v>0</x:v>
      </x:c>
      <x:c r="N405" s="2" t="str">
        <x:f>IF(B405="","",_xlfn.IFNA(INDEX('Клиентлер'!$B$8:$B$31,MATCH(B405,'Клиентлер'!$A$8:$A$31,0)),"Код қәте"))</x:f>
      </x:c>
    </x:row>
    <x:row r="406" ht="40" customHeight="1">
      <x:c r="A406" s="12"/>
      <x:c r="B406" s="10"/>
      <x:c r="C406" s="10"/>
      <x:c r="D406" s="13" t="str">
        <x:f>IF(C406="","",_xlfn.IFNA(INDEX('Күнлик реже'!$D$8:$D$390,MATCH(C406,'Күнлик реже'!$A$8:$A$390,0)),"Код қәте"))</x:f>
      </x:c>
      <x:c r="E406" s="2" t="str">
        <x:f>IF(B406="","",_xlfn.IFNA(INDEX('Клиентлер'!$E$8:$E$31,MATCH(B406,'Клиентлер'!$A$8:$A$31,0)),"Код қәте"))</x:f>
      </x:c>
      <x:c r="F406" s="11"/>
      <x:c r="G406" s="11"/>
      <x:c r="H406" s="11"/>
      <x:c r="I406" s="11"/>
      <x:c r="J406" s="11"/>
      <x:c r="K406" s="10"/>
      <x:c r="L406" s="2" t="n">
        <x:f>IF(COUNTA(A406:C406,F406:K406)=0,0,IF(AND(COUNT(A406:C406)=3,COUNT(F406:J406)=5),0,1))</x:f>
        <x:v>0</x:v>
      </x:c>
      <x:c r="M406" s="2" t="n">
        <x:f>IF(COUNTA(A406:C406,F406:K406)=0,0,IF(OR(H406&gt;F406,I406&gt;G406,D406="Код қәте",E406="Код қәте"),1,0))</x:f>
        <x:v>0</x:v>
      </x:c>
      <x:c r="N406" s="2" t="str">
        <x:f>IF(B406="","",_xlfn.IFNA(INDEX('Клиентлер'!$B$8:$B$31,MATCH(B406,'Клиентлер'!$A$8:$A$31,0)),"Код қәте"))</x:f>
      </x:c>
    </x:row>
    <x:row r="407" ht="40" customHeight="1">
      <x:c r="A407" s="12"/>
      <x:c r="B407" s="10"/>
      <x:c r="C407" s="10"/>
      <x:c r="D407" s="13" t="str">
        <x:f>IF(C407="","",_xlfn.IFNA(INDEX('Күнлик реже'!$D$8:$D$390,MATCH(C407,'Күнлик реже'!$A$8:$A$390,0)),"Код қәте"))</x:f>
      </x:c>
      <x:c r="E407" s="2" t="str">
        <x:f>IF(B407="","",_xlfn.IFNA(INDEX('Клиентлер'!$E$8:$E$31,MATCH(B407,'Клиентлер'!$A$8:$A$31,0)),"Код қәте"))</x:f>
      </x:c>
      <x:c r="F407" s="11"/>
      <x:c r="G407" s="11"/>
      <x:c r="H407" s="11"/>
      <x:c r="I407" s="11"/>
      <x:c r="J407" s="11"/>
      <x:c r="K407" s="10"/>
      <x:c r="L407" s="2" t="n">
        <x:f>IF(COUNTA(A407:C407,F407:K407)=0,0,IF(AND(COUNT(A407:C407)=3,COUNT(F407:J407)=5),0,1))</x:f>
        <x:v>0</x:v>
      </x:c>
      <x:c r="M407" s="2" t="n">
        <x:f>IF(COUNTA(A407:C407,F407:K407)=0,0,IF(OR(H407&gt;F407,I407&gt;G407,D407="Код қәте",E407="Код қәте"),1,0))</x:f>
        <x:v>0</x:v>
      </x:c>
      <x:c r="N407" s="2" t="str">
        <x:f>IF(B407="","",_xlfn.IFNA(INDEX('Клиентлер'!$B$8:$B$31,MATCH(B407,'Клиентлер'!$A$8:$A$31,0)),"Код қәте"))</x:f>
      </x:c>
    </x:row>
    <x:row r="408" ht="40" customHeight="1">
      <x:c r="A408" s="12"/>
      <x:c r="B408" s="10"/>
      <x:c r="C408" s="10"/>
      <x:c r="D408" s="13" t="str">
        <x:f>IF(C408="","",_xlfn.IFNA(INDEX('Күнлик реже'!$D$8:$D$390,MATCH(C408,'Күнлик реже'!$A$8:$A$390,0)),"Код қәте"))</x:f>
      </x:c>
      <x:c r="E408" s="2" t="str">
        <x:f>IF(B408="","",_xlfn.IFNA(INDEX('Клиентлер'!$E$8:$E$31,MATCH(B408,'Клиентлер'!$A$8:$A$31,0)),"Код қәте"))</x:f>
      </x:c>
      <x:c r="F408" s="11"/>
      <x:c r="G408" s="11"/>
      <x:c r="H408" s="11"/>
      <x:c r="I408" s="11"/>
      <x:c r="J408" s="11"/>
      <x:c r="K408" s="10"/>
      <x:c r="L408" s="2" t="n">
        <x:f>IF(COUNTA(A408:C408,F408:K408)=0,0,IF(AND(COUNT(A408:C408)=3,COUNT(F408:J408)=5),0,1))</x:f>
        <x:v>0</x:v>
      </x:c>
      <x:c r="M408" s="2" t="n">
        <x:f>IF(COUNTA(A408:C408,F408:K408)=0,0,IF(OR(H408&gt;F408,I408&gt;G408,D408="Код қәте",E408="Код қәте"),1,0))</x:f>
        <x:v>0</x:v>
      </x:c>
      <x:c r="N408" s="2" t="str">
        <x:f>IF(B408="","",_xlfn.IFNA(INDEX('Клиентлер'!$B$8:$B$31,MATCH(B408,'Клиентлер'!$A$8:$A$31,0)),"Код қәте"))</x:f>
      </x:c>
    </x:row>
    <x:row r="409" ht="40" customHeight="1">
      <x:c r="A409" s="12"/>
      <x:c r="B409" s="10"/>
      <x:c r="C409" s="10"/>
      <x:c r="D409" s="13" t="str">
        <x:f>IF(C409="","",_xlfn.IFNA(INDEX('Күнлик реже'!$D$8:$D$390,MATCH(C409,'Күнлик реже'!$A$8:$A$390,0)),"Код қәте"))</x:f>
      </x:c>
      <x:c r="E409" s="2" t="str">
        <x:f>IF(B409="","",_xlfn.IFNA(INDEX('Клиентлер'!$E$8:$E$31,MATCH(B409,'Клиентлер'!$A$8:$A$31,0)),"Код қәте"))</x:f>
      </x:c>
      <x:c r="F409" s="11"/>
      <x:c r="G409" s="11"/>
      <x:c r="H409" s="11"/>
      <x:c r="I409" s="11"/>
      <x:c r="J409" s="11"/>
      <x:c r="K409" s="10"/>
      <x:c r="L409" s="2" t="n">
        <x:f>IF(COUNTA(A409:C409,F409:K409)=0,0,IF(AND(COUNT(A409:C409)=3,COUNT(F409:J409)=5),0,1))</x:f>
        <x:v>0</x:v>
      </x:c>
      <x:c r="M409" s="2" t="n">
        <x:f>IF(COUNTA(A409:C409,F409:K409)=0,0,IF(OR(H409&gt;F409,I409&gt;G409,D409="Код қәте",E409="Код қәте"),1,0))</x:f>
        <x:v>0</x:v>
      </x:c>
      <x:c r="N409" s="2" t="str">
        <x:f>IF(B409="","",_xlfn.IFNA(INDEX('Клиентлер'!$B$8:$B$31,MATCH(B409,'Клиентлер'!$A$8:$A$31,0)),"Код қәте"))</x:f>
      </x:c>
    </x:row>
    <x:row r="410" ht="40" customHeight="1">
      <x:c r="A410" s="12"/>
      <x:c r="B410" s="10"/>
      <x:c r="C410" s="10"/>
      <x:c r="D410" s="13" t="str">
        <x:f>IF(C410="","",_xlfn.IFNA(INDEX('Күнлик реже'!$D$8:$D$390,MATCH(C410,'Күнлик реже'!$A$8:$A$390,0)),"Код қәте"))</x:f>
      </x:c>
      <x:c r="E410" s="2" t="str">
        <x:f>IF(B410="","",_xlfn.IFNA(INDEX('Клиентлер'!$E$8:$E$31,MATCH(B410,'Клиентлер'!$A$8:$A$31,0)),"Код қәте"))</x:f>
      </x:c>
      <x:c r="F410" s="11"/>
      <x:c r="G410" s="11"/>
      <x:c r="H410" s="11"/>
      <x:c r="I410" s="11"/>
      <x:c r="J410" s="11"/>
      <x:c r="K410" s="10"/>
      <x:c r="L410" s="2" t="n">
        <x:f>IF(COUNTA(A410:C410,F410:K410)=0,0,IF(AND(COUNT(A410:C410)=3,COUNT(F410:J410)=5),0,1))</x:f>
        <x:v>0</x:v>
      </x:c>
      <x:c r="M410" s="2" t="n">
        <x:f>IF(COUNTA(A410:C410,F410:K410)=0,0,IF(OR(H410&gt;F410,I410&gt;G410,D410="Код қәте",E410="Код қәте"),1,0))</x:f>
        <x:v>0</x:v>
      </x:c>
      <x:c r="N410" s="2" t="str">
        <x:f>IF(B410="","",_xlfn.IFNA(INDEX('Клиентлер'!$B$8:$B$31,MATCH(B410,'Клиентлер'!$A$8:$A$31,0)),"Код қәте"))</x:f>
      </x:c>
    </x:row>
    <x:row r="411" ht="40" customHeight="1">
      <x:c r="A411" s="12"/>
      <x:c r="B411" s="10"/>
      <x:c r="C411" s="10"/>
      <x:c r="D411" s="13" t="str">
        <x:f>IF(C411="","",_xlfn.IFNA(INDEX('Күнлик реже'!$D$8:$D$390,MATCH(C411,'Күнлик реже'!$A$8:$A$390,0)),"Код қәте"))</x:f>
      </x:c>
      <x:c r="E411" s="2" t="str">
        <x:f>IF(B411="","",_xlfn.IFNA(INDEX('Клиентлер'!$E$8:$E$31,MATCH(B411,'Клиентлер'!$A$8:$A$31,0)),"Код қәте"))</x:f>
      </x:c>
      <x:c r="F411" s="11"/>
      <x:c r="G411" s="11"/>
      <x:c r="H411" s="11"/>
      <x:c r="I411" s="11"/>
      <x:c r="J411" s="11"/>
      <x:c r="K411" s="10"/>
      <x:c r="L411" s="2" t="n">
        <x:f>IF(COUNTA(A411:C411,F411:K411)=0,0,IF(AND(COUNT(A411:C411)=3,COUNT(F411:J411)=5),0,1))</x:f>
        <x:v>0</x:v>
      </x:c>
      <x:c r="M411" s="2" t="n">
        <x:f>IF(COUNTA(A411:C411,F411:K411)=0,0,IF(OR(H411&gt;F411,I411&gt;G411,D411="Код қәте",E411="Код қәте"),1,0))</x:f>
        <x:v>0</x:v>
      </x:c>
      <x:c r="N411" s="2" t="str">
        <x:f>IF(B411="","",_xlfn.IFNA(INDEX('Клиентлер'!$B$8:$B$31,MATCH(B411,'Клиентлер'!$A$8:$A$31,0)),"Код қәте"))</x:f>
      </x:c>
    </x:row>
    <x:row r="412" ht="40" customHeight="1">
      <x:c r="A412" s="12"/>
      <x:c r="B412" s="10"/>
      <x:c r="C412" s="10"/>
      <x:c r="D412" s="13" t="str">
        <x:f>IF(C412="","",_xlfn.IFNA(INDEX('Күнлик реже'!$D$8:$D$390,MATCH(C412,'Күнлик реже'!$A$8:$A$390,0)),"Код қәте"))</x:f>
      </x:c>
      <x:c r="E412" s="2" t="str">
        <x:f>IF(B412="","",_xlfn.IFNA(INDEX('Клиентлер'!$E$8:$E$31,MATCH(B412,'Клиентлер'!$A$8:$A$31,0)),"Код қәте"))</x:f>
      </x:c>
      <x:c r="F412" s="11"/>
      <x:c r="G412" s="11"/>
      <x:c r="H412" s="11"/>
      <x:c r="I412" s="11"/>
      <x:c r="J412" s="11"/>
      <x:c r="K412" s="10"/>
      <x:c r="L412" s="2" t="n">
        <x:f>IF(COUNTA(A412:C412,F412:K412)=0,0,IF(AND(COUNT(A412:C412)=3,COUNT(F412:J412)=5),0,1))</x:f>
        <x:v>0</x:v>
      </x:c>
      <x:c r="M412" s="2" t="n">
        <x:f>IF(COUNTA(A412:C412,F412:K412)=0,0,IF(OR(H412&gt;F412,I412&gt;G412,D412="Код қәте",E412="Код қәте"),1,0))</x:f>
        <x:v>0</x:v>
      </x:c>
      <x:c r="N412" s="2" t="str">
        <x:f>IF(B412="","",_xlfn.IFNA(INDEX('Клиентлер'!$B$8:$B$31,MATCH(B412,'Клиентлер'!$A$8:$A$31,0)),"Код қәте"))</x:f>
      </x:c>
    </x:row>
    <x:row r="413" ht="40" customHeight="1">
      <x:c r="A413" s="12"/>
      <x:c r="B413" s="10"/>
      <x:c r="C413" s="10"/>
      <x:c r="D413" s="13" t="str">
        <x:f>IF(C413="","",_xlfn.IFNA(INDEX('Күнлик реже'!$D$8:$D$390,MATCH(C413,'Күнлик реже'!$A$8:$A$390,0)),"Код қәте"))</x:f>
      </x:c>
      <x:c r="E413" s="2" t="str">
        <x:f>IF(B413="","",_xlfn.IFNA(INDEX('Клиентлер'!$E$8:$E$31,MATCH(B413,'Клиентлер'!$A$8:$A$31,0)),"Код қәте"))</x:f>
      </x:c>
      <x:c r="F413" s="11"/>
      <x:c r="G413" s="11"/>
      <x:c r="H413" s="11"/>
      <x:c r="I413" s="11"/>
      <x:c r="J413" s="11"/>
      <x:c r="K413" s="10"/>
      <x:c r="L413" s="2" t="n">
        <x:f>IF(COUNTA(A413:C413,F413:K413)=0,0,IF(AND(COUNT(A413:C413)=3,COUNT(F413:J413)=5),0,1))</x:f>
        <x:v>0</x:v>
      </x:c>
      <x:c r="M413" s="2" t="n">
        <x:f>IF(COUNTA(A413:C413,F413:K413)=0,0,IF(OR(H413&gt;F413,I413&gt;G413,D413="Код қәте",E413="Код қәте"),1,0))</x:f>
        <x:v>0</x:v>
      </x:c>
      <x:c r="N413" s="2" t="str">
        <x:f>IF(B413="","",_xlfn.IFNA(INDEX('Клиентлер'!$B$8:$B$31,MATCH(B413,'Клиентлер'!$A$8:$A$31,0)),"Код қәте"))</x:f>
      </x:c>
    </x:row>
    <x:row r="414" ht="40" customHeight="1">
      <x:c r="A414" s="12"/>
      <x:c r="B414" s="10"/>
      <x:c r="C414" s="10"/>
      <x:c r="D414" s="13" t="str">
        <x:f>IF(C414="","",_xlfn.IFNA(INDEX('Күнлик реже'!$D$8:$D$390,MATCH(C414,'Күнлик реже'!$A$8:$A$390,0)),"Код қәте"))</x:f>
      </x:c>
      <x:c r="E414" s="2" t="str">
        <x:f>IF(B414="","",_xlfn.IFNA(INDEX('Клиентлер'!$E$8:$E$31,MATCH(B414,'Клиентлер'!$A$8:$A$31,0)),"Код қәте"))</x:f>
      </x:c>
      <x:c r="F414" s="11"/>
      <x:c r="G414" s="11"/>
      <x:c r="H414" s="11"/>
      <x:c r="I414" s="11"/>
      <x:c r="J414" s="11"/>
      <x:c r="K414" s="10"/>
      <x:c r="L414" s="2" t="n">
        <x:f>IF(COUNTA(A414:C414,F414:K414)=0,0,IF(AND(COUNT(A414:C414)=3,COUNT(F414:J414)=5),0,1))</x:f>
        <x:v>0</x:v>
      </x:c>
      <x:c r="M414" s="2" t="n">
        <x:f>IF(COUNTA(A414:C414,F414:K414)=0,0,IF(OR(H414&gt;F414,I414&gt;G414,D414="Код қәте",E414="Код қәте"),1,0))</x:f>
        <x:v>0</x:v>
      </x:c>
      <x:c r="N414" s="2" t="str">
        <x:f>IF(B414="","",_xlfn.IFNA(INDEX('Клиентлер'!$B$8:$B$31,MATCH(B414,'Клиентлер'!$A$8:$A$31,0)),"Код қәте"))</x:f>
      </x:c>
    </x:row>
    <x:row r="415" ht="40" customHeight="1">
      <x:c r="A415" s="12"/>
      <x:c r="B415" s="10"/>
      <x:c r="C415" s="10"/>
      <x:c r="D415" s="13" t="str">
        <x:f>IF(C415="","",_xlfn.IFNA(INDEX('Күнлик реже'!$D$8:$D$390,MATCH(C415,'Күнлик реже'!$A$8:$A$390,0)),"Код қәте"))</x:f>
      </x:c>
      <x:c r="E415" s="2" t="str">
        <x:f>IF(B415="","",_xlfn.IFNA(INDEX('Клиентлер'!$E$8:$E$31,MATCH(B415,'Клиентлер'!$A$8:$A$31,0)),"Код қәте"))</x:f>
      </x:c>
      <x:c r="F415" s="11"/>
      <x:c r="G415" s="11"/>
      <x:c r="H415" s="11"/>
      <x:c r="I415" s="11"/>
      <x:c r="J415" s="11"/>
      <x:c r="K415" s="10"/>
      <x:c r="L415" s="2" t="n">
        <x:f>IF(COUNTA(A415:C415,F415:K415)=0,0,IF(AND(COUNT(A415:C415)=3,COUNT(F415:J415)=5),0,1))</x:f>
        <x:v>0</x:v>
      </x:c>
      <x:c r="M415" s="2" t="n">
        <x:f>IF(COUNTA(A415:C415,F415:K415)=0,0,IF(OR(H415&gt;F415,I415&gt;G415,D415="Код қәте",E415="Код қәте"),1,0))</x:f>
        <x:v>0</x:v>
      </x:c>
      <x:c r="N415" s="2" t="str">
        <x:f>IF(B415="","",_xlfn.IFNA(INDEX('Клиентлер'!$B$8:$B$31,MATCH(B415,'Клиентлер'!$A$8:$A$31,0)),"Код қәте"))</x:f>
      </x:c>
    </x:row>
    <x:row r="416" ht="40" customHeight="1">
      <x:c r="A416" s="12"/>
      <x:c r="B416" s="10"/>
      <x:c r="C416" s="10"/>
      <x:c r="D416" s="13" t="str">
        <x:f>IF(C416="","",_xlfn.IFNA(INDEX('Күнлик реже'!$D$8:$D$390,MATCH(C416,'Күнлик реже'!$A$8:$A$390,0)),"Код қәте"))</x:f>
      </x:c>
      <x:c r="E416" s="2" t="str">
        <x:f>IF(B416="","",_xlfn.IFNA(INDEX('Клиентлер'!$E$8:$E$31,MATCH(B416,'Клиентлер'!$A$8:$A$31,0)),"Код қәте"))</x:f>
      </x:c>
      <x:c r="F416" s="11"/>
      <x:c r="G416" s="11"/>
      <x:c r="H416" s="11"/>
      <x:c r="I416" s="11"/>
      <x:c r="J416" s="11"/>
      <x:c r="K416" s="10"/>
      <x:c r="L416" s="2" t="n">
        <x:f>IF(COUNTA(A416:C416,F416:K416)=0,0,IF(AND(COUNT(A416:C416)=3,COUNT(F416:J416)=5),0,1))</x:f>
        <x:v>0</x:v>
      </x:c>
      <x:c r="M416" s="2" t="n">
        <x:f>IF(COUNTA(A416:C416,F416:K416)=0,0,IF(OR(H416&gt;F416,I416&gt;G416,D416="Код қәте",E416="Код қәте"),1,0))</x:f>
        <x:v>0</x:v>
      </x:c>
      <x:c r="N416" s="2" t="str">
        <x:f>IF(B416="","",_xlfn.IFNA(INDEX('Клиентлер'!$B$8:$B$31,MATCH(B416,'Клиентлер'!$A$8:$A$31,0)),"Код қәте"))</x:f>
      </x:c>
    </x:row>
    <x:row r="417" ht="40" customHeight="1">
      <x:c r="A417" s="12"/>
      <x:c r="B417" s="10"/>
      <x:c r="C417" s="10"/>
      <x:c r="D417" s="13" t="str">
        <x:f>IF(C417="","",_xlfn.IFNA(INDEX('Күнлик реже'!$D$8:$D$390,MATCH(C417,'Күнлик реже'!$A$8:$A$390,0)),"Код қәте"))</x:f>
      </x:c>
      <x:c r="E417" s="2" t="str">
        <x:f>IF(B417="","",_xlfn.IFNA(INDEX('Клиентлер'!$E$8:$E$31,MATCH(B417,'Клиентлер'!$A$8:$A$31,0)),"Код қәте"))</x:f>
      </x:c>
      <x:c r="F417" s="11"/>
      <x:c r="G417" s="11"/>
      <x:c r="H417" s="11"/>
      <x:c r="I417" s="11"/>
      <x:c r="J417" s="11"/>
      <x:c r="K417" s="10"/>
      <x:c r="L417" s="2" t="n">
        <x:f>IF(COUNTA(A417:C417,F417:K417)=0,0,IF(AND(COUNT(A417:C417)=3,COUNT(F417:J417)=5),0,1))</x:f>
        <x:v>0</x:v>
      </x:c>
      <x:c r="M417" s="2" t="n">
        <x:f>IF(COUNTA(A417:C417,F417:K417)=0,0,IF(OR(H417&gt;F417,I417&gt;G417,D417="Код қәте",E417="Код қәте"),1,0))</x:f>
        <x:v>0</x:v>
      </x:c>
      <x:c r="N417" s="2" t="str">
        <x:f>IF(B417="","",_xlfn.IFNA(INDEX('Клиентлер'!$B$8:$B$31,MATCH(B417,'Клиентлер'!$A$8:$A$31,0)),"Код қәте"))</x:f>
      </x:c>
    </x:row>
    <x:row r="418" ht="40" customHeight="1">
      <x:c r="A418" s="12"/>
      <x:c r="B418" s="10"/>
      <x:c r="C418" s="10"/>
      <x:c r="D418" s="13" t="str">
        <x:f>IF(C418="","",_xlfn.IFNA(INDEX('Күнлик реже'!$D$8:$D$390,MATCH(C418,'Күнлик реже'!$A$8:$A$390,0)),"Код қәте"))</x:f>
      </x:c>
      <x:c r="E418" s="2" t="str">
        <x:f>IF(B418="","",_xlfn.IFNA(INDEX('Клиентлер'!$E$8:$E$31,MATCH(B418,'Клиентлер'!$A$8:$A$31,0)),"Код қәте"))</x:f>
      </x:c>
      <x:c r="F418" s="11"/>
      <x:c r="G418" s="11"/>
      <x:c r="H418" s="11"/>
      <x:c r="I418" s="11"/>
      <x:c r="J418" s="11"/>
      <x:c r="K418" s="10"/>
      <x:c r="L418" s="2" t="n">
        <x:f>IF(COUNTA(A418:C418,F418:K418)=0,0,IF(AND(COUNT(A418:C418)=3,COUNT(F418:J418)=5),0,1))</x:f>
        <x:v>0</x:v>
      </x:c>
      <x:c r="M418" s="2" t="n">
        <x:f>IF(COUNTA(A418:C418,F418:K418)=0,0,IF(OR(H418&gt;F418,I418&gt;G418,D418="Код қәте",E418="Код қәте"),1,0))</x:f>
        <x:v>0</x:v>
      </x:c>
      <x:c r="N418" s="2" t="str">
        <x:f>IF(B418="","",_xlfn.IFNA(INDEX('Клиентлер'!$B$8:$B$31,MATCH(B418,'Клиентлер'!$A$8:$A$31,0)),"Код қәте"))</x:f>
      </x:c>
    </x:row>
    <x:row r="419" ht="40" customHeight="1">
      <x:c r="A419" s="12"/>
      <x:c r="B419" s="10"/>
      <x:c r="C419" s="10"/>
      <x:c r="D419" s="13" t="str">
        <x:f>IF(C419="","",_xlfn.IFNA(INDEX('Күнлик реже'!$D$8:$D$390,MATCH(C419,'Күнлик реже'!$A$8:$A$390,0)),"Код қәте"))</x:f>
      </x:c>
      <x:c r="E419" s="2" t="str">
        <x:f>IF(B419="","",_xlfn.IFNA(INDEX('Клиентлер'!$E$8:$E$31,MATCH(B419,'Клиентлер'!$A$8:$A$31,0)),"Код қәте"))</x:f>
      </x:c>
      <x:c r="F419" s="11"/>
      <x:c r="G419" s="11"/>
      <x:c r="H419" s="11"/>
      <x:c r="I419" s="11"/>
      <x:c r="J419" s="11"/>
      <x:c r="K419" s="10"/>
      <x:c r="L419" s="2" t="n">
        <x:f>IF(COUNTA(A419:C419,F419:K419)=0,0,IF(AND(COUNT(A419:C419)=3,COUNT(F419:J419)=5),0,1))</x:f>
        <x:v>0</x:v>
      </x:c>
      <x:c r="M419" s="2" t="n">
        <x:f>IF(COUNTA(A419:C419,F419:K419)=0,0,IF(OR(H419&gt;F419,I419&gt;G419,D419="Код қәте",E419="Код қәте"),1,0))</x:f>
        <x:v>0</x:v>
      </x:c>
      <x:c r="N419" s="2" t="str">
        <x:f>IF(B419="","",_xlfn.IFNA(INDEX('Клиентлер'!$B$8:$B$31,MATCH(B419,'Клиентлер'!$A$8:$A$31,0)),"Код қәте"))</x:f>
      </x:c>
    </x:row>
    <x:row r="420" ht="40" customHeight="1">
      <x:c r="A420" s="12"/>
      <x:c r="B420" s="10"/>
      <x:c r="C420" s="10"/>
      <x:c r="D420" s="13" t="str">
        <x:f>IF(C420="","",_xlfn.IFNA(INDEX('Күнлик реже'!$D$8:$D$390,MATCH(C420,'Күнлик реже'!$A$8:$A$390,0)),"Код қәте"))</x:f>
      </x:c>
      <x:c r="E420" s="2" t="str">
        <x:f>IF(B420="","",_xlfn.IFNA(INDEX('Клиентлер'!$E$8:$E$31,MATCH(B420,'Клиентлер'!$A$8:$A$31,0)),"Код қәте"))</x:f>
      </x:c>
      <x:c r="F420" s="11"/>
      <x:c r="G420" s="11"/>
      <x:c r="H420" s="11"/>
      <x:c r="I420" s="11"/>
      <x:c r="J420" s="11"/>
      <x:c r="K420" s="10"/>
      <x:c r="L420" s="2" t="n">
        <x:f>IF(COUNTA(A420:C420,F420:K420)=0,0,IF(AND(COUNT(A420:C420)=3,COUNT(F420:J420)=5),0,1))</x:f>
        <x:v>0</x:v>
      </x:c>
      <x:c r="M420" s="2" t="n">
        <x:f>IF(COUNTA(A420:C420,F420:K420)=0,0,IF(OR(H420&gt;F420,I420&gt;G420,D420="Код қәте",E420="Код қәте"),1,0))</x:f>
        <x:v>0</x:v>
      </x:c>
      <x:c r="N420" s="2" t="str">
        <x:f>IF(B420="","",_xlfn.IFNA(INDEX('Клиентлер'!$B$8:$B$31,MATCH(B420,'Клиентлер'!$A$8:$A$31,0)),"Код қәте"))</x:f>
      </x:c>
    </x:row>
    <x:row r="421" ht="40" customHeight="1">
      <x:c r="A421" s="12"/>
      <x:c r="B421" s="10"/>
      <x:c r="C421" s="10"/>
      <x:c r="D421" s="13" t="str">
        <x:f>IF(C421="","",_xlfn.IFNA(INDEX('Күнлик реже'!$D$8:$D$390,MATCH(C421,'Күнлик реже'!$A$8:$A$390,0)),"Код қәте"))</x:f>
      </x:c>
      <x:c r="E421" s="2" t="str">
        <x:f>IF(B421="","",_xlfn.IFNA(INDEX('Клиентлер'!$E$8:$E$31,MATCH(B421,'Клиентлер'!$A$8:$A$31,0)),"Код қәте"))</x:f>
      </x:c>
      <x:c r="F421" s="11"/>
      <x:c r="G421" s="11"/>
      <x:c r="H421" s="11"/>
      <x:c r="I421" s="11"/>
      <x:c r="J421" s="11"/>
      <x:c r="K421" s="10"/>
      <x:c r="L421" s="2" t="n">
        <x:f>IF(COUNTA(A421:C421,F421:K421)=0,0,IF(AND(COUNT(A421:C421)=3,COUNT(F421:J421)=5),0,1))</x:f>
        <x:v>0</x:v>
      </x:c>
      <x:c r="M421" s="2" t="n">
        <x:f>IF(COUNTA(A421:C421,F421:K421)=0,0,IF(OR(H421&gt;F421,I421&gt;G421,D421="Код қәте",E421="Код қәте"),1,0))</x:f>
        <x:v>0</x:v>
      </x:c>
      <x:c r="N421" s="2" t="str">
        <x:f>IF(B421="","",_xlfn.IFNA(INDEX('Клиентлер'!$B$8:$B$31,MATCH(B421,'Клиентлер'!$A$8:$A$31,0)),"Код қәте"))</x:f>
      </x:c>
    </x:row>
    <x:row r="422" ht="40" customHeight="1">
      <x:c r="A422" s="12"/>
      <x:c r="B422" s="10"/>
      <x:c r="C422" s="10"/>
      <x:c r="D422" s="13" t="str">
        <x:f>IF(C422="","",_xlfn.IFNA(INDEX('Күнлик реже'!$D$8:$D$390,MATCH(C422,'Күнлик реже'!$A$8:$A$390,0)),"Код қәте"))</x:f>
      </x:c>
      <x:c r="E422" s="2" t="str">
        <x:f>IF(B422="","",_xlfn.IFNA(INDEX('Клиентлер'!$E$8:$E$31,MATCH(B422,'Клиентлер'!$A$8:$A$31,0)),"Код қәте"))</x:f>
      </x:c>
      <x:c r="F422" s="11"/>
      <x:c r="G422" s="11"/>
      <x:c r="H422" s="11"/>
      <x:c r="I422" s="11"/>
      <x:c r="J422" s="11"/>
      <x:c r="K422" s="10"/>
      <x:c r="L422" s="2" t="n">
        <x:f>IF(COUNTA(A422:C422,F422:K422)=0,0,IF(AND(COUNT(A422:C422)=3,COUNT(F422:J422)=5),0,1))</x:f>
        <x:v>0</x:v>
      </x:c>
      <x:c r="M422" s="2" t="n">
        <x:f>IF(COUNTA(A422:C422,F422:K422)=0,0,IF(OR(H422&gt;F422,I422&gt;G422,D422="Код қәте",E422="Код қәте"),1,0))</x:f>
        <x:v>0</x:v>
      </x:c>
      <x:c r="N422" s="2" t="str">
        <x:f>IF(B422="","",_xlfn.IFNA(INDEX('Клиентлер'!$B$8:$B$31,MATCH(B422,'Клиентлер'!$A$8:$A$31,0)),"Код қәте"))</x:f>
      </x:c>
    </x:row>
    <x:row r="423" ht="40" customHeight="1">
      <x:c r="A423" s="12"/>
      <x:c r="B423" s="10"/>
      <x:c r="C423" s="10"/>
      <x:c r="D423" s="13" t="str">
        <x:f>IF(C423="","",_xlfn.IFNA(INDEX('Күнлик реже'!$D$8:$D$390,MATCH(C423,'Күнлик реже'!$A$8:$A$390,0)),"Код қәте"))</x:f>
      </x:c>
      <x:c r="E423" s="2" t="str">
        <x:f>IF(B423="","",_xlfn.IFNA(INDEX('Клиентлер'!$E$8:$E$31,MATCH(B423,'Клиентлер'!$A$8:$A$31,0)),"Код қәте"))</x:f>
      </x:c>
      <x:c r="F423" s="11"/>
      <x:c r="G423" s="11"/>
      <x:c r="H423" s="11"/>
      <x:c r="I423" s="11"/>
      <x:c r="J423" s="11"/>
      <x:c r="K423" s="10"/>
      <x:c r="L423" s="2" t="n">
        <x:f>IF(COUNTA(A423:C423,F423:K423)=0,0,IF(AND(COUNT(A423:C423)=3,COUNT(F423:J423)=5),0,1))</x:f>
        <x:v>0</x:v>
      </x:c>
      <x:c r="M423" s="2" t="n">
        <x:f>IF(COUNTA(A423:C423,F423:K423)=0,0,IF(OR(H423&gt;F423,I423&gt;G423,D423="Код қәте",E423="Код қәте"),1,0))</x:f>
        <x:v>0</x:v>
      </x:c>
      <x:c r="N423" s="2" t="str">
        <x:f>IF(B423="","",_xlfn.IFNA(INDEX('Клиентлер'!$B$8:$B$31,MATCH(B423,'Клиентлер'!$A$8:$A$31,0)),"Код қәте"))</x:f>
      </x:c>
    </x:row>
    <x:row r="424" ht="40" customHeight="1">
      <x:c r="A424" s="12"/>
      <x:c r="B424" s="10"/>
      <x:c r="C424" s="10"/>
      <x:c r="D424" s="13" t="str">
        <x:f>IF(C424="","",_xlfn.IFNA(INDEX('Күнлик реже'!$D$8:$D$390,MATCH(C424,'Күнлик реже'!$A$8:$A$390,0)),"Код қәте"))</x:f>
      </x:c>
      <x:c r="E424" s="2" t="str">
        <x:f>IF(B424="","",_xlfn.IFNA(INDEX('Клиентлер'!$E$8:$E$31,MATCH(B424,'Клиентлер'!$A$8:$A$31,0)),"Код қәте"))</x:f>
      </x:c>
      <x:c r="F424" s="11"/>
      <x:c r="G424" s="11"/>
      <x:c r="H424" s="11"/>
      <x:c r="I424" s="11"/>
      <x:c r="J424" s="11"/>
      <x:c r="K424" s="10"/>
      <x:c r="L424" s="2" t="n">
        <x:f>IF(COUNTA(A424:C424,F424:K424)=0,0,IF(AND(COUNT(A424:C424)=3,COUNT(F424:J424)=5),0,1))</x:f>
        <x:v>0</x:v>
      </x:c>
      <x:c r="M424" s="2" t="n">
        <x:f>IF(COUNTA(A424:C424,F424:K424)=0,0,IF(OR(H424&gt;F424,I424&gt;G424,D424="Код қәте",E424="Код қәте"),1,0))</x:f>
        <x:v>0</x:v>
      </x:c>
      <x:c r="N424" s="2" t="str">
        <x:f>IF(B424="","",_xlfn.IFNA(INDEX('Клиентлер'!$B$8:$B$31,MATCH(B424,'Клиентлер'!$A$8:$A$31,0)),"Код қәте"))</x:f>
      </x:c>
    </x:row>
    <x:row r="425" ht="40" customHeight="1">
      <x:c r="A425" s="12"/>
      <x:c r="B425" s="10"/>
      <x:c r="C425" s="10"/>
      <x:c r="D425" s="13" t="str">
        <x:f>IF(C425="","",_xlfn.IFNA(INDEX('Күнлик реже'!$D$8:$D$390,MATCH(C425,'Күнлик реже'!$A$8:$A$390,0)),"Код қәте"))</x:f>
      </x:c>
      <x:c r="E425" s="2" t="str">
        <x:f>IF(B425="","",_xlfn.IFNA(INDEX('Клиентлер'!$E$8:$E$31,MATCH(B425,'Клиентлер'!$A$8:$A$31,0)),"Код қәте"))</x:f>
      </x:c>
      <x:c r="F425" s="11"/>
      <x:c r="G425" s="11"/>
      <x:c r="H425" s="11"/>
      <x:c r="I425" s="11"/>
      <x:c r="J425" s="11"/>
      <x:c r="K425" s="10"/>
      <x:c r="L425" s="2" t="n">
        <x:f>IF(COUNTA(A425:C425,F425:K425)=0,0,IF(AND(COUNT(A425:C425)=3,COUNT(F425:J425)=5),0,1))</x:f>
        <x:v>0</x:v>
      </x:c>
      <x:c r="M425" s="2" t="n">
        <x:f>IF(COUNTA(A425:C425,F425:K425)=0,0,IF(OR(H425&gt;F425,I425&gt;G425,D425="Код қәте",E425="Код қәте"),1,0))</x:f>
        <x:v>0</x:v>
      </x:c>
      <x:c r="N425" s="2" t="str">
        <x:f>IF(B425="","",_xlfn.IFNA(INDEX('Клиентлер'!$B$8:$B$31,MATCH(B425,'Клиентлер'!$A$8:$A$31,0)),"Код қәте"))</x:f>
      </x:c>
    </x:row>
    <x:row r="426" ht="40" customHeight="1">
      <x:c r="A426" s="12"/>
      <x:c r="B426" s="10"/>
      <x:c r="C426" s="10"/>
      <x:c r="D426" s="13" t="str">
        <x:f>IF(C426="","",_xlfn.IFNA(INDEX('Күнлик реже'!$D$8:$D$390,MATCH(C426,'Күнлик реже'!$A$8:$A$390,0)),"Код қәте"))</x:f>
      </x:c>
      <x:c r="E426" s="2" t="str">
        <x:f>IF(B426="","",_xlfn.IFNA(INDEX('Клиентлер'!$E$8:$E$31,MATCH(B426,'Клиентлер'!$A$8:$A$31,0)),"Код қәте"))</x:f>
      </x:c>
      <x:c r="F426" s="11"/>
      <x:c r="G426" s="11"/>
      <x:c r="H426" s="11"/>
      <x:c r="I426" s="11"/>
      <x:c r="J426" s="11"/>
      <x:c r="K426" s="10"/>
      <x:c r="L426" s="2" t="n">
        <x:f>IF(COUNTA(A426:C426,F426:K426)=0,0,IF(AND(COUNT(A426:C426)=3,COUNT(F426:J426)=5),0,1))</x:f>
        <x:v>0</x:v>
      </x:c>
      <x:c r="M426" s="2" t="n">
        <x:f>IF(COUNTA(A426:C426,F426:K426)=0,0,IF(OR(H426&gt;F426,I426&gt;G426,D426="Код қәте",E426="Код қәте"),1,0))</x:f>
        <x:v>0</x:v>
      </x:c>
      <x:c r="N426" s="2" t="str">
        <x:f>IF(B426="","",_xlfn.IFNA(INDEX('Клиентлер'!$B$8:$B$31,MATCH(B426,'Клиентлер'!$A$8:$A$31,0)),"Код қәте"))</x:f>
      </x:c>
    </x:row>
    <x:row r="427" ht="40" customHeight="1">
      <x:c r="A427" s="12"/>
      <x:c r="B427" s="10"/>
      <x:c r="C427" s="10"/>
      <x:c r="D427" s="13" t="str">
        <x:f>IF(C427="","",_xlfn.IFNA(INDEX('Күнлик реже'!$D$8:$D$390,MATCH(C427,'Күнлик реже'!$A$8:$A$390,0)),"Код қәте"))</x:f>
      </x:c>
      <x:c r="E427" s="2" t="str">
        <x:f>IF(B427="","",_xlfn.IFNA(INDEX('Клиентлер'!$E$8:$E$31,MATCH(B427,'Клиентлер'!$A$8:$A$31,0)),"Код қәте"))</x:f>
      </x:c>
      <x:c r="F427" s="11"/>
      <x:c r="G427" s="11"/>
      <x:c r="H427" s="11"/>
      <x:c r="I427" s="11"/>
      <x:c r="J427" s="11"/>
      <x:c r="K427" s="10"/>
      <x:c r="L427" s="2" t="n">
        <x:f>IF(COUNTA(A427:C427,F427:K427)=0,0,IF(AND(COUNT(A427:C427)=3,COUNT(F427:J427)=5),0,1))</x:f>
        <x:v>0</x:v>
      </x:c>
      <x:c r="M427" s="2" t="n">
        <x:f>IF(COUNTA(A427:C427,F427:K427)=0,0,IF(OR(H427&gt;F427,I427&gt;G427,D427="Код қәте",E427="Код қәте"),1,0))</x:f>
        <x:v>0</x:v>
      </x:c>
      <x:c r="N427" s="2" t="str">
        <x:f>IF(B427="","",_xlfn.IFNA(INDEX('Клиентлер'!$B$8:$B$31,MATCH(B427,'Клиентлер'!$A$8:$A$31,0)),"Код қәте"))</x:f>
      </x:c>
    </x:row>
    <x:row r="428" ht="40" customHeight="1">
      <x:c r="A428" s="12"/>
      <x:c r="B428" s="10"/>
      <x:c r="C428" s="10"/>
      <x:c r="D428" s="13" t="str">
        <x:f>IF(C428="","",_xlfn.IFNA(INDEX('Күнлик реже'!$D$8:$D$390,MATCH(C428,'Күнлик реже'!$A$8:$A$390,0)),"Код қәте"))</x:f>
      </x:c>
      <x:c r="E428" s="2" t="str">
        <x:f>IF(B428="","",_xlfn.IFNA(INDEX('Клиентлер'!$E$8:$E$31,MATCH(B428,'Клиентлер'!$A$8:$A$31,0)),"Код қәте"))</x:f>
      </x:c>
      <x:c r="F428" s="11"/>
      <x:c r="G428" s="11"/>
      <x:c r="H428" s="11"/>
      <x:c r="I428" s="11"/>
      <x:c r="J428" s="11"/>
      <x:c r="K428" s="10"/>
      <x:c r="L428" s="2" t="n">
        <x:f>IF(COUNTA(A428:C428,F428:K428)=0,0,IF(AND(COUNT(A428:C428)=3,COUNT(F428:J428)=5),0,1))</x:f>
        <x:v>0</x:v>
      </x:c>
      <x:c r="M428" s="2" t="n">
        <x:f>IF(COUNTA(A428:C428,F428:K428)=0,0,IF(OR(H428&gt;F428,I428&gt;G428,D428="Код қәте",E428="Код қәте"),1,0))</x:f>
        <x:v>0</x:v>
      </x:c>
      <x:c r="N428" s="2" t="str">
        <x:f>IF(B428="","",_xlfn.IFNA(INDEX('Клиентлер'!$B$8:$B$31,MATCH(B428,'Клиентлер'!$A$8:$A$31,0)),"Код қәте"))</x:f>
      </x:c>
    </x:row>
    <x:row r="429" ht="40" customHeight="1">
      <x:c r="A429" s="12"/>
      <x:c r="B429" s="10"/>
      <x:c r="C429" s="10"/>
      <x:c r="D429" s="13" t="str">
        <x:f>IF(C429="","",_xlfn.IFNA(INDEX('Күнлик реже'!$D$8:$D$390,MATCH(C429,'Күнлик реже'!$A$8:$A$390,0)),"Код қәте"))</x:f>
      </x:c>
      <x:c r="E429" s="2" t="str">
        <x:f>IF(B429="","",_xlfn.IFNA(INDEX('Клиентлер'!$E$8:$E$31,MATCH(B429,'Клиентлер'!$A$8:$A$31,0)),"Код қәте"))</x:f>
      </x:c>
      <x:c r="F429" s="11"/>
      <x:c r="G429" s="11"/>
      <x:c r="H429" s="11"/>
      <x:c r="I429" s="11"/>
      <x:c r="J429" s="11"/>
      <x:c r="K429" s="10"/>
      <x:c r="L429" s="2" t="n">
        <x:f>IF(COUNTA(A429:C429,F429:K429)=0,0,IF(AND(COUNT(A429:C429)=3,COUNT(F429:J429)=5),0,1))</x:f>
        <x:v>0</x:v>
      </x:c>
      <x:c r="M429" s="2" t="n">
        <x:f>IF(COUNTA(A429:C429,F429:K429)=0,0,IF(OR(H429&gt;F429,I429&gt;G429,D429="Код қәте",E429="Код қәте"),1,0))</x:f>
        <x:v>0</x:v>
      </x:c>
      <x:c r="N429" s="2" t="str">
        <x:f>IF(B429="","",_xlfn.IFNA(INDEX('Клиентлер'!$B$8:$B$31,MATCH(B429,'Клиентлер'!$A$8:$A$31,0)),"Код қәте"))</x:f>
      </x:c>
    </x:row>
    <x:row r="430" ht="40" customHeight="1">
      <x:c r="A430" s="12"/>
      <x:c r="B430" s="10"/>
      <x:c r="C430" s="10"/>
      <x:c r="D430" s="13" t="str">
        <x:f>IF(C430="","",_xlfn.IFNA(INDEX('Күнлик реже'!$D$8:$D$390,MATCH(C430,'Күнлик реже'!$A$8:$A$390,0)),"Код қәте"))</x:f>
      </x:c>
      <x:c r="E430" s="2" t="str">
        <x:f>IF(B430="","",_xlfn.IFNA(INDEX('Клиентлер'!$E$8:$E$31,MATCH(B430,'Клиентлер'!$A$8:$A$31,0)),"Код қәте"))</x:f>
      </x:c>
      <x:c r="F430" s="11"/>
      <x:c r="G430" s="11"/>
      <x:c r="H430" s="11"/>
      <x:c r="I430" s="11"/>
      <x:c r="J430" s="11"/>
      <x:c r="K430" s="10"/>
      <x:c r="L430" s="2" t="n">
        <x:f>IF(COUNTA(A430:C430,F430:K430)=0,0,IF(AND(COUNT(A430:C430)=3,COUNT(F430:J430)=5),0,1))</x:f>
        <x:v>0</x:v>
      </x:c>
      <x:c r="M430" s="2" t="n">
        <x:f>IF(COUNTA(A430:C430,F430:K430)=0,0,IF(OR(H430&gt;F430,I430&gt;G430,D430="Код қәте",E430="Код қәте"),1,0))</x:f>
        <x:v>0</x:v>
      </x:c>
      <x:c r="N430" s="2" t="str">
        <x:f>IF(B430="","",_xlfn.IFNA(INDEX('Клиентлер'!$B$8:$B$31,MATCH(B430,'Клиентлер'!$A$8:$A$31,0)),"Код қәте"))</x:f>
      </x:c>
    </x:row>
    <x:row r="431" ht="40" customHeight="1">
      <x:c r="A431" s="12"/>
      <x:c r="B431" s="10"/>
      <x:c r="C431" s="10"/>
      <x:c r="D431" s="13" t="str">
        <x:f>IF(C431="","",_xlfn.IFNA(INDEX('Күнлик реже'!$D$8:$D$390,MATCH(C431,'Күнлик реже'!$A$8:$A$390,0)),"Код қәте"))</x:f>
      </x:c>
      <x:c r="E431" s="2" t="str">
        <x:f>IF(B431="","",_xlfn.IFNA(INDEX('Клиентлер'!$E$8:$E$31,MATCH(B431,'Клиентлер'!$A$8:$A$31,0)),"Код қәте"))</x:f>
      </x:c>
      <x:c r="F431" s="11"/>
      <x:c r="G431" s="11"/>
      <x:c r="H431" s="11"/>
      <x:c r="I431" s="11"/>
      <x:c r="J431" s="11"/>
      <x:c r="K431" s="10"/>
      <x:c r="L431" s="2" t="n">
        <x:f>IF(COUNTA(A431:C431,F431:K431)=0,0,IF(AND(COUNT(A431:C431)=3,COUNT(F431:J431)=5),0,1))</x:f>
        <x:v>0</x:v>
      </x:c>
      <x:c r="M431" s="2" t="n">
        <x:f>IF(COUNTA(A431:C431,F431:K431)=0,0,IF(OR(H431&gt;F431,I431&gt;G431,D431="Код қәте",E431="Код қәте"),1,0))</x:f>
        <x:v>0</x:v>
      </x:c>
      <x:c r="N431" s="2" t="str">
        <x:f>IF(B431="","",_xlfn.IFNA(INDEX('Клиентлер'!$B$8:$B$31,MATCH(B431,'Клиентлер'!$A$8:$A$31,0)),"Код қәте"))</x:f>
      </x:c>
    </x:row>
    <x:row r="432" ht="40" customHeight="1">
      <x:c r="A432" s="12"/>
      <x:c r="B432" s="10"/>
      <x:c r="C432" s="10"/>
      <x:c r="D432" s="13" t="str">
        <x:f>IF(C432="","",_xlfn.IFNA(INDEX('Күнлик реже'!$D$8:$D$390,MATCH(C432,'Күнлик реже'!$A$8:$A$390,0)),"Код қәте"))</x:f>
      </x:c>
      <x:c r="E432" s="2" t="str">
        <x:f>IF(B432="","",_xlfn.IFNA(INDEX('Клиентлер'!$E$8:$E$31,MATCH(B432,'Клиентлер'!$A$8:$A$31,0)),"Код қәте"))</x:f>
      </x:c>
      <x:c r="F432" s="11"/>
      <x:c r="G432" s="11"/>
      <x:c r="H432" s="11"/>
      <x:c r="I432" s="11"/>
      <x:c r="J432" s="11"/>
      <x:c r="K432" s="10"/>
      <x:c r="L432" s="2" t="n">
        <x:f>IF(COUNTA(A432:C432,F432:K432)=0,0,IF(AND(COUNT(A432:C432)=3,COUNT(F432:J432)=5),0,1))</x:f>
        <x:v>0</x:v>
      </x:c>
      <x:c r="M432" s="2" t="n">
        <x:f>IF(COUNTA(A432:C432,F432:K432)=0,0,IF(OR(H432&gt;F432,I432&gt;G432,D432="Код қәте",E432="Код қәте"),1,0))</x:f>
        <x:v>0</x:v>
      </x:c>
      <x:c r="N432" s="2" t="str">
        <x:f>IF(B432="","",_xlfn.IFNA(INDEX('Клиентлер'!$B$8:$B$31,MATCH(B432,'Клиентлер'!$A$8:$A$31,0)),"Код қәте"))</x:f>
      </x:c>
    </x:row>
    <x:row r="433" ht="40" customHeight="1">
      <x:c r="A433" s="12"/>
      <x:c r="B433" s="10"/>
      <x:c r="C433" s="10"/>
      <x:c r="D433" s="13" t="str">
        <x:f>IF(C433="","",_xlfn.IFNA(INDEX('Күнлик реже'!$D$8:$D$390,MATCH(C433,'Күнлик реже'!$A$8:$A$390,0)),"Код қәте"))</x:f>
      </x:c>
      <x:c r="E433" s="2" t="str">
        <x:f>IF(B433="","",_xlfn.IFNA(INDEX('Клиентлер'!$E$8:$E$31,MATCH(B433,'Клиентлер'!$A$8:$A$31,0)),"Код қәте"))</x:f>
      </x:c>
      <x:c r="F433" s="11"/>
      <x:c r="G433" s="11"/>
      <x:c r="H433" s="11"/>
      <x:c r="I433" s="11"/>
      <x:c r="J433" s="11"/>
      <x:c r="K433" s="10"/>
      <x:c r="L433" s="2" t="n">
        <x:f>IF(COUNTA(A433:C433,F433:K433)=0,0,IF(AND(COUNT(A433:C433)=3,COUNT(F433:J433)=5),0,1))</x:f>
        <x:v>0</x:v>
      </x:c>
      <x:c r="M433" s="2" t="n">
        <x:f>IF(COUNTA(A433:C433,F433:K433)=0,0,IF(OR(H433&gt;F433,I433&gt;G433,D433="Код қәте",E433="Код қәте"),1,0))</x:f>
        <x:v>0</x:v>
      </x:c>
      <x:c r="N433" s="2" t="str">
        <x:f>IF(B433="","",_xlfn.IFNA(INDEX('Клиентлер'!$B$8:$B$31,MATCH(B433,'Клиентлер'!$A$8:$A$31,0)),"Код қәте"))</x:f>
      </x:c>
    </x:row>
    <x:row r="434" ht="40" customHeight="1">
      <x:c r="A434" s="12"/>
      <x:c r="B434" s="10"/>
      <x:c r="C434" s="10"/>
      <x:c r="D434" s="13" t="str">
        <x:f>IF(C434="","",_xlfn.IFNA(INDEX('Күнлик реже'!$D$8:$D$390,MATCH(C434,'Күнлик реже'!$A$8:$A$390,0)),"Код қәте"))</x:f>
      </x:c>
      <x:c r="E434" s="2" t="str">
        <x:f>IF(B434="","",_xlfn.IFNA(INDEX('Клиентлер'!$E$8:$E$31,MATCH(B434,'Клиентлер'!$A$8:$A$31,0)),"Код қәте"))</x:f>
      </x:c>
      <x:c r="F434" s="11"/>
      <x:c r="G434" s="11"/>
      <x:c r="H434" s="11"/>
      <x:c r="I434" s="11"/>
      <x:c r="J434" s="11"/>
      <x:c r="K434" s="10"/>
      <x:c r="L434" s="2" t="n">
        <x:f>IF(COUNTA(A434:C434,F434:K434)=0,0,IF(AND(COUNT(A434:C434)=3,COUNT(F434:J434)=5),0,1))</x:f>
        <x:v>0</x:v>
      </x:c>
      <x:c r="M434" s="2" t="n">
        <x:f>IF(COUNTA(A434:C434,F434:K434)=0,0,IF(OR(H434&gt;F434,I434&gt;G434,D434="Код қәте",E434="Код қәте"),1,0))</x:f>
        <x:v>0</x:v>
      </x:c>
      <x:c r="N434" s="2" t="str">
        <x:f>IF(B434="","",_xlfn.IFNA(INDEX('Клиентлер'!$B$8:$B$31,MATCH(B434,'Клиентлер'!$A$8:$A$31,0)),"Код қәте"))</x:f>
      </x:c>
    </x:row>
    <x:row r="435" ht="40" customHeight="1">
      <x:c r="A435" s="12"/>
      <x:c r="B435" s="10"/>
      <x:c r="C435" s="10"/>
      <x:c r="D435" s="13" t="str">
        <x:f>IF(C435="","",_xlfn.IFNA(INDEX('Күнлик реже'!$D$8:$D$390,MATCH(C435,'Күнлик реже'!$A$8:$A$390,0)),"Код қәте"))</x:f>
      </x:c>
      <x:c r="E435" s="2" t="str">
        <x:f>IF(B435="","",_xlfn.IFNA(INDEX('Клиентлер'!$E$8:$E$31,MATCH(B435,'Клиентлер'!$A$8:$A$31,0)),"Код қәте"))</x:f>
      </x:c>
      <x:c r="F435" s="11"/>
      <x:c r="G435" s="11"/>
      <x:c r="H435" s="11"/>
      <x:c r="I435" s="11"/>
      <x:c r="J435" s="11"/>
      <x:c r="K435" s="10"/>
      <x:c r="L435" s="2" t="n">
        <x:f>IF(COUNTA(A435:C435,F435:K435)=0,0,IF(AND(COUNT(A435:C435)=3,COUNT(F435:J435)=5),0,1))</x:f>
        <x:v>0</x:v>
      </x:c>
      <x:c r="M435" s="2" t="n">
        <x:f>IF(COUNTA(A435:C435,F435:K435)=0,0,IF(OR(H435&gt;F435,I435&gt;G435,D435="Код қәте",E435="Код қәте"),1,0))</x:f>
        <x:v>0</x:v>
      </x:c>
      <x:c r="N435" s="2" t="str">
        <x:f>IF(B435="","",_xlfn.IFNA(INDEX('Клиентлер'!$B$8:$B$31,MATCH(B435,'Клиентлер'!$A$8:$A$31,0)),"Код қәте"))</x:f>
      </x:c>
    </x:row>
    <x:row r="436" ht="40" customHeight="1">
      <x:c r="A436" s="12"/>
      <x:c r="B436" s="10"/>
      <x:c r="C436" s="10"/>
      <x:c r="D436" s="13" t="str">
        <x:f>IF(C436="","",_xlfn.IFNA(INDEX('Күнлик реже'!$D$8:$D$390,MATCH(C436,'Күнлик реже'!$A$8:$A$390,0)),"Код қәте"))</x:f>
      </x:c>
      <x:c r="E436" s="2" t="str">
        <x:f>IF(B436="","",_xlfn.IFNA(INDEX('Клиентлер'!$E$8:$E$31,MATCH(B436,'Клиентлер'!$A$8:$A$31,0)),"Код қәте"))</x:f>
      </x:c>
      <x:c r="F436" s="11"/>
      <x:c r="G436" s="11"/>
      <x:c r="H436" s="11"/>
      <x:c r="I436" s="11"/>
      <x:c r="J436" s="11"/>
      <x:c r="K436" s="10"/>
      <x:c r="L436" s="2" t="n">
        <x:f>IF(COUNTA(A436:C436,F436:K436)=0,0,IF(AND(COUNT(A436:C436)=3,COUNT(F436:J436)=5),0,1))</x:f>
        <x:v>0</x:v>
      </x:c>
      <x:c r="M436" s="2" t="n">
        <x:f>IF(COUNTA(A436:C436,F436:K436)=0,0,IF(OR(H436&gt;F436,I436&gt;G436,D436="Код қәте",E436="Код қәте"),1,0))</x:f>
        <x:v>0</x:v>
      </x:c>
      <x:c r="N436" s="2" t="str">
        <x:f>IF(B436="","",_xlfn.IFNA(INDEX('Клиентлер'!$B$8:$B$31,MATCH(B436,'Клиентлер'!$A$8:$A$31,0)),"Код қәте"))</x:f>
      </x:c>
    </x:row>
    <x:row r="437" ht="40" customHeight="1">
      <x:c r="A437" s="12"/>
      <x:c r="B437" s="10"/>
      <x:c r="C437" s="10"/>
      <x:c r="D437" s="13" t="str">
        <x:f>IF(C437="","",_xlfn.IFNA(INDEX('Күнлик реже'!$D$8:$D$390,MATCH(C437,'Күнлик реже'!$A$8:$A$390,0)),"Код қәте"))</x:f>
      </x:c>
      <x:c r="E437" s="2" t="str">
        <x:f>IF(B437="","",_xlfn.IFNA(INDEX('Клиентлер'!$E$8:$E$31,MATCH(B437,'Клиентлер'!$A$8:$A$31,0)),"Код қәте"))</x:f>
      </x:c>
      <x:c r="F437" s="11"/>
      <x:c r="G437" s="11"/>
      <x:c r="H437" s="11"/>
      <x:c r="I437" s="11"/>
      <x:c r="J437" s="11"/>
      <x:c r="K437" s="10"/>
      <x:c r="L437" s="2" t="n">
        <x:f>IF(COUNTA(A437:C437,F437:K437)=0,0,IF(AND(COUNT(A437:C437)=3,COUNT(F437:J437)=5),0,1))</x:f>
        <x:v>0</x:v>
      </x:c>
      <x:c r="M437" s="2" t="n">
        <x:f>IF(COUNTA(A437:C437,F437:K437)=0,0,IF(OR(H437&gt;F437,I437&gt;G437,D437="Код қәте",E437="Код қәте"),1,0))</x:f>
        <x:v>0</x:v>
      </x:c>
      <x:c r="N437" s="2" t="str">
        <x:f>IF(B437="","",_xlfn.IFNA(INDEX('Клиентлер'!$B$8:$B$31,MATCH(B437,'Клиентлер'!$A$8:$A$31,0)),"Код қәте"))</x:f>
      </x:c>
    </x:row>
    <x:row r="438" ht="40" customHeight="1">
      <x:c r="A438" s="12"/>
      <x:c r="B438" s="10"/>
      <x:c r="C438" s="10"/>
      <x:c r="D438" s="13" t="str">
        <x:f>IF(C438="","",_xlfn.IFNA(INDEX('Күнлик реже'!$D$8:$D$390,MATCH(C438,'Күнлик реже'!$A$8:$A$390,0)),"Код қәте"))</x:f>
      </x:c>
      <x:c r="E438" s="2" t="str">
        <x:f>IF(B438="","",_xlfn.IFNA(INDEX('Клиентлер'!$E$8:$E$31,MATCH(B438,'Клиентлер'!$A$8:$A$31,0)),"Код қәте"))</x:f>
      </x:c>
      <x:c r="F438" s="11"/>
      <x:c r="G438" s="11"/>
      <x:c r="H438" s="11"/>
      <x:c r="I438" s="11"/>
      <x:c r="J438" s="11"/>
      <x:c r="K438" s="10"/>
      <x:c r="L438" s="2" t="n">
        <x:f>IF(COUNTA(A438:C438,F438:K438)=0,0,IF(AND(COUNT(A438:C438)=3,COUNT(F438:J438)=5),0,1))</x:f>
        <x:v>0</x:v>
      </x:c>
      <x:c r="M438" s="2" t="n">
        <x:f>IF(COUNTA(A438:C438,F438:K438)=0,0,IF(OR(H438&gt;F438,I438&gt;G438,D438="Код қәте",E438="Код қәте"),1,0))</x:f>
        <x:v>0</x:v>
      </x:c>
      <x:c r="N438" s="2" t="str">
        <x:f>IF(B438="","",_xlfn.IFNA(INDEX('Клиентлер'!$B$8:$B$31,MATCH(B438,'Клиентлер'!$A$8:$A$31,0)),"Код қәте"))</x:f>
      </x:c>
    </x:row>
    <x:row r="439" ht="40" customHeight="1">
      <x:c r="A439" s="12"/>
      <x:c r="B439" s="10"/>
      <x:c r="C439" s="10"/>
      <x:c r="D439" s="13" t="str">
        <x:f>IF(C439="","",_xlfn.IFNA(INDEX('Күнлик реже'!$D$8:$D$390,MATCH(C439,'Күнлик реже'!$A$8:$A$390,0)),"Код қәте"))</x:f>
      </x:c>
      <x:c r="E439" s="2" t="str">
        <x:f>IF(B439="","",_xlfn.IFNA(INDEX('Клиентлер'!$E$8:$E$31,MATCH(B439,'Клиентлер'!$A$8:$A$31,0)),"Код қәте"))</x:f>
      </x:c>
      <x:c r="F439" s="11"/>
      <x:c r="G439" s="11"/>
      <x:c r="H439" s="11"/>
      <x:c r="I439" s="11"/>
      <x:c r="J439" s="11"/>
      <x:c r="K439" s="10"/>
      <x:c r="L439" s="2" t="n">
        <x:f>IF(COUNTA(A439:C439,F439:K439)=0,0,IF(AND(COUNT(A439:C439)=3,COUNT(F439:J439)=5),0,1))</x:f>
        <x:v>0</x:v>
      </x:c>
      <x:c r="M439" s="2" t="n">
        <x:f>IF(COUNTA(A439:C439,F439:K439)=0,0,IF(OR(H439&gt;F439,I439&gt;G439,D439="Код қәте",E439="Код қәте"),1,0))</x:f>
        <x:v>0</x:v>
      </x:c>
      <x:c r="N439" s="2" t="str">
        <x:f>IF(B439="","",_xlfn.IFNA(INDEX('Клиентлер'!$B$8:$B$31,MATCH(B439,'Клиентлер'!$A$8:$A$31,0)),"Код қәте"))</x:f>
      </x:c>
    </x:row>
    <x:row r="440" ht="40" customHeight="1">
      <x:c r="A440" s="12"/>
      <x:c r="B440" s="10"/>
      <x:c r="C440" s="10"/>
      <x:c r="D440" s="13" t="str">
        <x:f>IF(C440="","",_xlfn.IFNA(INDEX('Күнлик реже'!$D$8:$D$390,MATCH(C440,'Күнлик реже'!$A$8:$A$390,0)),"Код қәте"))</x:f>
      </x:c>
      <x:c r="E440" s="2" t="str">
        <x:f>IF(B440="","",_xlfn.IFNA(INDEX('Клиентлер'!$E$8:$E$31,MATCH(B440,'Клиентлер'!$A$8:$A$31,0)),"Код қәте"))</x:f>
      </x:c>
      <x:c r="F440" s="11"/>
      <x:c r="G440" s="11"/>
      <x:c r="H440" s="11"/>
      <x:c r="I440" s="11"/>
      <x:c r="J440" s="11"/>
      <x:c r="K440" s="10"/>
      <x:c r="L440" s="2" t="n">
        <x:f>IF(COUNTA(A440:C440,F440:K440)=0,0,IF(AND(COUNT(A440:C440)=3,COUNT(F440:J440)=5),0,1))</x:f>
        <x:v>0</x:v>
      </x:c>
      <x:c r="M440" s="2" t="n">
        <x:f>IF(COUNTA(A440:C440,F440:K440)=0,0,IF(OR(H440&gt;F440,I440&gt;G440,D440="Код қәте",E440="Код қәте"),1,0))</x:f>
        <x:v>0</x:v>
      </x:c>
      <x:c r="N440" s="2" t="str">
        <x:f>IF(B440="","",_xlfn.IFNA(INDEX('Клиентлер'!$B$8:$B$31,MATCH(B440,'Клиентлер'!$A$8:$A$31,0)),"Код қәте"))</x:f>
      </x:c>
    </x:row>
    <x:row r="441" ht="40" customHeight="1">
      <x:c r="A441" s="12"/>
      <x:c r="B441" s="10"/>
      <x:c r="C441" s="10"/>
      <x:c r="D441" s="13" t="str">
        <x:f>IF(C441="","",_xlfn.IFNA(INDEX('Күнлик реже'!$D$8:$D$390,MATCH(C441,'Күнлик реже'!$A$8:$A$390,0)),"Код қәте"))</x:f>
      </x:c>
      <x:c r="E441" s="2" t="str">
        <x:f>IF(B441="","",_xlfn.IFNA(INDEX('Клиентлер'!$E$8:$E$31,MATCH(B441,'Клиентлер'!$A$8:$A$31,0)),"Код қәте"))</x:f>
      </x:c>
      <x:c r="F441" s="11"/>
      <x:c r="G441" s="11"/>
      <x:c r="H441" s="11"/>
      <x:c r="I441" s="11"/>
      <x:c r="J441" s="11"/>
      <x:c r="K441" s="10"/>
      <x:c r="L441" s="2" t="n">
        <x:f>IF(COUNTA(A441:C441,F441:K441)=0,0,IF(AND(COUNT(A441:C441)=3,COUNT(F441:J441)=5),0,1))</x:f>
        <x:v>0</x:v>
      </x:c>
      <x:c r="M441" s="2" t="n">
        <x:f>IF(COUNTA(A441:C441,F441:K441)=0,0,IF(OR(H441&gt;F441,I441&gt;G441,D441="Код қәте",E441="Код қәте"),1,0))</x:f>
        <x:v>0</x:v>
      </x:c>
      <x:c r="N441" s="2" t="str">
        <x:f>IF(B441="","",_xlfn.IFNA(INDEX('Клиентлер'!$B$8:$B$31,MATCH(B441,'Клиентлер'!$A$8:$A$31,0)),"Код қәте"))</x:f>
      </x:c>
    </x:row>
    <x:row r="442" ht="40" customHeight="1">
      <x:c r="A442" s="12"/>
      <x:c r="B442" s="10"/>
      <x:c r="C442" s="10"/>
      <x:c r="D442" s="13" t="str">
        <x:f>IF(C442="","",_xlfn.IFNA(INDEX('Күнлик реже'!$D$8:$D$390,MATCH(C442,'Күнлик реже'!$A$8:$A$390,0)),"Код қәте"))</x:f>
      </x:c>
      <x:c r="E442" s="2" t="str">
        <x:f>IF(B442="","",_xlfn.IFNA(INDEX('Клиентлер'!$E$8:$E$31,MATCH(B442,'Клиентлер'!$A$8:$A$31,0)),"Код қәте"))</x:f>
      </x:c>
      <x:c r="F442" s="11"/>
      <x:c r="G442" s="11"/>
      <x:c r="H442" s="11"/>
      <x:c r="I442" s="11"/>
      <x:c r="J442" s="11"/>
      <x:c r="K442" s="10"/>
      <x:c r="L442" s="2" t="n">
        <x:f>IF(COUNTA(A442:C442,F442:K442)=0,0,IF(AND(COUNT(A442:C442)=3,COUNT(F442:J442)=5),0,1))</x:f>
        <x:v>0</x:v>
      </x:c>
      <x:c r="M442" s="2" t="n">
        <x:f>IF(COUNTA(A442:C442,F442:K442)=0,0,IF(OR(H442&gt;F442,I442&gt;G442,D442="Код қәте",E442="Код қәте"),1,0))</x:f>
        <x:v>0</x:v>
      </x:c>
      <x:c r="N442" s="2" t="str">
        <x:f>IF(B442="","",_xlfn.IFNA(INDEX('Клиентлер'!$B$8:$B$31,MATCH(B442,'Клиентлер'!$A$8:$A$31,0)),"Код қәте"))</x:f>
      </x:c>
    </x:row>
    <x:row r="443" ht="40" customHeight="1">
      <x:c r="A443" s="12"/>
      <x:c r="B443" s="10"/>
      <x:c r="C443" s="10"/>
      <x:c r="D443" s="13" t="str">
        <x:f>IF(C443="","",_xlfn.IFNA(INDEX('Күнлик реже'!$D$8:$D$390,MATCH(C443,'Күнлик реже'!$A$8:$A$390,0)),"Код қәте"))</x:f>
      </x:c>
      <x:c r="E443" s="2" t="str">
        <x:f>IF(B443="","",_xlfn.IFNA(INDEX('Клиентлер'!$E$8:$E$31,MATCH(B443,'Клиентлер'!$A$8:$A$31,0)),"Код қәте"))</x:f>
      </x:c>
      <x:c r="F443" s="11"/>
      <x:c r="G443" s="11"/>
      <x:c r="H443" s="11"/>
      <x:c r="I443" s="11"/>
      <x:c r="J443" s="11"/>
      <x:c r="K443" s="10"/>
      <x:c r="L443" s="2" t="n">
        <x:f>IF(COUNTA(A443:C443,F443:K443)=0,0,IF(AND(COUNT(A443:C443)=3,COUNT(F443:J443)=5),0,1))</x:f>
        <x:v>0</x:v>
      </x:c>
      <x:c r="M443" s="2" t="n">
        <x:f>IF(COUNTA(A443:C443,F443:K443)=0,0,IF(OR(H443&gt;F443,I443&gt;G443,D443="Код қәте",E443="Код қәте"),1,0))</x:f>
        <x:v>0</x:v>
      </x:c>
      <x:c r="N443" s="2" t="str">
        <x:f>IF(B443="","",_xlfn.IFNA(INDEX('Клиентлер'!$B$8:$B$31,MATCH(B443,'Клиентлер'!$A$8:$A$31,0)),"Код қәте"))</x:f>
      </x:c>
    </x:row>
    <x:row r="444" ht="40" customHeight="1">
      <x:c r="A444" s="12"/>
      <x:c r="B444" s="10"/>
      <x:c r="C444" s="10"/>
      <x:c r="D444" s="13" t="str">
        <x:f>IF(C444="","",_xlfn.IFNA(INDEX('Күнлик реже'!$D$8:$D$390,MATCH(C444,'Күнлик реже'!$A$8:$A$390,0)),"Код қәте"))</x:f>
      </x:c>
      <x:c r="E444" s="2" t="str">
        <x:f>IF(B444="","",_xlfn.IFNA(INDEX('Клиентлер'!$E$8:$E$31,MATCH(B444,'Клиентлер'!$A$8:$A$31,0)),"Код қәте"))</x:f>
      </x:c>
      <x:c r="F444" s="11"/>
      <x:c r="G444" s="11"/>
      <x:c r="H444" s="11"/>
      <x:c r="I444" s="11"/>
      <x:c r="J444" s="11"/>
      <x:c r="K444" s="10"/>
      <x:c r="L444" s="2" t="n">
        <x:f>IF(COUNTA(A444:C444,F444:K444)=0,0,IF(AND(COUNT(A444:C444)=3,COUNT(F444:J444)=5),0,1))</x:f>
        <x:v>0</x:v>
      </x:c>
      <x:c r="M444" s="2" t="n">
        <x:f>IF(COUNTA(A444:C444,F444:K444)=0,0,IF(OR(H444&gt;F444,I444&gt;G444,D444="Код қәте",E444="Код қәте"),1,0))</x:f>
        <x:v>0</x:v>
      </x:c>
      <x:c r="N444" s="2" t="str">
        <x:f>IF(B444="","",_xlfn.IFNA(INDEX('Клиентлер'!$B$8:$B$31,MATCH(B444,'Клиентлер'!$A$8:$A$31,0)),"Код қәте"))</x:f>
      </x:c>
    </x:row>
    <x:row r="445" ht="40" customHeight="1">
      <x:c r="A445" s="12"/>
      <x:c r="B445" s="10"/>
      <x:c r="C445" s="10"/>
      <x:c r="D445" s="13" t="str">
        <x:f>IF(C445="","",_xlfn.IFNA(INDEX('Күнлик реже'!$D$8:$D$390,MATCH(C445,'Күнлик реже'!$A$8:$A$390,0)),"Код қәте"))</x:f>
      </x:c>
      <x:c r="E445" s="2" t="str">
        <x:f>IF(B445="","",_xlfn.IFNA(INDEX('Клиентлер'!$E$8:$E$31,MATCH(B445,'Клиентлер'!$A$8:$A$31,0)),"Код қәте"))</x:f>
      </x:c>
      <x:c r="F445" s="11"/>
      <x:c r="G445" s="11"/>
      <x:c r="H445" s="11"/>
      <x:c r="I445" s="11"/>
      <x:c r="J445" s="11"/>
      <x:c r="K445" s="10"/>
      <x:c r="L445" s="2" t="n">
        <x:f>IF(COUNTA(A445:C445,F445:K445)=0,0,IF(AND(COUNT(A445:C445)=3,COUNT(F445:J445)=5),0,1))</x:f>
        <x:v>0</x:v>
      </x:c>
      <x:c r="M445" s="2" t="n">
        <x:f>IF(COUNTA(A445:C445,F445:K445)=0,0,IF(OR(H445&gt;F445,I445&gt;G445,D445="Код қәте",E445="Код қәте"),1,0))</x:f>
        <x:v>0</x:v>
      </x:c>
      <x:c r="N445" s="2" t="str">
        <x:f>IF(B445="","",_xlfn.IFNA(INDEX('Клиентлер'!$B$8:$B$31,MATCH(B445,'Клиентлер'!$A$8:$A$31,0)),"Код қәте"))</x:f>
      </x:c>
    </x:row>
    <x:row r="446" ht="40" customHeight="1">
      <x:c r="A446" s="12"/>
      <x:c r="B446" s="10"/>
      <x:c r="C446" s="10"/>
      <x:c r="D446" s="13" t="str">
        <x:f>IF(C446="","",_xlfn.IFNA(INDEX('Күнлик реже'!$D$8:$D$390,MATCH(C446,'Күнлик реже'!$A$8:$A$390,0)),"Код қәте"))</x:f>
      </x:c>
      <x:c r="E446" s="2" t="str">
        <x:f>IF(B446="","",_xlfn.IFNA(INDEX('Клиентлер'!$E$8:$E$31,MATCH(B446,'Клиентлер'!$A$8:$A$31,0)),"Код қәте"))</x:f>
      </x:c>
      <x:c r="F446" s="11"/>
      <x:c r="G446" s="11"/>
      <x:c r="H446" s="11"/>
      <x:c r="I446" s="11"/>
      <x:c r="J446" s="11"/>
      <x:c r="K446" s="10"/>
      <x:c r="L446" s="2" t="n">
        <x:f>IF(COUNTA(A446:C446,F446:K446)=0,0,IF(AND(COUNT(A446:C446)=3,COUNT(F446:J446)=5),0,1))</x:f>
        <x:v>0</x:v>
      </x:c>
      <x:c r="M446" s="2" t="n">
        <x:f>IF(COUNTA(A446:C446,F446:K446)=0,0,IF(OR(H446&gt;F446,I446&gt;G446,D446="Код қәте",E446="Код қәте"),1,0))</x:f>
        <x:v>0</x:v>
      </x:c>
      <x:c r="N446" s="2" t="str">
        <x:f>IF(B446="","",_xlfn.IFNA(INDEX('Клиентлер'!$B$8:$B$31,MATCH(B446,'Клиентлер'!$A$8:$A$31,0)),"Код қәте"))</x:f>
      </x:c>
    </x:row>
    <x:row r="447" ht="40" customHeight="1">
      <x:c r="A447" s="12"/>
      <x:c r="B447" s="10"/>
      <x:c r="C447" s="10"/>
      <x:c r="D447" s="13" t="str">
        <x:f>IF(C447="","",_xlfn.IFNA(INDEX('Күнлик реже'!$D$8:$D$390,MATCH(C447,'Күнлик реже'!$A$8:$A$390,0)),"Код қәте"))</x:f>
      </x:c>
      <x:c r="E447" s="2" t="str">
        <x:f>IF(B447="","",_xlfn.IFNA(INDEX('Клиентлер'!$E$8:$E$31,MATCH(B447,'Клиентлер'!$A$8:$A$31,0)),"Код қәте"))</x:f>
      </x:c>
      <x:c r="F447" s="11"/>
      <x:c r="G447" s="11"/>
      <x:c r="H447" s="11"/>
      <x:c r="I447" s="11"/>
      <x:c r="J447" s="11"/>
      <x:c r="K447" s="10"/>
      <x:c r="L447" s="2" t="n">
        <x:f>IF(COUNTA(A447:C447,F447:K447)=0,0,IF(AND(COUNT(A447:C447)=3,COUNT(F447:J447)=5),0,1))</x:f>
        <x:v>0</x:v>
      </x:c>
      <x:c r="M447" s="2" t="n">
        <x:f>IF(COUNTA(A447:C447,F447:K447)=0,0,IF(OR(H447&gt;F447,I447&gt;G447,D447="Код қәте",E447="Код қәте"),1,0))</x:f>
        <x:v>0</x:v>
      </x:c>
      <x:c r="N447" s="2" t="str">
        <x:f>IF(B447="","",_xlfn.IFNA(INDEX('Клиентлер'!$B$8:$B$31,MATCH(B447,'Клиентлер'!$A$8:$A$31,0)),"Код қәте"))</x:f>
      </x:c>
    </x:row>
    <x:row r="448" ht="40" customHeight="1">
      <x:c r="A448" s="12"/>
      <x:c r="B448" s="10"/>
      <x:c r="C448" s="10"/>
      <x:c r="D448" s="13" t="str">
        <x:f>IF(C448="","",_xlfn.IFNA(INDEX('Күнлик реже'!$D$8:$D$390,MATCH(C448,'Күнлик реже'!$A$8:$A$390,0)),"Код қәте"))</x:f>
      </x:c>
      <x:c r="E448" s="2" t="str">
        <x:f>IF(B448="","",_xlfn.IFNA(INDEX('Клиентлер'!$E$8:$E$31,MATCH(B448,'Клиентлер'!$A$8:$A$31,0)),"Код қәте"))</x:f>
      </x:c>
      <x:c r="F448" s="11"/>
      <x:c r="G448" s="11"/>
      <x:c r="H448" s="11"/>
      <x:c r="I448" s="11"/>
      <x:c r="J448" s="11"/>
      <x:c r="K448" s="10"/>
      <x:c r="L448" s="2" t="n">
        <x:f>IF(COUNTA(A448:C448,F448:K448)=0,0,IF(AND(COUNT(A448:C448)=3,COUNT(F448:J448)=5),0,1))</x:f>
        <x:v>0</x:v>
      </x:c>
      <x:c r="M448" s="2" t="n">
        <x:f>IF(COUNTA(A448:C448,F448:K448)=0,0,IF(OR(H448&gt;F448,I448&gt;G448,D448="Код қәте",E448="Код қәте"),1,0))</x:f>
        <x:v>0</x:v>
      </x:c>
      <x:c r="N448" s="2" t="str">
        <x:f>IF(B448="","",_xlfn.IFNA(INDEX('Клиентлер'!$B$8:$B$31,MATCH(B448,'Клиентлер'!$A$8:$A$31,0)),"Код қәте"))</x:f>
      </x:c>
    </x:row>
    <x:row r="449" ht="40" customHeight="1">
      <x:c r="A449" s="12"/>
      <x:c r="B449" s="10"/>
      <x:c r="C449" s="10"/>
      <x:c r="D449" s="13" t="str">
        <x:f>IF(C449="","",_xlfn.IFNA(INDEX('Күнлик реже'!$D$8:$D$390,MATCH(C449,'Күнлик реже'!$A$8:$A$390,0)),"Код қәте"))</x:f>
      </x:c>
      <x:c r="E449" s="2" t="str">
        <x:f>IF(B449="","",_xlfn.IFNA(INDEX('Клиентлер'!$E$8:$E$31,MATCH(B449,'Клиентлер'!$A$8:$A$31,0)),"Код қәте"))</x:f>
      </x:c>
      <x:c r="F449" s="11"/>
      <x:c r="G449" s="11"/>
      <x:c r="H449" s="11"/>
      <x:c r="I449" s="11"/>
      <x:c r="J449" s="11"/>
      <x:c r="K449" s="10"/>
      <x:c r="L449" s="2" t="n">
        <x:f>IF(COUNTA(A449:C449,F449:K449)=0,0,IF(AND(COUNT(A449:C449)=3,COUNT(F449:J449)=5),0,1))</x:f>
        <x:v>0</x:v>
      </x:c>
      <x:c r="M449" s="2" t="n">
        <x:f>IF(COUNTA(A449:C449,F449:K449)=0,0,IF(OR(H449&gt;F449,I449&gt;G449,D449="Код қәте",E449="Код қәте"),1,0))</x:f>
        <x:v>0</x:v>
      </x:c>
      <x:c r="N449" s="2" t="str">
        <x:f>IF(B449="","",_xlfn.IFNA(INDEX('Клиентлер'!$B$8:$B$31,MATCH(B449,'Клиентлер'!$A$8:$A$31,0)),"Код қәте"))</x:f>
      </x:c>
    </x:row>
    <x:row r="450" ht="40" customHeight="1">
      <x:c r="A450" s="12"/>
      <x:c r="B450" s="10"/>
      <x:c r="C450" s="10"/>
      <x:c r="D450" s="13" t="str">
        <x:f>IF(C450="","",_xlfn.IFNA(INDEX('Күнлик реже'!$D$8:$D$390,MATCH(C450,'Күнлик реже'!$A$8:$A$390,0)),"Код қәте"))</x:f>
      </x:c>
      <x:c r="E450" s="2" t="str">
        <x:f>IF(B450="","",_xlfn.IFNA(INDEX('Клиентлер'!$E$8:$E$31,MATCH(B450,'Клиентлер'!$A$8:$A$31,0)),"Код қәте"))</x:f>
      </x:c>
      <x:c r="F450" s="11"/>
      <x:c r="G450" s="11"/>
      <x:c r="H450" s="11"/>
      <x:c r="I450" s="11"/>
      <x:c r="J450" s="11"/>
      <x:c r="K450" s="10"/>
      <x:c r="L450" s="2" t="n">
        <x:f>IF(COUNTA(A450:C450,F450:K450)=0,0,IF(AND(COUNT(A450:C450)=3,COUNT(F450:J450)=5),0,1))</x:f>
        <x:v>0</x:v>
      </x:c>
      <x:c r="M450" s="2" t="n">
        <x:f>IF(COUNTA(A450:C450,F450:K450)=0,0,IF(OR(H450&gt;F450,I450&gt;G450,D450="Код қәте",E450="Код қәте"),1,0))</x:f>
        <x:v>0</x:v>
      </x:c>
      <x:c r="N450" s="2" t="str">
        <x:f>IF(B450="","",_xlfn.IFNA(INDEX('Клиентлер'!$B$8:$B$31,MATCH(B450,'Клиентлер'!$A$8:$A$31,0)),"Код қәте"))</x:f>
      </x:c>
    </x:row>
    <x:row r="451" ht="40" customHeight="1">
      <x:c r="A451" s="12"/>
      <x:c r="B451" s="10"/>
      <x:c r="C451" s="10"/>
      <x:c r="D451" s="13" t="str">
        <x:f>IF(C451="","",_xlfn.IFNA(INDEX('Күнлик реже'!$D$8:$D$390,MATCH(C451,'Күнлик реже'!$A$8:$A$390,0)),"Код қәте"))</x:f>
      </x:c>
      <x:c r="E451" s="2" t="str">
        <x:f>IF(B451="","",_xlfn.IFNA(INDEX('Клиентлер'!$E$8:$E$31,MATCH(B451,'Клиентлер'!$A$8:$A$31,0)),"Код қәте"))</x:f>
      </x:c>
      <x:c r="F451" s="11"/>
      <x:c r="G451" s="11"/>
      <x:c r="H451" s="11"/>
      <x:c r="I451" s="11"/>
      <x:c r="J451" s="11"/>
      <x:c r="K451" s="10"/>
      <x:c r="L451" s="2" t="n">
        <x:f>IF(COUNTA(A451:C451,F451:K451)=0,0,IF(AND(COUNT(A451:C451)=3,COUNT(F451:J451)=5),0,1))</x:f>
        <x:v>0</x:v>
      </x:c>
      <x:c r="M451" s="2" t="n">
        <x:f>IF(COUNTA(A451:C451,F451:K451)=0,0,IF(OR(H451&gt;F451,I451&gt;G451,D451="Код қәте",E451="Код қәте"),1,0))</x:f>
        <x:v>0</x:v>
      </x:c>
      <x:c r="N451" s="2" t="str">
        <x:f>IF(B451="","",_xlfn.IFNA(INDEX('Клиентлер'!$B$8:$B$31,MATCH(B451,'Клиентлер'!$A$8:$A$31,0)),"Код қәте"))</x:f>
      </x:c>
    </x:row>
    <x:row r="452" ht="40" customHeight="1">
      <x:c r="A452" s="12"/>
      <x:c r="B452" s="10"/>
      <x:c r="C452" s="10"/>
      <x:c r="D452" s="13" t="str">
        <x:f>IF(C452="","",_xlfn.IFNA(INDEX('Күнлик реже'!$D$8:$D$390,MATCH(C452,'Күнлик реже'!$A$8:$A$390,0)),"Код қәте"))</x:f>
      </x:c>
      <x:c r="E452" s="2" t="str">
        <x:f>IF(B452="","",_xlfn.IFNA(INDEX('Клиентлер'!$E$8:$E$31,MATCH(B452,'Клиентлер'!$A$8:$A$31,0)),"Код қәте"))</x:f>
      </x:c>
      <x:c r="F452" s="11"/>
      <x:c r="G452" s="11"/>
      <x:c r="H452" s="11"/>
      <x:c r="I452" s="11"/>
      <x:c r="J452" s="11"/>
      <x:c r="K452" s="10"/>
      <x:c r="L452" s="2" t="n">
        <x:f>IF(COUNTA(A452:C452,F452:K452)=0,0,IF(AND(COUNT(A452:C452)=3,COUNT(F452:J452)=5),0,1))</x:f>
        <x:v>0</x:v>
      </x:c>
      <x:c r="M452" s="2" t="n">
        <x:f>IF(COUNTA(A452:C452,F452:K452)=0,0,IF(OR(H452&gt;F452,I452&gt;G452,D452="Код қәте",E452="Код қәте"),1,0))</x:f>
        <x:v>0</x:v>
      </x:c>
      <x:c r="N452" s="2" t="str">
        <x:f>IF(B452="","",_xlfn.IFNA(INDEX('Клиентлер'!$B$8:$B$31,MATCH(B452,'Клиентлер'!$A$8:$A$31,0)),"Код қәте"))</x:f>
      </x:c>
    </x:row>
    <x:row r="453" ht="40" customHeight="1">
      <x:c r="A453" s="12"/>
      <x:c r="B453" s="10"/>
      <x:c r="C453" s="10"/>
      <x:c r="D453" s="13" t="str">
        <x:f>IF(C453="","",_xlfn.IFNA(INDEX('Күнлик реже'!$D$8:$D$390,MATCH(C453,'Күнлик реже'!$A$8:$A$390,0)),"Код қәте"))</x:f>
      </x:c>
      <x:c r="E453" s="2" t="str">
        <x:f>IF(B453="","",_xlfn.IFNA(INDEX('Клиентлер'!$E$8:$E$31,MATCH(B453,'Клиентлер'!$A$8:$A$31,0)),"Код қәте"))</x:f>
      </x:c>
      <x:c r="F453" s="11"/>
      <x:c r="G453" s="11"/>
      <x:c r="H453" s="11"/>
      <x:c r="I453" s="11"/>
      <x:c r="J453" s="11"/>
      <x:c r="K453" s="10"/>
      <x:c r="L453" s="2" t="n">
        <x:f>IF(COUNTA(A453:C453,F453:K453)=0,0,IF(AND(COUNT(A453:C453)=3,COUNT(F453:J453)=5),0,1))</x:f>
        <x:v>0</x:v>
      </x:c>
      <x:c r="M453" s="2" t="n">
        <x:f>IF(COUNTA(A453:C453,F453:K453)=0,0,IF(OR(H453&gt;F453,I453&gt;G453,D453="Код қәте",E453="Код қәте"),1,0))</x:f>
        <x:v>0</x:v>
      </x:c>
      <x:c r="N453" s="2" t="str">
        <x:f>IF(B453="","",_xlfn.IFNA(INDEX('Клиентлер'!$B$8:$B$31,MATCH(B453,'Клиентлер'!$A$8:$A$31,0)),"Код қәте"))</x:f>
      </x:c>
    </x:row>
    <x:row r="454" ht="40" customHeight="1">
      <x:c r="A454" s="12"/>
      <x:c r="B454" s="10"/>
      <x:c r="C454" s="10"/>
      <x:c r="D454" s="13" t="str">
        <x:f>IF(C454="","",_xlfn.IFNA(INDEX('Күнлик реже'!$D$8:$D$390,MATCH(C454,'Күнлик реже'!$A$8:$A$390,0)),"Код қәте"))</x:f>
      </x:c>
      <x:c r="E454" s="2" t="str">
        <x:f>IF(B454="","",_xlfn.IFNA(INDEX('Клиентлер'!$E$8:$E$31,MATCH(B454,'Клиентлер'!$A$8:$A$31,0)),"Код қәте"))</x:f>
      </x:c>
      <x:c r="F454" s="11"/>
      <x:c r="G454" s="11"/>
      <x:c r="H454" s="11"/>
      <x:c r="I454" s="11"/>
      <x:c r="J454" s="11"/>
      <x:c r="K454" s="10"/>
      <x:c r="L454" s="2" t="n">
        <x:f>IF(COUNTA(A454:C454,F454:K454)=0,0,IF(AND(COUNT(A454:C454)=3,COUNT(F454:J454)=5),0,1))</x:f>
        <x:v>0</x:v>
      </x:c>
      <x:c r="M454" s="2" t="n">
        <x:f>IF(COUNTA(A454:C454,F454:K454)=0,0,IF(OR(H454&gt;F454,I454&gt;G454,D454="Код қәте",E454="Код қәте"),1,0))</x:f>
        <x:v>0</x:v>
      </x:c>
      <x:c r="N454" s="2" t="str">
        <x:f>IF(B454="","",_xlfn.IFNA(INDEX('Клиентлер'!$B$8:$B$31,MATCH(B454,'Клиентлер'!$A$8:$A$31,0)),"Код қәте"))</x:f>
      </x:c>
    </x:row>
    <x:row r="455" ht="40" customHeight="1">
      <x:c r="A455" s="12"/>
      <x:c r="B455" s="10"/>
      <x:c r="C455" s="10"/>
      <x:c r="D455" s="13" t="str">
        <x:f>IF(C455="","",_xlfn.IFNA(INDEX('Күнлик реже'!$D$8:$D$390,MATCH(C455,'Күнлик реже'!$A$8:$A$390,0)),"Код қәте"))</x:f>
      </x:c>
      <x:c r="E455" s="2" t="str">
        <x:f>IF(B455="","",_xlfn.IFNA(INDEX('Клиентлер'!$E$8:$E$31,MATCH(B455,'Клиентлер'!$A$8:$A$31,0)),"Код қәте"))</x:f>
      </x:c>
      <x:c r="F455" s="11"/>
      <x:c r="G455" s="11"/>
      <x:c r="H455" s="11"/>
      <x:c r="I455" s="11"/>
      <x:c r="J455" s="11"/>
      <x:c r="K455" s="10"/>
      <x:c r="L455" s="2" t="n">
        <x:f>IF(COUNTA(A455:C455,F455:K455)=0,0,IF(AND(COUNT(A455:C455)=3,COUNT(F455:J455)=5),0,1))</x:f>
        <x:v>0</x:v>
      </x:c>
      <x:c r="M455" s="2" t="n">
        <x:f>IF(COUNTA(A455:C455,F455:K455)=0,0,IF(OR(H455&gt;F455,I455&gt;G455,D455="Код қәте",E455="Код қәте"),1,0))</x:f>
        <x:v>0</x:v>
      </x:c>
      <x:c r="N455" s="2" t="str">
        <x:f>IF(B455="","",_xlfn.IFNA(INDEX('Клиентлер'!$B$8:$B$31,MATCH(B455,'Клиентлер'!$A$8:$A$31,0)),"Код қәте"))</x:f>
      </x:c>
    </x:row>
    <x:row r="456" ht="40" customHeight="1">
      <x:c r="A456" s="12"/>
      <x:c r="B456" s="10"/>
      <x:c r="C456" s="10"/>
      <x:c r="D456" s="13" t="str">
        <x:f>IF(C456="","",_xlfn.IFNA(INDEX('Күнлик реже'!$D$8:$D$390,MATCH(C456,'Күнлик реже'!$A$8:$A$390,0)),"Код қәте"))</x:f>
      </x:c>
      <x:c r="E456" s="2" t="str">
        <x:f>IF(B456="","",_xlfn.IFNA(INDEX('Клиентлер'!$E$8:$E$31,MATCH(B456,'Клиентлер'!$A$8:$A$31,0)),"Код қәте"))</x:f>
      </x:c>
      <x:c r="F456" s="11"/>
      <x:c r="G456" s="11"/>
      <x:c r="H456" s="11"/>
      <x:c r="I456" s="11"/>
      <x:c r="J456" s="11"/>
      <x:c r="K456" s="10"/>
      <x:c r="L456" s="2" t="n">
        <x:f>IF(COUNTA(A456:C456,F456:K456)=0,0,IF(AND(COUNT(A456:C456)=3,COUNT(F456:J456)=5),0,1))</x:f>
        <x:v>0</x:v>
      </x:c>
      <x:c r="M456" s="2" t="n">
        <x:f>IF(COUNTA(A456:C456,F456:K456)=0,0,IF(OR(H456&gt;F456,I456&gt;G456,D456="Код қәте",E456="Код қәте"),1,0))</x:f>
        <x:v>0</x:v>
      </x:c>
      <x:c r="N456" s="2" t="str">
        <x:f>IF(B456="","",_xlfn.IFNA(INDEX('Клиентлер'!$B$8:$B$31,MATCH(B456,'Клиентлер'!$A$8:$A$31,0)),"Код қәте"))</x:f>
      </x:c>
    </x:row>
    <x:row r="457" ht="40" customHeight="1">
      <x:c r="A457" s="12"/>
      <x:c r="B457" s="10"/>
      <x:c r="C457" s="10"/>
      <x:c r="D457" s="13" t="str">
        <x:f>IF(C457="","",_xlfn.IFNA(INDEX('Күнлик реже'!$D$8:$D$390,MATCH(C457,'Күнлик реже'!$A$8:$A$390,0)),"Код қәте"))</x:f>
      </x:c>
      <x:c r="E457" s="2" t="str">
        <x:f>IF(B457="","",_xlfn.IFNA(INDEX('Клиентлер'!$E$8:$E$31,MATCH(B457,'Клиентлер'!$A$8:$A$31,0)),"Код қәте"))</x:f>
      </x:c>
      <x:c r="F457" s="11"/>
      <x:c r="G457" s="11"/>
      <x:c r="H457" s="11"/>
      <x:c r="I457" s="11"/>
      <x:c r="J457" s="11"/>
      <x:c r="K457" s="10"/>
      <x:c r="L457" s="2" t="n">
        <x:f>IF(COUNTA(A457:C457,F457:K457)=0,0,IF(AND(COUNT(A457:C457)=3,COUNT(F457:J457)=5),0,1))</x:f>
        <x:v>0</x:v>
      </x:c>
      <x:c r="M457" s="2" t="n">
        <x:f>IF(COUNTA(A457:C457,F457:K457)=0,0,IF(OR(H457&gt;F457,I457&gt;G457,D457="Код қәте",E457="Код қәте"),1,0))</x:f>
        <x:v>0</x:v>
      </x:c>
      <x:c r="N457" s="2" t="str">
        <x:f>IF(B457="","",_xlfn.IFNA(INDEX('Клиентлер'!$B$8:$B$31,MATCH(B457,'Клиентлер'!$A$8:$A$31,0)),"Код қәте"))</x:f>
      </x:c>
    </x:row>
    <x:row r="458" ht="40" customHeight="1">
      <x:c r="A458" s="12"/>
      <x:c r="B458" s="10"/>
      <x:c r="C458" s="10"/>
      <x:c r="D458" s="13" t="str">
        <x:f>IF(C458="","",_xlfn.IFNA(INDEX('Күнлик реже'!$D$8:$D$390,MATCH(C458,'Күнлик реже'!$A$8:$A$390,0)),"Код қәте"))</x:f>
      </x:c>
      <x:c r="E458" s="2" t="str">
        <x:f>IF(B458="","",_xlfn.IFNA(INDEX('Клиентлер'!$E$8:$E$31,MATCH(B458,'Клиентлер'!$A$8:$A$31,0)),"Код қәте"))</x:f>
      </x:c>
      <x:c r="F458" s="11"/>
      <x:c r="G458" s="11"/>
      <x:c r="H458" s="11"/>
      <x:c r="I458" s="11"/>
      <x:c r="J458" s="11"/>
      <x:c r="K458" s="10"/>
      <x:c r="L458" s="2" t="n">
        <x:f>IF(COUNTA(A458:C458,F458:K458)=0,0,IF(AND(COUNT(A458:C458)=3,COUNT(F458:J458)=5),0,1))</x:f>
        <x:v>0</x:v>
      </x:c>
      <x:c r="M458" s="2" t="n">
        <x:f>IF(COUNTA(A458:C458,F458:K458)=0,0,IF(OR(H458&gt;F458,I458&gt;G458,D458="Код қәте",E458="Код қәте"),1,0))</x:f>
        <x:v>0</x:v>
      </x:c>
      <x:c r="N458" s="2" t="str">
        <x:f>IF(B458="","",_xlfn.IFNA(INDEX('Клиентлер'!$B$8:$B$31,MATCH(B458,'Клиентлер'!$A$8:$A$31,0)),"Код қәте"))</x:f>
      </x:c>
    </x:row>
    <x:row r="459" ht="40" customHeight="1">
      <x:c r="A459" s="12"/>
      <x:c r="B459" s="10"/>
      <x:c r="C459" s="10"/>
      <x:c r="D459" s="13" t="str">
        <x:f>IF(C459="","",_xlfn.IFNA(INDEX('Күнлик реже'!$D$8:$D$390,MATCH(C459,'Күнлик реже'!$A$8:$A$390,0)),"Код қәте"))</x:f>
      </x:c>
      <x:c r="E459" s="2" t="str">
        <x:f>IF(B459="","",_xlfn.IFNA(INDEX('Клиентлер'!$E$8:$E$31,MATCH(B459,'Клиентлер'!$A$8:$A$31,0)),"Код қәте"))</x:f>
      </x:c>
      <x:c r="F459" s="11"/>
      <x:c r="G459" s="11"/>
      <x:c r="H459" s="11"/>
      <x:c r="I459" s="11"/>
      <x:c r="J459" s="11"/>
      <x:c r="K459" s="10"/>
      <x:c r="L459" s="2" t="n">
        <x:f>IF(COUNTA(A459:C459,F459:K459)=0,0,IF(AND(COUNT(A459:C459)=3,COUNT(F459:J459)=5),0,1))</x:f>
        <x:v>0</x:v>
      </x:c>
      <x:c r="M459" s="2" t="n">
        <x:f>IF(COUNTA(A459:C459,F459:K459)=0,0,IF(OR(H459&gt;F459,I459&gt;G459,D459="Код қәте",E459="Код қәте"),1,0))</x:f>
        <x:v>0</x:v>
      </x:c>
      <x:c r="N459" s="2" t="str">
        <x:f>IF(B459="","",_xlfn.IFNA(INDEX('Клиентлер'!$B$8:$B$31,MATCH(B459,'Клиентлер'!$A$8:$A$31,0)),"Код қәте"))</x:f>
      </x:c>
    </x:row>
    <x:row r="460" ht="40" customHeight="1">
      <x:c r="A460" s="12"/>
      <x:c r="B460" s="10"/>
      <x:c r="C460" s="10"/>
      <x:c r="D460" s="13" t="str">
        <x:f>IF(C460="","",_xlfn.IFNA(INDEX('Күнлик реже'!$D$8:$D$390,MATCH(C460,'Күнлик реже'!$A$8:$A$390,0)),"Код қәте"))</x:f>
      </x:c>
      <x:c r="E460" s="2" t="str">
        <x:f>IF(B460="","",_xlfn.IFNA(INDEX('Клиентлер'!$E$8:$E$31,MATCH(B460,'Клиентлер'!$A$8:$A$31,0)),"Код қәте"))</x:f>
      </x:c>
      <x:c r="F460" s="11"/>
      <x:c r="G460" s="11"/>
      <x:c r="H460" s="11"/>
      <x:c r="I460" s="11"/>
      <x:c r="J460" s="11"/>
      <x:c r="K460" s="10"/>
      <x:c r="L460" s="2" t="n">
        <x:f>IF(COUNTA(A460:C460,F460:K460)=0,0,IF(AND(COUNT(A460:C460)=3,COUNT(F460:J460)=5),0,1))</x:f>
        <x:v>0</x:v>
      </x:c>
      <x:c r="M460" s="2" t="n">
        <x:f>IF(COUNTA(A460:C460,F460:K460)=0,0,IF(OR(H460&gt;F460,I460&gt;G460,D460="Код қәте",E460="Код қәте"),1,0))</x:f>
        <x:v>0</x:v>
      </x:c>
      <x:c r="N460" s="2" t="str">
        <x:f>IF(B460="","",_xlfn.IFNA(INDEX('Клиентлер'!$B$8:$B$31,MATCH(B460,'Клиентлер'!$A$8:$A$31,0)),"Код қәте"))</x:f>
      </x:c>
    </x:row>
    <x:row r="461" ht="40" customHeight="1">
      <x:c r="A461" s="12"/>
      <x:c r="B461" s="10"/>
      <x:c r="C461" s="10"/>
      <x:c r="D461" s="13" t="str">
        <x:f>IF(C461="","",_xlfn.IFNA(INDEX('Күнлик реже'!$D$8:$D$390,MATCH(C461,'Күнлик реже'!$A$8:$A$390,0)),"Код қәте"))</x:f>
      </x:c>
      <x:c r="E461" s="2" t="str">
        <x:f>IF(B461="","",_xlfn.IFNA(INDEX('Клиентлер'!$E$8:$E$31,MATCH(B461,'Клиентлер'!$A$8:$A$31,0)),"Код қәте"))</x:f>
      </x:c>
      <x:c r="F461" s="11"/>
      <x:c r="G461" s="11"/>
      <x:c r="H461" s="11"/>
      <x:c r="I461" s="11"/>
      <x:c r="J461" s="11"/>
      <x:c r="K461" s="10"/>
      <x:c r="L461" s="2" t="n">
        <x:f>IF(COUNTA(A461:C461,F461:K461)=0,0,IF(AND(COUNT(A461:C461)=3,COUNT(F461:J461)=5),0,1))</x:f>
        <x:v>0</x:v>
      </x:c>
      <x:c r="M461" s="2" t="n">
        <x:f>IF(COUNTA(A461:C461,F461:K461)=0,0,IF(OR(H461&gt;F461,I461&gt;G461,D461="Код қәте",E461="Код қәте"),1,0))</x:f>
        <x:v>0</x:v>
      </x:c>
      <x:c r="N461" s="2" t="str">
        <x:f>IF(B461="","",_xlfn.IFNA(INDEX('Клиентлер'!$B$8:$B$31,MATCH(B461,'Клиентлер'!$A$8:$A$31,0)),"Код қәте"))</x:f>
      </x:c>
    </x:row>
    <x:row r="462" ht="40" customHeight="1">
      <x:c r="A462" s="12"/>
      <x:c r="B462" s="10"/>
      <x:c r="C462" s="10"/>
      <x:c r="D462" s="13" t="str">
        <x:f>IF(C462="","",_xlfn.IFNA(INDEX('Күнлик реже'!$D$8:$D$390,MATCH(C462,'Күнлик реже'!$A$8:$A$390,0)),"Код қәте"))</x:f>
      </x:c>
      <x:c r="E462" s="2" t="str">
        <x:f>IF(B462="","",_xlfn.IFNA(INDEX('Клиентлер'!$E$8:$E$31,MATCH(B462,'Клиентлер'!$A$8:$A$31,0)),"Код қәте"))</x:f>
      </x:c>
      <x:c r="F462" s="11"/>
      <x:c r="G462" s="11"/>
      <x:c r="H462" s="11"/>
      <x:c r="I462" s="11"/>
      <x:c r="J462" s="11"/>
      <x:c r="K462" s="10"/>
      <x:c r="L462" s="2" t="n">
        <x:f>IF(COUNTA(A462:C462,F462:K462)=0,0,IF(AND(COUNT(A462:C462)=3,COUNT(F462:J462)=5),0,1))</x:f>
        <x:v>0</x:v>
      </x:c>
      <x:c r="M462" s="2" t="n">
        <x:f>IF(COUNTA(A462:C462,F462:K462)=0,0,IF(OR(H462&gt;F462,I462&gt;G462,D462="Код қәте",E462="Код қәте"),1,0))</x:f>
        <x:v>0</x:v>
      </x:c>
      <x:c r="N462" s="2" t="str">
        <x:f>IF(B462="","",_xlfn.IFNA(INDEX('Клиентлер'!$B$8:$B$31,MATCH(B462,'Клиентлер'!$A$8:$A$31,0)),"Код қәте"))</x:f>
      </x:c>
    </x:row>
    <x:row r="463" ht="40" customHeight="1">
      <x:c r="A463" s="12"/>
      <x:c r="B463" s="10"/>
      <x:c r="C463" s="10"/>
      <x:c r="D463" s="13" t="str">
        <x:f>IF(C463="","",_xlfn.IFNA(INDEX('Күнлик реже'!$D$8:$D$390,MATCH(C463,'Күнлик реже'!$A$8:$A$390,0)),"Код қәте"))</x:f>
      </x:c>
      <x:c r="E463" s="2" t="str">
        <x:f>IF(B463="","",_xlfn.IFNA(INDEX('Клиентлер'!$E$8:$E$31,MATCH(B463,'Клиентлер'!$A$8:$A$31,0)),"Код қәте"))</x:f>
      </x:c>
      <x:c r="F463" s="11"/>
      <x:c r="G463" s="11"/>
      <x:c r="H463" s="11"/>
      <x:c r="I463" s="11"/>
      <x:c r="J463" s="11"/>
      <x:c r="K463" s="10"/>
      <x:c r="L463" s="2" t="n">
        <x:f>IF(COUNTA(A463:C463,F463:K463)=0,0,IF(AND(COUNT(A463:C463)=3,COUNT(F463:J463)=5),0,1))</x:f>
        <x:v>0</x:v>
      </x:c>
      <x:c r="M463" s="2" t="n">
        <x:f>IF(COUNTA(A463:C463,F463:K463)=0,0,IF(OR(H463&gt;F463,I463&gt;G463,D463="Код қәте",E463="Код қәте"),1,0))</x:f>
        <x:v>0</x:v>
      </x:c>
      <x:c r="N463" s="2" t="str">
        <x:f>IF(B463="","",_xlfn.IFNA(INDEX('Клиентлер'!$B$8:$B$31,MATCH(B463,'Клиентлер'!$A$8:$A$31,0)),"Код қәте"))</x:f>
      </x:c>
    </x:row>
    <x:row r="464" ht="40" customHeight="1">
      <x:c r="A464" s="12"/>
      <x:c r="B464" s="10"/>
      <x:c r="C464" s="10"/>
      <x:c r="D464" s="13" t="str">
        <x:f>IF(C464="","",_xlfn.IFNA(INDEX('Күнлик реже'!$D$8:$D$390,MATCH(C464,'Күнлик реже'!$A$8:$A$390,0)),"Код қәте"))</x:f>
      </x:c>
      <x:c r="E464" s="2" t="str">
        <x:f>IF(B464="","",_xlfn.IFNA(INDEX('Клиентлер'!$E$8:$E$31,MATCH(B464,'Клиентлер'!$A$8:$A$31,0)),"Код қәте"))</x:f>
      </x:c>
      <x:c r="F464" s="11"/>
      <x:c r="G464" s="11"/>
      <x:c r="H464" s="11"/>
      <x:c r="I464" s="11"/>
      <x:c r="J464" s="11"/>
      <x:c r="K464" s="10"/>
      <x:c r="L464" s="2" t="n">
        <x:f>IF(COUNTA(A464:C464,F464:K464)=0,0,IF(AND(COUNT(A464:C464)=3,COUNT(F464:J464)=5),0,1))</x:f>
        <x:v>0</x:v>
      </x:c>
      <x:c r="M464" s="2" t="n">
        <x:f>IF(COUNTA(A464:C464,F464:K464)=0,0,IF(OR(H464&gt;F464,I464&gt;G464,D464="Код қәте",E464="Код қәте"),1,0))</x:f>
        <x:v>0</x:v>
      </x:c>
      <x:c r="N464" s="2" t="str">
        <x:f>IF(B464="","",_xlfn.IFNA(INDEX('Клиентлер'!$B$8:$B$31,MATCH(B464,'Клиентлер'!$A$8:$A$31,0)),"Код қәте"))</x:f>
      </x:c>
    </x:row>
    <x:row r="465" ht="40" customHeight="1">
      <x:c r="A465" s="12"/>
      <x:c r="B465" s="10"/>
      <x:c r="C465" s="10"/>
      <x:c r="D465" s="13" t="str">
        <x:f>IF(C465="","",_xlfn.IFNA(INDEX('Күнлик реже'!$D$8:$D$390,MATCH(C465,'Күнлик реже'!$A$8:$A$390,0)),"Код қәте"))</x:f>
      </x:c>
      <x:c r="E465" s="2" t="str">
        <x:f>IF(B465="","",_xlfn.IFNA(INDEX('Клиентлер'!$E$8:$E$31,MATCH(B465,'Клиентлер'!$A$8:$A$31,0)),"Код қәте"))</x:f>
      </x:c>
      <x:c r="F465" s="11"/>
      <x:c r="G465" s="11"/>
      <x:c r="H465" s="11"/>
      <x:c r="I465" s="11"/>
      <x:c r="J465" s="11"/>
      <x:c r="K465" s="10"/>
      <x:c r="L465" s="2" t="n">
        <x:f>IF(COUNTA(A465:C465,F465:K465)=0,0,IF(AND(COUNT(A465:C465)=3,COUNT(F465:J465)=5),0,1))</x:f>
        <x:v>0</x:v>
      </x:c>
      <x:c r="M465" s="2" t="n">
        <x:f>IF(COUNTA(A465:C465,F465:K465)=0,0,IF(OR(H465&gt;F465,I465&gt;G465,D465="Код қәте",E465="Код қәте"),1,0))</x:f>
        <x:v>0</x:v>
      </x:c>
      <x:c r="N465" s="2" t="str">
        <x:f>IF(B465="","",_xlfn.IFNA(INDEX('Клиентлер'!$B$8:$B$31,MATCH(B465,'Клиентлер'!$A$8:$A$31,0)),"Код қәте"))</x:f>
      </x:c>
    </x:row>
    <x:row r="466" ht="40" customHeight="1">
      <x:c r="A466" s="12"/>
      <x:c r="B466" s="10"/>
      <x:c r="C466" s="10"/>
      <x:c r="D466" s="13" t="str">
        <x:f>IF(C466="","",_xlfn.IFNA(INDEX('Күнлик реже'!$D$8:$D$390,MATCH(C466,'Күнлик реже'!$A$8:$A$390,0)),"Код қәте"))</x:f>
      </x:c>
      <x:c r="E466" s="2" t="str">
        <x:f>IF(B466="","",_xlfn.IFNA(INDEX('Клиентлер'!$E$8:$E$31,MATCH(B466,'Клиентлер'!$A$8:$A$31,0)),"Код қәте"))</x:f>
      </x:c>
      <x:c r="F466" s="11"/>
      <x:c r="G466" s="11"/>
      <x:c r="H466" s="11"/>
      <x:c r="I466" s="11"/>
      <x:c r="J466" s="11"/>
      <x:c r="K466" s="10"/>
      <x:c r="L466" s="2" t="n">
        <x:f>IF(COUNTA(A466:C466,F466:K466)=0,0,IF(AND(COUNT(A466:C466)=3,COUNT(F466:J466)=5),0,1))</x:f>
        <x:v>0</x:v>
      </x:c>
      <x:c r="M466" s="2" t="n">
        <x:f>IF(COUNTA(A466:C466,F466:K466)=0,0,IF(OR(H466&gt;F466,I466&gt;G466,D466="Код қәте",E466="Код қәте"),1,0))</x:f>
        <x:v>0</x:v>
      </x:c>
      <x:c r="N466" s="2" t="str">
        <x:f>IF(B466="","",_xlfn.IFNA(INDEX('Клиентлер'!$B$8:$B$31,MATCH(B466,'Клиентлер'!$A$8:$A$31,0)),"Код қәте"))</x:f>
      </x:c>
    </x:row>
    <x:row r="467" ht="40" customHeight="1">
      <x:c r="A467" s="12"/>
      <x:c r="B467" s="10"/>
      <x:c r="C467" s="10"/>
      <x:c r="D467" s="13" t="str">
        <x:f>IF(C467="","",_xlfn.IFNA(INDEX('Күнлик реже'!$D$8:$D$390,MATCH(C467,'Күнлик реже'!$A$8:$A$390,0)),"Код қәте"))</x:f>
      </x:c>
      <x:c r="E467" s="2" t="str">
        <x:f>IF(B467="","",_xlfn.IFNA(INDEX('Клиентлер'!$E$8:$E$31,MATCH(B467,'Клиентлер'!$A$8:$A$31,0)),"Код қәте"))</x:f>
      </x:c>
      <x:c r="F467" s="11"/>
      <x:c r="G467" s="11"/>
      <x:c r="H467" s="11"/>
      <x:c r="I467" s="11"/>
      <x:c r="J467" s="11"/>
      <x:c r="K467" s="10"/>
      <x:c r="L467" s="2" t="n">
        <x:f>IF(COUNTA(A467:C467,F467:K467)=0,0,IF(AND(COUNT(A467:C467)=3,COUNT(F467:J467)=5),0,1))</x:f>
        <x:v>0</x:v>
      </x:c>
      <x:c r="M467" s="2" t="n">
        <x:f>IF(COUNTA(A467:C467,F467:K467)=0,0,IF(OR(H467&gt;F467,I467&gt;G467,D467="Код қәте",E467="Код қәте"),1,0))</x:f>
        <x:v>0</x:v>
      </x:c>
      <x:c r="N467" s="2" t="str">
        <x:f>IF(B467="","",_xlfn.IFNA(INDEX('Клиентлер'!$B$8:$B$31,MATCH(B467,'Клиентлер'!$A$8:$A$31,0)),"Код қәте"))</x:f>
      </x:c>
    </x:row>
    <x:row r="468" ht="40" customHeight="1">
      <x:c r="A468" s="12"/>
      <x:c r="B468" s="10"/>
      <x:c r="C468" s="10"/>
      <x:c r="D468" s="13" t="str">
        <x:f>IF(C468="","",_xlfn.IFNA(INDEX('Күнлик реже'!$D$8:$D$390,MATCH(C468,'Күнлик реже'!$A$8:$A$390,0)),"Код қәте"))</x:f>
      </x:c>
      <x:c r="E468" s="2" t="str">
        <x:f>IF(B468="","",_xlfn.IFNA(INDEX('Клиентлер'!$E$8:$E$31,MATCH(B468,'Клиентлер'!$A$8:$A$31,0)),"Код қәте"))</x:f>
      </x:c>
      <x:c r="F468" s="11"/>
      <x:c r="G468" s="11"/>
      <x:c r="H468" s="11"/>
      <x:c r="I468" s="11"/>
      <x:c r="J468" s="11"/>
      <x:c r="K468" s="10"/>
      <x:c r="L468" s="2" t="n">
        <x:f>IF(COUNTA(A468:C468,F468:K468)=0,0,IF(AND(COUNT(A468:C468)=3,COUNT(F468:J468)=5),0,1))</x:f>
        <x:v>0</x:v>
      </x:c>
      <x:c r="M468" s="2" t="n">
        <x:f>IF(COUNTA(A468:C468,F468:K468)=0,0,IF(OR(H468&gt;F468,I468&gt;G468,D468="Код қәте",E468="Код қәте"),1,0))</x:f>
        <x:v>0</x:v>
      </x:c>
      <x:c r="N468" s="2" t="str">
        <x:f>IF(B468="","",_xlfn.IFNA(INDEX('Клиентлер'!$B$8:$B$31,MATCH(B468,'Клиентлер'!$A$8:$A$31,0)),"Код қәте"))</x:f>
      </x:c>
    </x:row>
    <x:row r="469" ht="40" customHeight="1">
      <x:c r="A469" s="12"/>
      <x:c r="B469" s="10"/>
      <x:c r="C469" s="10"/>
      <x:c r="D469" s="13" t="str">
        <x:f>IF(C469="","",_xlfn.IFNA(INDEX('Күнлик реже'!$D$8:$D$390,MATCH(C469,'Күнлик реже'!$A$8:$A$390,0)),"Код қәте"))</x:f>
      </x:c>
      <x:c r="E469" s="2" t="str">
        <x:f>IF(B469="","",_xlfn.IFNA(INDEX('Клиентлер'!$E$8:$E$31,MATCH(B469,'Клиентлер'!$A$8:$A$31,0)),"Код қәте"))</x:f>
      </x:c>
      <x:c r="F469" s="11"/>
      <x:c r="G469" s="11"/>
      <x:c r="H469" s="11"/>
      <x:c r="I469" s="11"/>
      <x:c r="J469" s="11"/>
      <x:c r="K469" s="10"/>
      <x:c r="L469" s="2" t="n">
        <x:f>IF(COUNTA(A469:C469,F469:K469)=0,0,IF(AND(COUNT(A469:C469)=3,COUNT(F469:J469)=5),0,1))</x:f>
        <x:v>0</x:v>
      </x:c>
      <x:c r="M469" s="2" t="n">
        <x:f>IF(COUNTA(A469:C469,F469:K469)=0,0,IF(OR(H469&gt;F469,I469&gt;G469,D469="Код қәте",E469="Код қәте"),1,0))</x:f>
        <x:v>0</x:v>
      </x:c>
      <x:c r="N469" s="2" t="str">
        <x:f>IF(B469="","",_xlfn.IFNA(INDEX('Клиентлер'!$B$8:$B$31,MATCH(B469,'Клиентлер'!$A$8:$A$31,0)),"Код қәте"))</x:f>
      </x:c>
    </x:row>
    <x:row r="470" ht="40" customHeight="1">
      <x:c r="A470" s="12"/>
      <x:c r="B470" s="10"/>
      <x:c r="C470" s="10"/>
      <x:c r="D470" s="13" t="str">
        <x:f>IF(C470="","",_xlfn.IFNA(INDEX('Күнлик реже'!$D$8:$D$390,MATCH(C470,'Күнлик реже'!$A$8:$A$390,0)),"Код қәте"))</x:f>
      </x:c>
      <x:c r="E470" s="2" t="str">
        <x:f>IF(B470="","",_xlfn.IFNA(INDEX('Клиентлер'!$E$8:$E$31,MATCH(B470,'Клиентлер'!$A$8:$A$31,0)),"Код қәте"))</x:f>
      </x:c>
      <x:c r="F470" s="11"/>
      <x:c r="G470" s="11"/>
      <x:c r="H470" s="11"/>
      <x:c r="I470" s="11"/>
      <x:c r="J470" s="11"/>
      <x:c r="K470" s="10"/>
      <x:c r="L470" s="2" t="n">
        <x:f>IF(COUNTA(A470:C470,F470:K470)=0,0,IF(AND(COUNT(A470:C470)=3,COUNT(F470:J470)=5),0,1))</x:f>
        <x:v>0</x:v>
      </x:c>
      <x:c r="M470" s="2" t="n">
        <x:f>IF(COUNTA(A470:C470,F470:K470)=0,0,IF(OR(H470&gt;F470,I470&gt;G470,D470="Код қәте",E470="Код қәте"),1,0))</x:f>
        <x:v>0</x:v>
      </x:c>
      <x:c r="N470" s="2" t="str">
        <x:f>IF(B470="","",_xlfn.IFNA(INDEX('Клиентлер'!$B$8:$B$31,MATCH(B470,'Клиентлер'!$A$8:$A$31,0)),"Код қәте"))</x:f>
      </x:c>
    </x:row>
    <x:row r="471" ht="40" customHeight="1">
      <x:c r="A471" s="12"/>
      <x:c r="B471" s="10"/>
      <x:c r="C471" s="10"/>
      <x:c r="D471" s="13" t="str">
        <x:f>IF(C471="","",_xlfn.IFNA(INDEX('Күнлик реже'!$D$8:$D$390,MATCH(C471,'Күнлик реже'!$A$8:$A$390,0)),"Код қәте"))</x:f>
      </x:c>
      <x:c r="E471" s="2" t="str">
        <x:f>IF(B471="","",_xlfn.IFNA(INDEX('Клиентлер'!$E$8:$E$31,MATCH(B471,'Клиентлер'!$A$8:$A$31,0)),"Код қәте"))</x:f>
      </x:c>
      <x:c r="F471" s="11"/>
      <x:c r="G471" s="11"/>
      <x:c r="H471" s="11"/>
      <x:c r="I471" s="11"/>
      <x:c r="J471" s="11"/>
      <x:c r="K471" s="10"/>
      <x:c r="L471" s="2" t="n">
        <x:f>IF(COUNTA(A471:C471,F471:K471)=0,0,IF(AND(COUNT(A471:C471)=3,COUNT(F471:J471)=5),0,1))</x:f>
        <x:v>0</x:v>
      </x:c>
      <x:c r="M471" s="2" t="n">
        <x:f>IF(COUNTA(A471:C471,F471:K471)=0,0,IF(OR(H471&gt;F471,I471&gt;G471,D471="Код қәте",E471="Код қәте"),1,0))</x:f>
        <x:v>0</x:v>
      </x:c>
      <x:c r="N471" s="2" t="str">
        <x:f>IF(B471="","",_xlfn.IFNA(INDEX('Клиентлер'!$B$8:$B$31,MATCH(B471,'Клиентлер'!$A$8:$A$31,0)),"Код қәте"))</x:f>
      </x:c>
    </x:row>
    <x:row r="472" ht="40" customHeight="1">
      <x:c r="A472" s="12"/>
      <x:c r="B472" s="10"/>
      <x:c r="C472" s="10"/>
      <x:c r="D472" s="13" t="str">
        <x:f>IF(C472="","",_xlfn.IFNA(INDEX('Күнлик реже'!$D$8:$D$390,MATCH(C472,'Күнлик реже'!$A$8:$A$390,0)),"Код қәте"))</x:f>
      </x:c>
      <x:c r="E472" s="2" t="str">
        <x:f>IF(B472="","",_xlfn.IFNA(INDEX('Клиентлер'!$E$8:$E$31,MATCH(B472,'Клиентлер'!$A$8:$A$31,0)),"Код қәте"))</x:f>
      </x:c>
      <x:c r="F472" s="11"/>
      <x:c r="G472" s="11"/>
      <x:c r="H472" s="11"/>
      <x:c r="I472" s="11"/>
      <x:c r="J472" s="11"/>
      <x:c r="K472" s="10"/>
      <x:c r="L472" s="2" t="n">
        <x:f>IF(COUNTA(A472:C472,F472:K472)=0,0,IF(AND(COUNT(A472:C472)=3,COUNT(F472:J472)=5),0,1))</x:f>
        <x:v>0</x:v>
      </x:c>
      <x:c r="M472" s="2" t="n">
        <x:f>IF(COUNTA(A472:C472,F472:K472)=0,0,IF(OR(H472&gt;F472,I472&gt;G472,D472="Код қәте",E472="Код қәте"),1,0))</x:f>
        <x:v>0</x:v>
      </x:c>
      <x:c r="N472" s="2" t="str">
        <x:f>IF(B472="","",_xlfn.IFNA(INDEX('Клиентлер'!$B$8:$B$31,MATCH(B472,'Клиентлер'!$A$8:$A$31,0)),"Код қәте"))</x:f>
      </x:c>
    </x:row>
    <x:row r="473" ht="40" customHeight="1">
      <x:c r="A473" s="12"/>
      <x:c r="B473" s="10"/>
      <x:c r="C473" s="10"/>
      <x:c r="D473" s="13" t="str">
        <x:f>IF(C473="","",_xlfn.IFNA(INDEX('Күнлик реже'!$D$8:$D$390,MATCH(C473,'Күнлик реже'!$A$8:$A$390,0)),"Код қәте"))</x:f>
      </x:c>
      <x:c r="E473" s="2" t="str">
        <x:f>IF(B473="","",_xlfn.IFNA(INDEX('Клиентлер'!$E$8:$E$31,MATCH(B473,'Клиентлер'!$A$8:$A$31,0)),"Код қәте"))</x:f>
      </x:c>
      <x:c r="F473" s="11"/>
      <x:c r="G473" s="11"/>
      <x:c r="H473" s="11"/>
      <x:c r="I473" s="11"/>
      <x:c r="J473" s="11"/>
      <x:c r="K473" s="10"/>
      <x:c r="L473" s="2" t="n">
        <x:f>IF(COUNTA(A473:C473,F473:K473)=0,0,IF(AND(COUNT(A473:C473)=3,COUNT(F473:J473)=5),0,1))</x:f>
        <x:v>0</x:v>
      </x:c>
      <x:c r="M473" s="2" t="n">
        <x:f>IF(COUNTA(A473:C473,F473:K473)=0,0,IF(OR(H473&gt;F473,I473&gt;G473,D473="Код қәте",E473="Код қәте"),1,0))</x:f>
        <x:v>0</x:v>
      </x:c>
      <x:c r="N473" s="2" t="str">
        <x:f>IF(B473="","",_xlfn.IFNA(INDEX('Клиентлер'!$B$8:$B$31,MATCH(B473,'Клиентлер'!$A$8:$A$31,0)),"Код қәте"))</x:f>
      </x:c>
    </x:row>
    <x:row r="474" ht="40" customHeight="1">
      <x:c r="A474" s="12"/>
      <x:c r="B474" s="10"/>
      <x:c r="C474" s="10"/>
      <x:c r="D474" s="13" t="str">
        <x:f>IF(C474="","",_xlfn.IFNA(INDEX('Күнлик реже'!$D$8:$D$390,MATCH(C474,'Күнлик реже'!$A$8:$A$390,0)),"Код қәте"))</x:f>
      </x:c>
      <x:c r="E474" s="2" t="str">
        <x:f>IF(B474="","",_xlfn.IFNA(INDEX('Клиентлер'!$E$8:$E$31,MATCH(B474,'Клиентлер'!$A$8:$A$31,0)),"Код қәте"))</x:f>
      </x:c>
      <x:c r="F474" s="11"/>
      <x:c r="G474" s="11"/>
      <x:c r="H474" s="11"/>
      <x:c r="I474" s="11"/>
      <x:c r="J474" s="11"/>
      <x:c r="K474" s="10"/>
      <x:c r="L474" s="2" t="n">
        <x:f>IF(COUNTA(A474:C474,F474:K474)=0,0,IF(AND(COUNT(A474:C474)=3,COUNT(F474:J474)=5),0,1))</x:f>
        <x:v>0</x:v>
      </x:c>
      <x:c r="M474" s="2" t="n">
        <x:f>IF(COUNTA(A474:C474,F474:K474)=0,0,IF(OR(H474&gt;F474,I474&gt;G474,D474="Код қәте",E474="Код қәте"),1,0))</x:f>
        <x:v>0</x:v>
      </x:c>
      <x:c r="N474" s="2" t="str">
        <x:f>IF(B474="","",_xlfn.IFNA(INDEX('Клиентлер'!$B$8:$B$31,MATCH(B474,'Клиентлер'!$A$8:$A$31,0)),"Код қәте"))</x:f>
      </x:c>
    </x:row>
    <x:row r="475" ht="40" customHeight="1">
      <x:c r="A475" s="12"/>
      <x:c r="B475" s="10"/>
      <x:c r="C475" s="10"/>
      <x:c r="D475" s="13" t="str">
        <x:f>IF(C475="","",_xlfn.IFNA(INDEX('Күнлик реже'!$D$8:$D$390,MATCH(C475,'Күнлик реже'!$A$8:$A$390,0)),"Код қәте"))</x:f>
      </x:c>
      <x:c r="E475" s="2" t="str">
        <x:f>IF(B475="","",_xlfn.IFNA(INDEX('Клиентлер'!$E$8:$E$31,MATCH(B475,'Клиентлер'!$A$8:$A$31,0)),"Код қәте"))</x:f>
      </x:c>
      <x:c r="F475" s="11"/>
      <x:c r="G475" s="11"/>
      <x:c r="H475" s="11"/>
      <x:c r="I475" s="11"/>
      <x:c r="J475" s="11"/>
      <x:c r="K475" s="10"/>
      <x:c r="L475" s="2" t="n">
        <x:f>IF(COUNTA(A475:C475,F475:K475)=0,0,IF(AND(COUNT(A475:C475)=3,COUNT(F475:J475)=5),0,1))</x:f>
        <x:v>0</x:v>
      </x:c>
      <x:c r="M475" s="2" t="n">
        <x:f>IF(COUNTA(A475:C475,F475:K475)=0,0,IF(OR(H475&gt;F475,I475&gt;G475,D475="Код қәте",E475="Код қәте"),1,0))</x:f>
        <x:v>0</x:v>
      </x:c>
      <x:c r="N475" s="2" t="str">
        <x:f>IF(B475="","",_xlfn.IFNA(INDEX('Клиентлер'!$B$8:$B$31,MATCH(B475,'Клиентлер'!$A$8:$A$31,0)),"Код қәте"))</x:f>
      </x:c>
    </x:row>
    <x:row r="476" ht="40" customHeight="1">
      <x:c r="A476" s="12"/>
      <x:c r="B476" s="10"/>
      <x:c r="C476" s="10"/>
      <x:c r="D476" s="13" t="str">
        <x:f>IF(C476="","",_xlfn.IFNA(INDEX('Күнлик реже'!$D$8:$D$390,MATCH(C476,'Күнлик реже'!$A$8:$A$390,0)),"Код қәте"))</x:f>
      </x:c>
      <x:c r="E476" s="2" t="str">
        <x:f>IF(B476="","",_xlfn.IFNA(INDEX('Клиентлер'!$E$8:$E$31,MATCH(B476,'Клиентлер'!$A$8:$A$31,0)),"Код қәте"))</x:f>
      </x:c>
      <x:c r="F476" s="11"/>
      <x:c r="G476" s="11"/>
      <x:c r="H476" s="11"/>
      <x:c r="I476" s="11"/>
      <x:c r="J476" s="11"/>
      <x:c r="K476" s="10"/>
      <x:c r="L476" s="2" t="n">
        <x:f>IF(COUNTA(A476:C476,F476:K476)=0,0,IF(AND(COUNT(A476:C476)=3,COUNT(F476:J476)=5),0,1))</x:f>
        <x:v>0</x:v>
      </x:c>
      <x:c r="M476" s="2" t="n">
        <x:f>IF(COUNTA(A476:C476,F476:K476)=0,0,IF(OR(H476&gt;F476,I476&gt;G476,D476="Код қәте",E476="Код қәте"),1,0))</x:f>
        <x:v>0</x:v>
      </x:c>
      <x:c r="N476" s="2" t="str">
        <x:f>IF(B476="","",_xlfn.IFNA(INDEX('Клиентлер'!$B$8:$B$31,MATCH(B476,'Клиентлер'!$A$8:$A$31,0)),"Код қәте"))</x:f>
      </x:c>
    </x:row>
    <x:row r="477" ht="40" customHeight="1">
      <x:c r="A477" s="12"/>
      <x:c r="B477" s="10"/>
      <x:c r="C477" s="10"/>
      <x:c r="D477" s="13" t="str">
        <x:f>IF(C477="","",_xlfn.IFNA(INDEX('Күнлик реже'!$D$8:$D$390,MATCH(C477,'Күнлик реже'!$A$8:$A$390,0)),"Код қәте"))</x:f>
      </x:c>
      <x:c r="E477" s="2" t="str">
        <x:f>IF(B477="","",_xlfn.IFNA(INDEX('Клиентлер'!$E$8:$E$31,MATCH(B477,'Клиентлер'!$A$8:$A$31,0)),"Код қәте"))</x:f>
      </x:c>
      <x:c r="F477" s="11"/>
      <x:c r="G477" s="11"/>
      <x:c r="H477" s="11"/>
      <x:c r="I477" s="11"/>
      <x:c r="J477" s="11"/>
      <x:c r="K477" s="10"/>
      <x:c r="L477" s="2" t="n">
        <x:f>IF(COUNTA(A477:C477,F477:K477)=0,0,IF(AND(COUNT(A477:C477)=3,COUNT(F477:J477)=5),0,1))</x:f>
        <x:v>0</x:v>
      </x:c>
      <x:c r="M477" s="2" t="n">
        <x:f>IF(COUNTA(A477:C477,F477:K477)=0,0,IF(OR(H477&gt;F477,I477&gt;G477,D477="Код қәте",E477="Код қәте"),1,0))</x:f>
        <x:v>0</x:v>
      </x:c>
      <x:c r="N477" s="2" t="str">
        <x:f>IF(B477="","",_xlfn.IFNA(INDEX('Клиентлер'!$B$8:$B$31,MATCH(B477,'Клиентлер'!$A$8:$A$31,0)),"Код қәте"))</x:f>
      </x:c>
    </x:row>
    <x:row r="478" ht="40" customHeight="1">
      <x:c r="A478" s="12"/>
      <x:c r="B478" s="10"/>
      <x:c r="C478" s="10"/>
      <x:c r="D478" s="13" t="str">
        <x:f>IF(C478="","",_xlfn.IFNA(INDEX('Күнлик реже'!$D$8:$D$390,MATCH(C478,'Күнлик реже'!$A$8:$A$390,0)),"Код қәте"))</x:f>
      </x:c>
      <x:c r="E478" s="2" t="str">
        <x:f>IF(B478="","",_xlfn.IFNA(INDEX('Клиентлер'!$E$8:$E$31,MATCH(B478,'Клиентлер'!$A$8:$A$31,0)),"Код қәте"))</x:f>
      </x:c>
      <x:c r="F478" s="11"/>
      <x:c r="G478" s="11"/>
      <x:c r="H478" s="11"/>
      <x:c r="I478" s="11"/>
      <x:c r="J478" s="11"/>
      <x:c r="K478" s="10"/>
      <x:c r="L478" s="2" t="n">
        <x:f>IF(COUNTA(A478:C478,F478:K478)=0,0,IF(AND(COUNT(A478:C478)=3,COUNT(F478:J478)=5),0,1))</x:f>
        <x:v>0</x:v>
      </x:c>
      <x:c r="M478" s="2" t="n">
        <x:f>IF(COUNTA(A478:C478,F478:K478)=0,0,IF(OR(H478&gt;F478,I478&gt;G478,D478="Код қәте",E478="Код қәте"),1,0))</x:f>
        <x:v>0</x:v>
      </x:c>
      <x:c r="N478" s="2" t="str">
        <x:f>IF(B478="","",_xlfn.IFNA(INDEX('Клиентлер'!$B$8:$B$31,MATCH(B478,'Клиентлер'!$A$8:$A$31,0)),"Код қәте"))</x:f>
      </x:c>
    </x:row>
    <x:row r="479" ht="40" customHeight="1">
      <x:c r="A479" s="12"/>
      <x:c r="B479" s="10"/>
      <x:c r="C479" s="10"/>
      <x:c r="D479" s="13" t="str">
        <x:f>IF(C479="","",_xlfn.IFNA(INDEX('Күнлик реже'!$D$8:$D$390,MATCH(C479,'Күнлик реже'!$A$8:$A$390,0)),"Код қәте"))</x:f>
      </x:c>
      <x:c r="E479" s="2" t="str">
        <x:f>IF(B479="","",_xlfn.IFNA(INDEX('Клиентлер'!$E$8:$E$31,MATCH(B479,'Клиентлер'!$A$8:$A$31,0)),"Код қәте"))</x:f>
      </x:c>
      <x:c r="F479" s="11"/>
      <x:c r="G479" s="11"/>
      <x:c r="H479" s="11"/>
      <x:c r="I479" s="11"/>
      <x:c r="J479" s="11"/>
      <x:c r="K479" s="10"/>
      <x:c r="L479" s="2" t="n">
        <x:f>IF(COUNTA(A479:C479,F479:K479)=0,0,IF(AND(COUNT(A479:C479)=3,COUNT(F479:J479)=5),0,1))</x:f>
        <x:v>0</x:v>
      </x:c>
      <x:c r="M479" s="2" t="n">
        <x:f>IF(COUNTA(A479:C479,F479:K479)=0,0,IF(OR(H479&gt;F479,I479&gt;G479,D479="Код қәте",E479="Код қәте"),1,0))</x:f>
        <x:v>0</x:v>
      </x:c>
      <x:c r="N479" s="2" t="str">
        <x:f>IF(B479="","",_xlfn.IFNA(INDEX('Клиентлер'!$B$8:$B$31,MATCH(B479,'Клиентлер'!$A$8:$A$31,0)),"Код қәте"))</x:f>
      </x:c>
    </x:row>
    <x:row r="480" ht="40" customHeight="1">
      <x:c r="A480" s="12"/>
      <x:c r="B480" s="10"/>
      <x:c r="C480" s="10"/>
      <x:c r="D480" s="13" t="str">
        <x:f>IF(C480="","",_xlfn.IFNA(INDEX('Күнлик реже'!$D$8:$D$390,MATCH(C480,'Күнлик реже'!$A$8:$A$390,0)),"Код қәте"))</x:f>
      </x:c>
      <x:c r="E480" s="2" t="str">
        <x:f>IF(B480="","",_xlfn.IFNA(INDEX('Клиентлер'!$E$8:$E$31,MATCH(B480,'Клиентлер'!$A$8:$A$31,0)),"Код қәте"))</x:f>
      </x:c>
      <x:c r="F480" s="11"/>
      <x:c r="G480" s="11"/>
      <x:c r="H480" s="11"/>
      <x:c r="I480" s="11"/>
      <x:c r="J480" s="11"/>
      <x:c r="K480" s="10"/>
      <x:c r="L480" s="2" t="n">
        <x:f>IF(COUNTA(A480:C480,F480:K480)=0,0,IF(AND(COUNT(A480:C480)=3,COUNT(F480:J480)=5),0,1))</x:f>
        <x:v>0</x:v>
      </x:c>
      <x:c r="M480" s="2" t="n">
        <x:f>IF(COUNTA(A480:C480,F480:K480)=0,0,IF(OR(H480&gt;F480,I480&gt;G480,D480="Код қәте",E480="Код қәте"),1,0))</x:f>
        <x:v>0</x:v>
      </x:c>
      <x:c r="N480" s="2" t="str">
        <x:f>IF(B480="","",_xlfn.IFNA(INDEX('Клиентлер'!$B$8:$B$31,MATCH(B480,'Клиентлер'!$A$8:$A$31,0)),"Код қәте"))</x:f>
      </x:c>
    </x:row>
    <x:row r="481" ht="40" customHeight="1">
      <x:c r="A481" s="12"/>
      <x:c r="B481" s="10"/>
      <x:c r="C481" s="10"/>
      <x:c r="D481" s="13" t="str">
        <x:f>IF(C481="","",_xlfn.IFNA(INDEX('Күнлик реже'!$D$8:$D$390,MATCH(C481,'Күнлик реже'!$A$8:$A$390,0)),"Код қәте"))</x:f>
      </x:c>
      <x:c r="E481" s="2" t="str">
        <x:f>IF(B481="","",_xlfn.IFNA(INDEX('Клиентлер'!$E$8:$E$31,MATCH(B481,'Клиентлер'!$A$8:$A$31,0)),"Код қәте"))</x:f>
      </x:c>
      <x:c r="F481" s="11"/>
      <x:c r="G481" s="11"/>
      <x:c r="H481" s="11"/>
      <x:c r="I481" s="11"/>
      <x:c r="J481" s="11"/>
      <x:c r="K481" s="10"/>
      <x:c r="L481" s="2" t="n">
        <x:f>IF(COUNTA(A481:C481,F481:K481)=0,0,IF(AND(COUNT(A481:C481)=3,COUNT(F481:J481)=5),0,1))</x:f>
        <x:v>0</x:v>
      </x:c>
      <x:c r="M481" s="2" t="n">
        <x:f>IF(COUNTA(A481:C481,F481:K481)=0,0,IF(OR(H481&gt;F481,I481&gt;G481,D481="Код қәте",E481="Код қәте"),1,0))</x:f>
        <x:v>0</x:v>
      </x:c>
      <x:c r="N481" s="2" t="str">
        <x:f>IF(B481="","",_xlfn.IFNA(INDEX('Клиентлер'!$B$8:$B$31,MATCH(B481,'Клиентлер'!$A$8:$A$31,0)),"Код қәте"))</x:f>
      </x:c>
    </x:row>
    <x:row r="482" ht="40" customHeight="1">
      <x:c r="A482" s="12"/>
      <x:c r="B482" s="10"/>
      <x:c r="C482" s="10"/>
      <x:c r="D482" s="13" t="str">
        <x:f>IF(C482="","",_xlfn.IFNA(INDEX('Күнлик реже'!$D$8:$D$390,MATCH(C482,'Күнлик реже'!$A$8:$A$390,0)),"Код қәте"))</x:f>
      </x:c>
      <x:c r="E482" s="2" t="str">
        <x:f>IF(B482="","",_xlfn.IFNA(INDEX('Клиентлер'!$E$8:$E$31,MATCH(B482,'Клиентлер'!$A$8:$A$31,0)),"Код қәте"))</x:f>
      </x:c>
      <x:c r="F482" s="11"/>
      <x:c r="G482" s="11"/>
      <x:c r="H482" s="11"/>
      <x:c r="I482" s="11"/>
      <x:c r="J482" s="11"/>
      <x:c r="K482" s="10"/>
      <x:c r="L482" s="2" t="n">
        <x:f>IF(COUNTA(A482:C482,F482:K482)=0,0,IF(AND(COUNT(A482:C482)=3,COUNT(F482:J482)=5),0,1))</x:f>
        <x:v>0</x:v>
      </x:c>
      <x:c r="M482" s="2" t="n">
        <x:f>IF(COUNTA(A482:C482,F482:K482)=0,0,IF(OR(H482&gt;F482,I482&gt;G482,D482="Код қәте",E482="Код қәте"),1,0))</x:f>
        <x:v>0</x:v>
      </x:c>
      <x:c r="N482" s="2" t="str">
        <x:f>IF(B482="","",_xlfn.IFNA(INDEX('Клиентлер'!$B$8:$B$31,MATCH(B482,'Клиентлер'!$A$8:$A$31,0)),"Код қәте"))</x:f>
      </x:c>
    </x:row>
    <x:row r="483" ht="40" customHeight="1">
      <x:c r="A483" s="12"/>
      <x:c r="B483" s="10"/>
      <x:c r="C483" s="10"/>
      <x:c r="D483" s="13" t="str">
        <x:f>IF(C483="","",_xlfn.IFNA(INDEX('Күнлик реже'!$D$8:$D$390,MATCH(C483,'Күнлик реже'!$A$8:$A$390,0)),"Код қәте"))</x:f>
      </x:c>
      <x:c r="E483" s="2" t="str">
        <x:f>IF(B483="","",_xlfn.IFNA(INDEX('Клиентлер'!$E$8:$E$31,MATCH(B483,'Клиентлер'!$A$8:$A$31,0)),"Код қәте"))</x:f>
      </x:c>
      <x:c r="F483" s="11"/>
      <x:c r="G483" s="11"/>
      <x:c r="H483" s="11"/>
      <x:c r="I483" s="11"/>
      <x:c r="J483" s="11"/>
      <x:c r="K483" s="10"/>
      <x:c r="L483" s="2" t="n">
        <x:f>IF(COUNTA(A483:C483,F483:K483)=0,0,IF(AND(COUNT(A483:C483)=3,COUNT(F483:J483)=5),0,1))</x:f>
        <x:v>0</x:v>
      </x:c>
      <x:c r="M483" s="2" t="n">
        <x:f>IF(COUNTA(A483:C483,F483:K483)=0,0,IF(OR(H483&gt;F483,I483&gt;G483,D483="Код қәте",E483="Код қәте"),1,0))</x:f>
        <x:v>0</x:v>
      </x:c>
      <x:c r="N483" s="2" t="str">
        <x:f>IF(B483="","",_xlfn.IFNA(INDEX('Клиентлер'!$B$8:$B$31,MATCH(B483,'Клиентлер'!$A$8:$A$31,0)),"Код қәте"))</x:f>
      </x:c>
    </x:row>
    <x:row r="484" ht="40" customHeight="1">
      <x:c r="A484" s="12"/>
      <x:c r="B484" s="10"/>
      <x:c r="C484" s="10"/>
      <x:c r="D484" s="13" t="str">
        <x:f>IF(C484="","",_xlfn.IFNA(INDEX('Күнлик реже'!$D$8:$D$390,MATCH(C484,'Күнлик реже'!$A$8:$A$390,0)),"Код қәте"))</x:f>
      </x:c>
      <x:c r="E484" s="2" t="str">
        <x:f>IF(B484="","",_xlfn.IFNA(INDEX('Клиентлер'!$E$8:$E$31,MATCH(B484,'Клиентлер'!$A$8:$A$31,0)),"Код қәте"))</x:f>
      </x:c>
      <x:c r="F484" s="11"/>
      <x:c r="G484" s="11"/>
      <x:c r="H484" s="11"/>
      <x:c r="I484" s="11"/>
      <x:c r="J484" s="11"/>
      <x:c r="K484" s="10"/>
      <x:c r="L484" s="2" t="n">
        <x:f>IF(COUNTA(A484:C484,F484:K484)=0,0,IF(AND(COUNT(A484:C484)=3,COUNT(F484:J484)=5),0,1))</x:f>
        <x:v>0</x:v>
      </x:c>
      <x:c r="M484" s="2" t="n">
        <x:f>IF(COUNTA(A484:C484,F484:K484)=0,0,IF(OR(H484&gt;F484,I484&gt;G484,D484="Код қәте",E484="Код қәте"),1,0))</x:f>
        <x:v>0</x:v>
      </x:c>
      <x:c r="N484" s="2" t="str">
        <x:f>IF(B484="","",_xlfn.IFNA(INDEX('Клиентлер'!$B$8:$B$31,MATCH(B484,'Клиентлер'!$A$8:$A$31,0)),"Код қәте"))</x:f>
      </x:c>
    </x:row>
    <x:row r="485" ht="40" customHeight="1">
      <x:c r="A485" s="12"/>
      <x:c r="B485" s="10"/>
      <x:c r="C485" s="10"/>
      <x:c r="D485" s="13" t="str">
        <x:f>IF(C485="","",_xlfn.IFNA(INDEX('Күнлик реже'!$D$8:$D$390,MATCH(C485,'Күнлик реже'!$A$8:$A$390,0)),"Код қәте"))</x:f>
      </x:c>
      <x:c r="E485" s="2" t="str">
        <x:f>IF(B485="","",_xlfn.IFNA(INDEX('Клиентлер'!$E$8:$E$31,MATCH(B485,'Клиентлер'!$A$8:$A$31,0)),"Код қәте"))</x:f>
      </x:c>
      <x:c r="F485" s="11"/>
      <x:c r="G485" s="11"/>
      <x:c r="H485" s="11"/>
      <x:c r="I485" s="11"/>
      <x:c r="J485" s="11"/>
      <x:c r="K485" s="10"/>
      <x:c r="L485" s="2" t="n">
        <x:f>IF(COUNTA(A485:C485,F485:K485)=0,0,IF(AND(COUNT(A485:C485)=3,COUNT(F485:J485)=5),0,1))</x:f>
        <x:v>0</x:v>
      </x:c>
      <x:c r="M485" s="2" t="n">
        <x:f>IF(COUNTA(A485:C485,F485:K485)=0,0,IF(OR(H485&gt;F485,I485&gt;G485,D485="Код қәте",E485="Код қәте"),1,0))</x:f>
        <x:v>0</x:v>
      </x:c>
      <x:c r="N485" s="2" t="str">
        <x:f>IF(B485="","",_xlfn.IFNA(INDEX('Клиентлер'!$B$8:$B$31,MATCH(B485,'Клиентлер'!$A$8:$A$31,0)),"Код қәте"))</x:f>
      </x:c>
    </x:row>
    <x:row r="486" ht="40" customHeight="1">
      <x:c r="A486" s="12"/>
      <x:c r="B486" s="10"/>
      <x:c r="C486" s="10"/>
      <x:c r="D486" s="13" t="str">
        <x:f>IF(C486="","",_xlfn.IFNA(INDEX('Күнлик реже'!$D$8:$D$390,MATCH(C486,'Күнлик реже'!$A$8:$A$390,0)),"Код қәте"))</x:f>
      </x:c>
      <x:c r="E486" s="2" t="str">
        <x:f>IF(B486="","",_xlfn.IFNA(INDEX('Клиентлер'!$E$8:$E$31,MATCH(B486,'Клиентлер'!$A$8:$A$31,0)),"Код қәте"))</x:f>
      </x:c>
      <x:c r="F486" s="11"/>
      <x:c r="G486" s="11"/>
      <x:c r="H486" s="11"/>
      <x:c r="I486" s="11"/>
      <x:c r="J486" s="11"/>
      <x:c r="K486" s="10"/>
      <x:c r="L486" s="2" t="n">
        <x:f>IF(COUNTA(A486:C486,F486:K486)=0,0,IF(AND(COUNT(A486:C486)=3,COUNT(F486:J486)=5),0,1))</x:f>
        <x:v>0</x:v>
      </x:c>
      <x:c r="M486" s="2" t="n">
        <x:f>IF(COUNTA(A486:C486,F486:K486)=0,0,IF(OR(H486&gt;F486,I486&gt;G486,D486="Код қәте",E486="Код қәте"),1,0))</x:f>
        <x:v>0</x:v>
      </x:c>
      <x:c r="N486" s="2" t="str">
        <x:f>IF(B486="","",_xlfn.IFNA(INDEX('Клиентлер'!$B$8:$B$31,MATCH(B486,'Клиентлер'!$A$8:$A$31,0)),"Код қәте"))</x:f>
      </x:c>
    </x:row>
    <x:row r="487" ht="40" customHeight="1">
      <x:c r="A487" s="12"/>
      <x:c r="B487" s="10"/>
      <x:c r="C487" s="10"/>
      <x:c r="D487" s="13" t="str">
        <x:f>IF(C487="","",_xlfn.IFNA(INDEX('Күнлик реже'!$D$8:$D$390,MATCH(C487,'Күнлик реже'!$A$8:$A$390,0)),"Код қәте"))</x:f>
      </x:c>
      <x:c r="E487" s="2" t="str">
        <x:f>IF(B487="","",_xlfn.IFNA(INDEX('Клиентлер'!$E$8:$E$31,MATCH(B487,'Клиентлер'!$A$8:$A$31,0)),"Код қәте"))</x:f>
      </x:c>
      <x:c r="F487" s="11"/>
      <x:c r="G487" s="11"/>
      <x:c r="H487" s="11"/>
      <x:c r="I487" s="11"/>
      <x:c r="J487" s="11"/>
      <x:c r="K487" s="10"/>
      <x:c r="L487" s="2" t="n">
        <x:f>IF(COUNTA(A487:C487,F487:K487)=0,0,IF(AND(COUNT(A487:C487)=3,COUNT(F487:J487)=5),0,1))</x:f>
        <x:v>0</x:v>
      </x:c>
      <x:c r="M487" s="2" t="n">
        <x:f>IF(COUNTA(A487:C487,F487:K487)=0,0,IF(OR(H487&gt;F487,I487&gt;G487,D487="Код қәте",E487="Код қәте"),1,0))</x:f>
        <x:v>0</x:v>
      </x:c>
      <x:c r="N487" s="2" t="str">
        <x:f>IF(B487="","",_xlfn.IFNA(INDEX('Клиентлер'!$B$8:$B$31,MATCH(B487,'Клиентлер'!$A$8:$A$31,0)),"Код қәте"))</x:f>
      </x:c>
    </x:row>
    <x:row r="488" ht="40" customHeight="1">
      <x:c r="A488" s="12"/>
      <x:c r="B488" s="10"/>
      <x:c r="C488" s="10"/>
      <x:c r="D488" s="13" t="str">
        <x:f>IF(C488="","",_xlfn.IFNA(INDEX('Күнлик реже'!$D$8:$D$390,MATCH(C488,'Күнлик реже'!$A$8:$A$390,0)),"Код қәте"))</x:f>
      </x:c>
      <x:c r="E488" s="2" t="str">
        <x:f>IF(B488="","",_xlfn.IFNA(INDEX('Клиентлер'!$E$8:$E$31,MATCH(B488,'Клиентлер'!$A$8:$A$31,0)),"Код қәте"))</x:f>
      </x:c>
      <x:c r="F488" s="11"/>
      <x:c r="G488" s="11"/>
      <x:c r="H488" s="11"/>
      <x:c r="I488" s="11"/>
      <x:c r="J488" s="11"/>
      <x:c r="K488" s="10"/>
      <x:c r="L488" s="2" t="n">
        <x:f>IF(COUNTA(A488:C488,F488:K488)=0,0,IF(AND(COUNT(A488:C488)=3,COUNT(F488:J488)=5),0,1))</x:f>
        <x:v>0</x:v>
      </x:c>
      <x:c r="M488" s="2" t="n">
        <x:f>IF(COUNTA(A488:C488,F488:K488)=0,0,IF(OR(H488&gt;F488,I488&gt;G488,D488="Код қәте",E488="Код қәте"),1,0))</x:f>
        <x:v>0</x:v>
      </x:c>
      <x:c r="N488" s="2" t="str">
        <x:f>IF(B488="","",_xlfn.IFNA(INDEX('Клиентлер'!$B$8:$B$31,MATCH(B488,'Клиентлер'!$A$8:$A$31,0)),"Код қәте"))</x:f>
      </x:c>
    </x:row>
    <x:row r="489" ht="40" customHeight="1">
      <x:c r="A489" s="12"/>
      <x:c r="B489" s="10"/>
      <x:c r="C489" s="10"/>
      <x:c r="D489" s="13" t="str">
        <x:f>IF(C489="","",_xlfn.IFNA(INDEX('Күнлик реже'!$D$8:$D$390,MATCH(C489,'Күнлик реже'!$A$8:$A$390,0)),"Код қәте"))</x:f>
      </x:c>
      <x:c r="E489" s="2" t="str">
        <x:f>IF(B489="","",_xlfn.IFNA(INDEX('Клиентлер'!$E$8:$E$31,MATCH(B489,'Клиентлер'!$A$8:$A$31,0)),"Код қәте"))</x:f>
      </x:c>
      <x:c r="F489" s="11"/>
      <x:c r="G489" s="11"/>
      <x:c r="H489" s="11"/>
      <x:c r="I489" s="11"/>
      <x:c r="J489" s="11"/>
      <x:c r="K489" s="10"/>
      <x:c r="L489" s="2" t="n">
        <x:f>IF(COUNTA(A489:C489,F489:K489)=0,0,IF(AND(COUNT(A489:C489)=3,COUNT(F489:J489)=5),0,1))</x:f>
        <x:v>0</x:v>
      </x:c>
      <x:c r="M489" s="2" t="n">
        <x:f>IF(COUNTA(A489:C489,F489:K489)=0,0,IF(OR(H489&gt;F489,I489&gt;G489,D489="Код қәте",E489="Код қәте"),1,0))</x:f>
        <x:v>0</x:v>
      </x:c>
      <x:c r="N489" s="2" t="str">
        <x:f>IF(B489="","",_xlfn.IFNA(INDEX('Клиентлер'!$B$8:$B$31,MATCH(B489,'Клиентлер'!$A$8:$A$31,0)),"Код қәте"))</x:f>
      </x:c>
    </x:row>
    <x:row r="490" ht="40" customHeight="1">
      <x:c r="A490" s="12"/>
      <x:c r="B490" s="10"/>
      <x:c r="C490" s="10"/>
      <x:c r="D490" s="13" t="str">
        <x:f>IF(C490="","",_xlfn.IFNA(INDEX('Күнлик реже'!$D$8:$D$390,MATCH(C490,'Күнлик реже'!$A$8:$A$390,0)),"Код қәте"))</x:f>
      </x:c>
      <x:c r="E490" s="2" t="str">
        <x:f>IF(B490="","",_xlfn.IFNA(INDEX('Клиентлер'!$E$8:$E$31,MATCH(B490,'Клиентлер'!$A$8:$A$31,0)),"Код қәте"))</x:f>
      </x:c>
      <x:c r="F490" s="11"/>
      <x:c r="G490" s="11"/>
      <x:c r="H490" s="11"/>
      <x:c r="I490" s="11"/>
      <x:c r="J490" s="11"/>
      <x:c r="K490" s="10"/>
      <x:c r="L490" s="2" t="n">
        <x:f>IF(COUNTA(A490:C490,F490:K490)=0,0,IF(AND(COUNT(A490:C490)=3,COUNT(F490:J490)=5),0,1))</x:f>
        <x:v>0</x:v>
      </x:c>
      <x:c r="M490" s="2" t="n">
        <x:f>IF(COUNTA(A490:C490,F490:K490)=0,0,IF(OR(H490&gt;F490,I490&gt;G490,D490="Код қәте",E490="Код қәте"),1,0))</x:f>
        <x:v>0</x:v>
      </x:c>
      <x:c r="N490" s="2" t="str">
        <x:f>IF(B490="","",_xlfn.IFNA(INDEX('Клиентлер'!$B$8:$B$31,MATCH(B490,'Клиентлер'!$A$8:$A$31,0)),"Код қәте"))</x:f>
      </x:c>
    </x:row>
    <x:row r="491" ht="40" customHeight="1">
      <x:c r="A491" s="12"/>
      <x:c r="B491" s="10"/>
      <x:c r="C491" s="10"/>
      <x:c r="D491" s="13" t="str">
        <x:f>IF(C491="","",_xlfn.IFNA(INDEX('Күнлик реже'!$D$8:$D$390,MATCH(C491,'Күнлик реже'!$A$8:$A$390,0)),"Код қәте"))</x:f>
      </x:c>
      <x:c r="E491" s="2" t="str">
        <x:f>IF(B491="","",_xlfn.IFNA(INDEX('Клиентлер'!$E$8:$E$31,MATCH(B491,'Клиентлер'!$A$8:$A$31,0)),"Код қәте"))</x:f>
      </x:c>
      <x:c r="F491" s="11"/>
      <x:c r="G491" s="11"/>
      <x:c r="H491" s="11"/>
      <x:c r="I491" s="11"/>
      <x:c r="J491" s="11"/>
      <x:c r="K491" s="10"/>
      <x:c r="L491" s="2" t="n">
        <x:f>IF(COUNTA(A491:C491,F491:K491)=0,0,IF(AND(COUNT(A491:C491)=3,COUNT(F491:J491)=5),0,1))</x:f>
        <x:v>0</x:v>
      </x:c>
      <x:c r="M491" s="2" t="n">
        <x:f>IF(COUNTA(A491:C491,F491:K491)=0,0,IF(OR(H491&gt;F491,I491&gt;G491,D491="Код қәте",E491="Код қәте"),1,0))</x:f>
        <x:v>0</x:v>
      </x:c>
      <x:c r="N491" s="2" t="str">
        <x:f>IF(B491="","",_xlfn.IFNA(INDEX('Клиентлер'!$B$8:$B$31,MATCH(B491,'Клиентлер'!$A$8:$A$31,0)),"Код қәте"))</x:f>
      </x:c>
    </x:row>
    <x:row r="492" ht="40" customHeight="1">
      <x:c r="A492" s="12"/>
      <x:c r="B492" s="10"/>
      <x:c r="C492" s="10"/>
      <x:c r="D492" s="13" t="str">
        <x:f>IF(C492="","",_xlfn.IFNA(INDEX('Күнлик реже'!$D$8:$D$390,MATCH(C492,'Күнлик реже'!$A$8:$A$390,0)),"Код қәте"))</x:f>
      </x:c>
      <x:c r="E492" s="2" t="str">
        <x:f>IF(B492="","",_xlfn.IFNA(INDEX('Клиентлер'!$E$8:$E$31,MATCH(B492,'Клиентлер'!$A$8:$A$31,0)),"Код қәте"))</x:f>
      </x:c>
      <x:c r="F492" s="11"/>
      <x:c r="G492" s="11"/>
      <x:c r="H492" s="11"/>
      <x:c r="I492" s="11"/>
      <x:c r="J492" s="11"/>
      <x:c r="K492" s="10"/>
      <x:c r="L492" s="2" t="n">
        <x:f>IF(COUNTA(A492:C492,F492:K492)=0,0,IF(AND(COUNT(A492:C492)=3,COUNT(F492:J492)=5),0,1))</x:f>
        <x:v>0</x:v>
      </x:c>
      <x:c r="M492" s="2" t="n">
        <x:f>IF(COUNTA(A492:C492,F492:K492)=0,0,IF(OR(H492&gt;F492,I492&gt;G492,D492="Код қәте",E492="Код қәте"),1,0))</x:f>
        <x:v>0</x:v>
      </x:c>
      <x:c r="N492" s="2" t="str">
        <x:f>IF(B492="","",_xlfn.IFNA(INDEX('Клиентлер'!$B$8:$B$31,MATCH(B492,'Клиентлер'!$A$8:$A$31,0)),"Код қәте"))</x:f>
      </x:c>
    </x:row>
    <x:row r="493" ht="40" customHeight="1">
      <x:c r="A493" s="12"/>
      <x:c r="B493" s="10"/>
      <x:c r="C493" s="10"/>
      <x:c r="D493" s="13" t="str">
        <x:f>IF(C493="","",_xlfn.IFNA(INDEX('Күнлик реже'!$D$8:$D$390,MATCH(C493,'Күнлик реже'!$A$8:$A$390,0)),"Код қәте"))</x:f>
      </x:c>
      <x:c r="E493" s="2" t="str">
        <x:f>IF(B493="","",_xlfn.IFNA(INDEX('Клиентлер'!$E$8:$E$31,MATCH(B493,'Клиентлер'!$A$8:$A$31,0)),"Код қәте"))</x:f>
      </x:c>
      <x:c r="F493" s="11"/>
      <x:c r="G493" s="11"/>
      <x:c r="H493" s="11"/>
      <x:c r="I493" s="11"/>
      <x:c r="J493" s="11"/>
      <x:c r="K493" s="10"/>
      <x:c r="L493" s="2" t="n">
        <x:f>IF(COUNTA(A493:C493,F493:K493)=0,0,IF(AND(COUNT(A493:C493)=3,COUNT(F493:J493)=5),0,1))</x:f>
        <x:v>0</x:v>
      </x:c>
      <x:c r="M493" s="2" t="n">
        <x:f>IF(COUNTA(A493:C493,F493:K493)=0,0,IF(OR(H493&gt;F493,I493&gt;G493,D493="Код қәте",E493="Код қәте"),1,0))</x:f>
        <x:v>0</x:v>
      </x:c>
      <x:c r="N493" s="2" t="str">
        <x:f>IF(B493="","",_xlfn.IFNA(INDEX('Клиентлер'!$B$8:$B$31,MATCH(B493,'Клиентлер'!$A$8:$A$31,0)),"Код қәте"))</x:f>
      </x:c>
    </x:row>
    <x:row r="494" ht="40" customHeight="1">
      <x:c r="A494" s="12"/>
      <x:c r="B494" s="10"/>
      <x:c r="C494" s="10"/>
      <x:c r="D494" s="13" t="str">
        <x:f>IF(C494="","",_xlfn.IFNA(INDEX('Күнлик реже'!$D$8:$D$390,MATCH(C494,'Күнлик реже'!$A$8:$A$390,0)),"Код қәте"))</x:f>
      </x:c>
      <x:c r="E494" s="2" t="str">
        <x:f>IF(B494="","",_xlfn.IFNA(INDEX('Клиентлер'!$E$8:$E$31,MATCH(B494,'Клиентлер'!$A$8:$A$31,0)),"Код қәте"))</x:f>
      </x:c>
      <x:c r="F494" s="11"/>
      <x:c r="G494" s="11"/>
      <x:c r="H494" s="11"/>
      <x:c r="I494" s="11"/>
      <x:c r="J494" s="11"/>
      <x:c r="K494" s="10"/>
      <x:c r="L494" s="2" t="n">
        <x:f>IF(COUNTA(A494:C494,F494:K494)=0,0,IF(AND(COUNT(A494:C494)=3,COUNT(F494:J494)=5),0,1))</x:f>
        <x:v>0</x:v>
      </x:c>
      <x:c r="M494" s="2" t="n">
        <x:f>IF(COUNTA(A494:C494,F494:K494)=0,0,IF(OR(H494&gt;F494,I494&gt;G494,D494="Код қәте",E494="Код қәте"),1,0))</x:f>
        <x:v>0</x:v>
      </x:c>
      <x:c r="N494" s="2" t="str">
        <x:f>IF(B494="","",_xlfn.IFNA(INDEX('Клиентлер'!$B$8:$B$31,MATCH(B494,'Клиентлер'!$A$8:$A$31,0)),"Код қәте"))</x:f>
      </x:c>
    </x:row>
    <x:row r="495" ht="40" customHeight="1">
      <x:c r="A495" s="12"/>
      <x:c r="B495" s="10"/>
      <x:c r="C495" s="10"/>
      <x:c r="D495" s="13" t="str">
        <x:f>IF(C495="","",_xlfn.IFNA(INDEX('Күнлик реже'!$D$8:$D$390,MATCH(C495,'Күнлик реже'!$A$8:$A$390,0)),"Код қәте"))</x:f>
      </x:c>
      <x:c r="E495" s="2" t="str">
        <x:f>IF(B495="","",_xlfn.IFNA(INDEX('Клиентлер'!$E$8:$E$31,MATCH(B495,'Клиентлер'!$A$8:$A$31,0)),"Код қәте"))</x:f>
      </x:c>
      <x:c r="F495" s="11"/>
      <x:c r="G495" s="11"/>
      <x:c r="H495" s="11"/>
      <x:c r="I495" s="11"/>
      <x:c r="J495" s="11"/>
      <x:c r="K495" s="10"/>
      <x:c r="L495" s="2" t="n">
        <x:f>IF(COUNTA(A495:C495,F495:K495)=0,0,IF(AND(COUNT(A495:C495)=3,COUNT(F495:J495)=5),0,1))</x:f>
        <x:v>0</x:v>
      </x:c>
      <x:c r="M495" s="2" t="n">
        <x:f>IF(COUNTA(A495:C495,F495:K495)=0,0,IF(OR(H495&gt;F495,I495&gt;G495,D495="Код қәте",E495="Код қәте"),1,0))</x:f>
        <x:v>0</x:v>
      </x:c>
      <x:c r="N495" s="2" t="str">
        <x:f>IF(B495="","",_xlfn.IFNA(INDEX('Клиентлер'!$B$8:$B$31,MATCH(B495,'Клиентлер'!$A$8:$A$31,0)),"Код қәте"))</x:f>
      </x:c>
    </x:row>
    <x:row r="496" ht="40" customHeight="1">
      <x:c r="A496" s="12"/>
      <x:c r="B496" s="10"/>
      <x:c r="C496" s="10"/>
      <x:c r="D496" s="13" t="str">
        <x:f>IF(C496="","",_xlfn.IFNA(INDEX('Күнлик реже'!$D$8:$D$390,MATCH(C496,'Күнлик реже'!$A$8:$A$390,0)),"Код қәте"))</x:f>
      </x:c>
      <x:c r="E496" s="2" t="str">
        <x:f>IF(B496="","",_xlfn.IFNA(INDEX('Клиентлер'!$E$8:$E$31,MATCH(B496,'Клиентлер'!$A$8:$A$31,0)),"Код қәте"))</x:f>
      </x:c>
      <x:c r="F496" s="11"/>
      <x:c r="G496" s="11"/>
      <x:c r="H496" s="11"/>
      <x:c r="I496" s="11"/>
      <x:c r="J496" s="11"/>
      <x:c r="K496" s="10"/>
      <x:c r="L496" s="2" t="n">
        <x:f>IF(COUNTA(A496:C496,F496:K496)=0,0,IF(AND(COUNT(A496:C496)=3,COUNT(F496:J496)=5),0,1))</x:f>
        <x:v>0</x:v>
      </x:c>
      <x:c r="M496" s="2" t="n">
        <x:f>IF(COUNTA(A496:C496,F496:K496)=0,0,IF(OR(H496&gt;F496,I496&gt;G496,D496="Код қәте",E496="Код қәте"),1,0))</x:f>
        <x:v>0</x:v>
      </x:c>
      <x:c r="N496" s="2" t="str">
        <x:f>IF(B496="","",_xlfn.IFNA(INDEX('Клиентлер'!$B$8:$B$31,MATCH(B496,'Клиентлер'!$A$8:$A$31,0)),"Код қәте"))</x:f>
      </x:c>
    </x:row>
    <x:row r="497" ht="40" customHeight="1">
      <x:c r="A497" s="12"/>
      <x:c r="B497" s="10"/>
      <x:c r="C497" s="10"/>
      <x:c r="D497" s="13" t="str">
        <x:f>IF(C497="","",_xlfn.IFNA(INDEX('Күнлик реже'!$D$8:$D$390,MATCH(C497,'Күнлик реже'!$A$8:$A$390,0)),"Код қәте"))</x:f>
      </x:c>
      <x:c r="E497" s="2" t="str">
        <x:f>IF(B497="","",_xlfn.IFNA(INDEX('Клиентлер'!$E$8:$E$31,MATCH(B497,'Клиентлер'!$A$8:$A$31,0)),"Код қәте"))</x:f>
      </x:c>
      <x:c r="F497" s="11"/>
      <x:c r="G497" s="11"/>
      <x:c r="H497" s="11"/>
      <x:c r="I497" s="11"/>
      <x:c r="J497" s="11"/>
      <x:c r="K497" s="10"/>
      <x:c r="L497" s="2" t="n">
        <x:f>IF(COUNTA(A497:C497,F497:K497)=0,0,IF(AND(COUNT(A497:C497)=3,COUNT(F497:J497)=5),0,1))</x:f>
        <x:v>0</x:v>
      </x:c>
      <x:c r="M497" s="2" t="n">
        <x:f>IF(COUNTA(A497:C497,F497:K497)=0,0,IF(OR(H497&gt;F497,I497&gt;G497,D497="Код қәте",E497="Код қәте"),1,0))</x:f>
        <x:v>0</x:v>
      </x:c>
      <x:c r="N497" s="2" t="str">
        <x:f>IF(B497="","",_xlfn.IFNA(INDEX('Клиентлер'!$B$8:$B$31,MATCH(B497,'Клиентлер'!$A$8:$A$31,0)),"Код қәте"))</x:f>
      </x:c>
    </x:row>
    <x:row r="498" ht="40" customHeight="1">
      <x:c r="A498" s="12"/>
      <x:c r="B498" s="10"/>
      <x:c r="C498" s="10"/>
      <x:c r="D498" s="13" t="str">
        <x:f>IF(C498="","",_xlfn.IFNA(INDEX('Күнлик реже'!$D$8:$D$390,MATCH(C498,'Күнлик реже'!$A$8:$A$390,0)),"Код қәте"))</x:f>
      </x:c>
      <x:c r="E498" s="2" t="str">
        <x:f>IF(B498="","",_xlfn.IFNA(INDEX('Клиентлер'!$E$8:$E$31,MATCH(B498,'Клиентлер'!$A$8:$A$31,0)),"Код қәте"))</x:f>
      </x:c>
      <x:c r="F498" s="11"/>
      <x:c r="G498" s="11"/>
      <x:c r="H498" s="11"/>
      <x:c r="I498" s="11"/>
      <x:c r="J498" s="11"/>
      <x:c r="K498" s="10"/>
      <x:c r="L498" s="2" t="n">
        <x:f>IF(COUNTA(A498:C498,F498:K498)=0,0,IF(AND(COUNT(A498:C498)=3,COUNT(F498:J498)=5),0,1))</x:f>
        <x:v>0</x:v>
      </x:c>
      <x:c r="M498" s="2" t="n">
        <x:f>IF(COUNTA(A498:C498,F498:K498)=0,0,IF(OR(H498&gt;F498,I498&gt;G498,D498="Код қәте",E498="Код қәте"),1,0))</x:f>
        <x:v>0</x:v>
      </x:c>
      <x:c r="N498" s="2" t="str">
        <x:f>IF(B498="","",_xlfn.IFNA(INDEX('Клиентлер'!$B$8:$B$31,MATCH(B498,'Клиентлер'!$A$8:$A$31,0)),"Код қәте"))</x:f>
      </x:c>
    </x:row>
    <x:row r="499" ht="40" customHeight="1">
      <x:c r="A499" s="12"/>
      <x:c r="B499" s="10"/>
      <x:c r="C499" s="10"/>
      <x:c r="D499" s="13" t="str">
        <x:f>IF(C499="","",_xlfn.IFNA(INDEX('Күнлик реже'!$D$8:$D$390,MATCH(C499,'Күнлик реже'!$A$8:$A$390,0)),"Код қәте"))</x:f>
      </x:c>
      <x:c r="E499" s="2" t="str">
        <x:f>IF(B499="","",_xlfn.IFNA(INDEX('Клиентлер'!$E$8:$E$31,MATCH(B499,'Клиентлер'!$A$8:$A$31,0)),"Код қәте"))</x:f>
      </x:c>
      <x:c r="F499" s="11"/>
      <x:c r="G499" s="11"/>
      <x:c r="H499" s="11"/>
      <x:c r="I499" s="11"/>
      <x:c r="J499" s="11"/>
      <x:c r="K499" s="10"/>
      <x:c r="L499" s="2" t="n">
        <x:f>IF(COUNTA(A499:C499,F499:K499)=0,0,IF(AND(COUNT(A499:C499)=3,COUNT(F499:J499)=5),0,1))</x:f>
        <x:v>0</x:v>
      </x:c>
      <x:c r="M499" s="2" t="n">
        <x:f>IF(COUNTA(A499:C499,F499:K499)=0,0,IF(OR(H499&gt;F499,I499&gt;G499,D499="Код қәте",E499="Код қәте"),1,0))</x:f>
        <x:v>0</x:v>
      </x:c>
      <x:c r="N499" s="2" t="str">
        <x:f>IF(B499="","",_xlfn.IFNA(INDEX('Клиентлер'!$B$8:$B$31,MATCH(B499,'Клиентлер'!$A$8:$A$31,0)),"Код қәте"))</x:f>
      </x:c>
    </x:row>
    <x:row r="500" ht="40" customHeight="1">
      <x:c r="A500" s="12"/>
      <x:c r="B500" s="10"/>
      <x:c r="C500" s="10"/>
      <x:c r="D500" s="13" t="str">
        <x:f>IF(C500="","",_xlfn.IFNA(INDEX('Күнлик реже'!$D$8:$D$390,MATCH(C500,'Күнлик реже'!$A$8:$A$390,0)),"Код қәте"))</x:f>
      </x:c>
      <x:c r="E500" s="2" t="str">
        <x:f>IF(B500="","",_xlfn.IFNA(INDEX('Клиентлер'!$E$8:$E$31,MATCH(B500,'Клиентлер'!$A$8:$A$31,0)),"Код қәте"))</x:f>
      </x:c>
      <x:c r="F500" s="11"/>
      <x:c r="G500" s="11"/>
      <x:c r="H500" s="11"/>
      <x:c r="I500" s="11"/>
      <x:c r="J500" s="11"/>
      <x:c r="K500" s="10"/>
      <x:c r="L500" s="2" t="n">
        <x:f>IF(COUNTA(A500:C500,F500:K500)=0,0,IF(AND(COUNT(A500:C500)=3,COUNT(F500:J500)=5),0,1))</x:f>
        <x:v>0</x:v>
      </x:c>
      <x:c r="M500" s="2" t="n">
        <x:f>IF(COUNTA(A500:C500,F500:K500)=0,0,IF(OR(H500&gt;F500,I500&gt;G500,D500="Код қәте",E500="Код қәте"),1,0))</x:f>
        <x:v>0</x:v>
      </x:c>
      <x:c r="N500" s="2" t="str">
        <x:f>IF(B500="","",_xlfn.IFNA(INDEX('Клиентлер'!$B$8:$B$31,MATCH(B500,'Клиентлер'!$A$8:$A$31,0)),"Код қәте"))</x:f>
      </x:c>
    </x:row>
    <x:row r="501" ht="40" customHeight="1">
      <x:c r="A501" s="12"/>
      <x:c r="B501" s="10"/>
      <x:c r="C501" s="10"/>
      <x:c r="D501" s="13" t="str">
        <x:f>IF(C501="","",_xlfn.IFNA(INDEX('Күнлик реже'!$D$8:$D$390,MATCH(C501,'Күнлик реже'!$A$8:$A$390,0)),"Код қәте"))</x:f>
      </x:c>
      <x:c r="E501" s="2" t="str">
        <x:f>IF(B501="","",_xlfn.IFNA(INDEX('Клиентлер'!$E$8:$E$31,MATCH(B501,'Клиентлер'!$A$8:$A$31,0)),"Код қәте"))</x:f>
      </x:c>
      <x:c r="F501" s="11"/>
      <x:c r="G501" s="11"/>
      <x:c r="H501" s="11"/>
      <x:c r="I501" s="11"/>
      <x:c r="J501" s="11"/>
      <x:c r="K501" s="10"/>
      <x:c r="L501" s="2" t="n">
        <x:f>IF(COUNTA(A501:C501,F501:K501)=0,0,IF(AND(COUNT(A501:C501)=3,COUNT(F501:J501)=5),0,1))</x:f>
        <x:v>0</x:v>
      </x:c>
      <x:c r="M501" s="2" t="n">
        <x:f>IF(COUNTA(A501:C501,F501:K501)=0,0,IF(OR(H501&gt;F501,I501&gt;G501,D501="Код қәте",E501="Код қәте"),1,0))</x:f>
        <x:v>0</x:v>
      </x:c>
      <x:c r="N501" s="2" t="str">
        <x:f>IF(B501="","",_xlfn.IFNA(INDEX('Клиентлер'!$B$8:$B$31,MATCH(B501,'Клиентлер'!$A$8:$A$31,0)),"Код қәте"))</x:f>
      </x:c>
    </x:row>
    <x:row r="502" ht="40" customHeight="1">
      <x:c r="A502" s="12"/>
      <x:c r="B502" s="10"/>
      <x:c r="C502" s="10"/>
      <x:c r="D502" s="13" t="str">
        <x:f>IF(C502="","",_xlfn.IFNA(INDEX('Күнлик реже'!$D$8:$D$390,MATCH(C502,'Күнлик реже'!$A$8:$A$390,0)),"Код қәте"))</x:f>
      </x:c>
      <x:c r="E502" s="2" t="str">
        <x:f>IF(B502="","",_xlfn.IFNA(INDEX('Клиентлер'!$E$8:$E$31,MATCH(B502,'Клиентлер'!$A$8:$A$31,0)),"Код қәте"))</x:f>
      </x:c>
      <x:c r="F502" s="11"/>
      <x:c r="G502" s="11"/>
      <x:c r="H502" s="11"/>
      <x:c r="I502" s="11"/>
      <x:c r="J502" s="11"/>
      <x:c r="K502" s="10"/>
      <x:c r="L502" s="2" t="n">
        <x:f>IF(COUNTA(A502:C502,F502:K502)=0,0,IF(AND(COUNT(A502:C502)=3,COUNT(F502:J502)=5),0,1))</x:f>
        <x:v>0</x:v>
      </x:c>
      <x:c r="M502" s="2" t="n">
        <x:f>IF(COUNTA(A502:C502,F502:K502)=0,0,IF(OR(H502&gt;F502,I502&gt;G502,D502="Код қәте",E502="Код қәте"),1,0))</x:f>
        <x:v>0</x:v>
      </x:c>
      <x:c r="N502" s="2" t="str">
        <x:f>IF(B502="","",_xlfn.IFNA(INDEX('Клиентлер'!$B$8:$B$31,MATCH(B502,'Клиентлер'!$A$8:$A$31,0)),"Код қәте"))</x:f>
      </x:c>
    </x:row>
    <x:row r="503" ht="40" customHeight="1">
      <x:c r="A503" s="12"/>
      <x:c r="B503" s="10"/>
      <x:c r="C503" s="10"/>
      <x:c r="D503" s="13" t="str">
        <x:f>IF(C503="","",_xlfn.IFNA(INDEX('Күнлик реже'!$D$8:$D$390,MATCH(C503,'Күнлик реже'!$A$8:$A$390,0)),"Код қәте"))</x:f>
      </x:c>
      <x:c r="E503" s="2" t="str">
        <x:f>IF(B503="","",_xlfn.IFNA(INDEX('Клиентлер'!$E$8:$E$31,MATCH(B503,'Клиентлер'!$A$8:$A$31,0)),"Код қәте"))</x:f>
      </x:c>
      <x:c r="F503" s="11"/>
      <x:c r="G503" s="11"/>
      <x:c r="H503" s="11"/>
      <x:c r="I503" s="11"/>
      <x:c r="J503" s="11"/>
      <x:c r="K503" s="10"/>
      <x:c r="L503" s="2" t="n">
        <x:f>IF(COUNTA(A503:C503,F503:K503)=0,0,IF(AND(COUNT(A503:C503)=3,COUNT(F503:J503)=5),0,1))</x:f>
        <x:v>0</x:v>
      </x:c>
      <x:c r="M503" s="2" t="n">
        <x:f>IF(COUNTA(A503:C503,F503:K503)=0,0,IF(OR(H503&gt;F503,I503&gt;G503,D503="Код қәте",E503="Код қәте"),1,0))</x:f>
        <x:v>0</x:v>
      </x:c>
      <x:c r="N503" s="2" t="str">
        <x:f>IF(B503="","",_xlfn.IFNA(INDEX('Клиентлер'!$B$8:$B$31,MATCH(B503,'Клиентлер'!$A$8:$A$31,0)),"Код қәте"))</x:f>
      </x:c>
    </x:row>
    <x:row r="504" ht="40" customHeight="1">
      <x:c r="A504" s="12"/>
      <x:c r="B504" s="10"/>
      <x:c r="C504" s="10"/>
      <x:c r="D504" s="13" t="str">
        <x:f>IF(C504="","",_xlfn.IFNA(INDEX('Күнлик реже'!$D$8:$D$390,MATCH(C504,'Күнлик реже'!$A$8:$A$390,0)),"Код қәте"))</x:f>
      </x:c>
      <x:c r="E504" s="2" t="str">
        <x:f>IF(B504="","",_xlfn.IFNA(INDEX('Клиентлер'!$E$8:$E$31,MATCH(B504,'Клиентлер'!$A$8:$A$31,0)),"Код қәте"))</x:f>
      </x:c>
      <x:c r="F504" s="11"/>
      <x:c r="G504" s="11"/>
      <x:c r="H504" s="11"/>
      <x:c r="I504" s="11"/>
      <x:c r="J504" s="11"/>
      <x:c r="K504" s="10"/>
      <x:c r="L504" s="2" t="n">
        <x:f>IF(COUNTA(A504:C504,F504:K504)=0,0,IF(AND(COUNT(A504:C504)=3,COUNT(F504:J504)=5),0,1))</x:f>
        <x:v>0</x:v>
      </x:c>
      <x:c r="M504" s="2" t="n">
        <x:f>IF(COUNTA(A504:C504,F504:K504)=0,0,IF(OR(H504&gt;F504,I504&gt;G504,D504="Код қәте",E504="Код қәте"),1,0))</x:f>
        <x:v>0</x:v>
      </x:c>
      <x:c r="N504" s="2" t="str">
        <x:f>IF(B504="","",_xlfn.IFNA(INDEX('Клиентлер'!$B$8:$B$31,MATCH(B504,'Клиентлер'!$A$8:$A$31,0)),"Код қәте"))</x:f>
      </x:c>
    </x:row>
    <x:row r="505" ht="40" customHeight="1">
      <x:c r="A505" s="12"/>
      <x:c r="B505" s="10"/>
      <x:c r="C505" s="10"/>
      <x:c r="D505" s="13" t="str">
        <x:f>IF(C505="","",_xlfn.IFNA(INDEX('Күнлик реже'!$D$8:$D$390,MATCH(C505,'Күнлик реже'!$A$8:$A$390,0)),"Код қәте"))</x:f>
      </x:c>
      <x:c r="E505" s="2" t="str">
        <x:f>IF(B505="","",_xlfn.IFNA(INDEX('Клиентлер'!$E$8:$E$31,MATCH(B505,'Клиентлер'!$A$8:$A$31,0)),"Код қәте"))</x:f>
      </x:c>
      <x:c r="F505" s="11"/>
      <x:c r="G505" s="11"/>
      <x:c r="H505" s="11"/>
      <x:c r="I505" s="11"/>
      <x:c r="J505" s="11"/>
      <x:c r="K505" s="10"/>
      <x:c r="L505" s="2" t="n">
        <x:f>IF(COUNTA(A505:C505,F505:K505)=0,0,IF(AND(COUNT(A505:C505)=3,COUNT(F505:J505)=5),0,1))</x:f>
        <x:v>0</x:v>
      </x:c>
      <x:c r="M505" s="2" t="n">
        <x:f>IF(COUNTA(A505:C505,F505:K505)=0,0,IF(OR(H505&gt;F505,I505&gt;G505,D505="Код қәте",E505="Код қәте"),1,0))</x:f>
        <x:v>0</x:v>
      </x:c>
      <x:c r="N505" s="2" t="str">
        <x:f>IF(B505="","",_xlfn.IFNA(INDEX('Клиентлер'!$B$8:$B$31,MATCH(B505,'Клиентлер'!$A$8:$A$31,0)),"Код қәте"))</x:f>
      </x:c>
    </x:row>
    <x:row r="506" ht="40" customHeight="1">
      <x:c r="A506" s="12"/>
      <x:c r="B506" s="10"/>
      <x:c r="C506" s="10"/>
      <x:c r="D506" s="13" t="str">
        <x:f>IF(C506="","",_xlfn.IFNA(INDEX('Күнлик реже'!$D$8:$D$390,MATCH(C506,'Күнлик реже'!$A$8:$A$390,0)),"Код қәте"))</x:f>
      </x:c>
      <x:c r="E506" s="2" t="str">
        <x:f>IF(B506="","",_xlfn.IFNA(INDEX('Клиентлер'!$E$8:$E$31,MATCH(B506,'Клиентлер'!$A$8:$A$31,0)),"Код қәте"))</x:f>
      </x:c>
      <x:c r="F506" s="11"/>
      <x:c r="G506" s="11"/>
      <x:c r="H506" s="11"/>
      <x:c r="I506" s="11"/>
      <x:c r="J506" s="11"/>
      <x:c r="K506" s="10"/>
      <x:c r="L506" s="2" t="n">
        <x:f>IF(COUNTA(A506:C506,F506:K506)=0,0,IF(AND(COUNT(A506:C506)=3,COUNT(F506:J506)=5),0,1))</x:f>
        <x:v>0</x:v>
      </x:c>
      <x:c r="M506" s="2" t="n">
        <x:f>IF(COUNTA(A506:C506,F506:K506)=0,0,IF(OR(H506&gt;F506,I506&gt;G506,D506="Код қәте",E506="Код қәте"),1,0))</x:f>
        <x:v>0</x:v>
      </x:c>
      <x:c r="N506" s="2" t="str">
        <x:f>IF(B506="","",_xlfn.IFNA(INDEX('Клиентлер'!$B$8:$B$31,MATCH(B506,'Клиентлер'!$A$8:$A$31,0)),"Код қәте"))</x:f>
      </x:c>
    </x:row>
    <x:row r="507" ht="40" customHeight="1">
      <x:c r="A507" s="12"/>
      <x:c r="B507" s="10"/>
      <x:c r="C507" s="10"/>
      <x:c r="D507" s="13" t="str">
        <x:f>IF(C507="","",_xlfn.IFNA(INDEX('Күнлик реже'!$D$8:$D$390,MATCH(C507,'Күнлик реже'!$A$8:$A$390,0)),"Код қәте"))</x:f>
      </x:c>
      <x:c r="E507" s="2" t="str">
        <x:f>IF(B507="","",_xlfn.IFNA(INDEX('Клиентлер'!$E$8:$E$31,MATCH(B507,'Клиентлер'!$A$8:$A$31,0)),"Код қәте"))</x:f>
      </x:c>
      <x:c r="F507" s="11"/>
      <x:c r="G507" s="11"/>
      <x:c r="H507" s="11"/>
      <x:c r="I507" s="11"/>
      <x:c r="J507" s="11"/>
      <x:c r="K507" s="10"/>
      <x:c r="L507" s="2" t="n">
        <x:f>IF(COUNTA(A507:C507,F507:K507)=0,0,IF(AND(COUNT(A507:C507)=3,COUNT(F507:J507)=5),0,1))</x:f>
        <x:v>0</x:v>
      </x:c>
      <x:c r="M507" s="2" t="n">
        <x:f>IF(COUNTA(A507:C507,F507:K507)=0,0,IF(OR(H507&gt;F507,I507&gt;G507,D507="Код қәте",E507="Код қәте"),1,0))</x:f>
        <x:v>0</x:v>
      </x:c>
      <x:c r="N507" s="2" t="str">
        <x:f>IF(B507="","",_xlfn.IFNA(INDEX('Клиентлер'!$B$8:$B$31,MATCH(B507,'Клиентлер'!$A$8:$A$31,0)),"Код қәте"))</x:f>
      </x:c>
    </x:row>
    <x:row r="508" ht="28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</x:row>
    <x:row r="509" ht="28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</x:row>
    <x:row r="510" ht="28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</x:row>
    <x:row r="511" ht="28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</x:row>
    <x:row r="512" ht="28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</x:row>
    <x:row r="513" ht="28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</x:row>
    <x:row r="514" ht="28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</x:row>
    <x:row r="515" ht="28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</x:row>
  </x:sheetData>
  <x:conditionalFormatting sqref="L8:M507">
    <x:cfRule type="cellIs" dxfId="0" priority="1" operator="greaterThan">
      <x:formula>0</x:formula>
    </x:cfRule>
  </x:conditionalFormatting>
  <x:dataValidations count="3">
    <x:dataValidation type="whole" operator="between" sqref="F8:J507">
      <x:formula1>0</x:formula1>
      <x:formula2>1000000</x:formula2>
    </x:dataValidation>
    <x:dataValidation type="list" sqref="B8:B507">
      <x:formula1>'Клиентлер'!$A$8:$A$31</x:formula1>
    </x:dataValidation>
    <x:dataValidation type="list" sqref="C8:C507">
      <x:formula1>'Күнлик реже'!$A$8:$A$390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dd6e40bca149ee"/>
  </x:tableParts>
</x:worksheet>
</file>

<file path=xl/worksheets/sheet3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5" hidden="0" customWidth="1"/>
    <x:col min="19" max="19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3" t="str">
        <x:v>КҮНЛИК РЕЖЕ ҲӘМ ТАПСЫРМАЛАР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8" customHeight="1">
      <x:c r="A4" s="2" t="str">
        <x:v>Бир қатар — бир тапсырма. C: ислейтуғын күн; I: реже саны; J: реже минут. Күнлик есабатқа A кодын киргизиң.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" customHeight="1">
      <x:c r="A5" s="2" t="str">
        <x:v>Салық тапсырмасы саны толық расталған клиент профиллеринен есапланады. Ишки жумыс саны өзиңиз киргизетуғын реже.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50" customHeight="1">
      <x:c r="A7" s="8" t="str">
        <x:v>Тапсырма коды</x:v>
      </x:c>
      <x:c r="B7" s="8" t="str">
        <x:v>Календарь коды</x:v>
      </x:c>
      <x:c r="C7" s="8" t="str">
        <x:v>Реже күни</x:v>
      </x:c>
      <x:c r="D7" s="8" t="str">
        <x:v>Жумыс / тапсырма</x:v>
      </x:c>
      <x:c r="E7" s="8" t="str">
        <x:v>Кодекс күни</x:v>
      </x:c>
      <x:c r="F7" s="8" t="str">
        <x:v>Рәсмий мүддет</x:v>
      </x:c>
      <x:c r="G7" s="8" t="str">
        <x:v>Есабат дәўири</x:v>
      </x:c>
      <x:c r="H7" s="8" t="str">
        <x:v>Профиль</x:v>
      </x:c>
      <x:c r="I7" s="8" t="str">
        <x:v>Реже саны</x:v>
      </x:c>
      <x:c r="J7" s="8" t="str">
        <x:v>Реже (мин)</x:v>
      </x:c>
      <x:c r="K7" s="8" t="str">
        <x:v>Питкен саны</x:v>
      </x:c>
      <x:c r="L7" s="8" t="str">
        <x:v>Нақты (мин)</x:v>
      </x:c>
      <x:c r="M7" s="8" t="str">
        <x:v>Қалған саны</x:v>
      </x:c>
      <x:c r="N7" s="8" t="str">
        <x:v>Орынланыўы</x:v>
      </x:c>
      <x:c r="O7" s="8" t="str">
        <x:v>Расталмаған клиент</x:v>
      </x:c>
      <x:c r="P7" s="8" t="str">
        <x:v>Мүддет тексерилди</x:v>
      </x:c>
      <x:c r="Q7" s="8" t="str">
        <x:v>Бағыт</x:v>
      </x:c>
      <x:c r="R7" s="8" t="str">
        <x:v>Ескертпе</x:v>
      </x:c>
      <x:c r="S7" s="8" t="str">
        <x:v>Саны бар (0/1)</x:v>
      </x:c>
    </x:row>
    <x:row r="8" ht="46" customHeight="1">
      <x:c r="A8" s="2" t="n">
        <x:v>1</x:v>
      </x:c>
      <x:c r="B8" s="2" t="n">
        <x:v>1</x:v>
      </x:c>
      <x:c r="C8" s="12" t="n">
        <x:f>'Салық календары'!J8</x:f>
        <x:v>46312</x:v>
      </x:c>
      <x:c r="D8" s="13" t="str">
        <x:v>ҚҚС есабаты</x:v>
      </x:c>
      <x:c r="E8" s="14" t="n">
        <x:v>46315</x:v>
      </x:c>
      <x:c r="F8" s="14" t="str">
        <x:f>IF('Салық календары'!F8="","",'Салық календары'!F8)</x:f>
      </x:c>
      <x:c r="G8" s="2" t="str">
        <x:v>2026-09</x:v>
      </x:c>
      <x:c r="H8" s="2" t="str">
        <x:v>F</x:v>
      </x:c>
      <x:c r="I8" s="10" t="str">
        <x:f>IF(AND(COUNTIFS('Клиентлер'!$T$8:$T$31,1)=24,COUNT('Клиентлер'!$F$8:$F$31)=24),COUNTIFS('Клиентлер'!$F$8:$F$31,1,'Клиентлер'!$T$8:$T$31,1),"")</x:f>
      </x:c>
      <x:c r="J8" s="10"/>
      <x:c r="K8" s="2" t="n">
        <x:f>SUMIFS('Күнлик есабат'!$F$8:$F$507,'Күнлик есабат'!$C$8:$C$507,A8,'Күнлик есабат'!$L$8:$L$507,0,'Күнлик есабат'!$M$8:$M$507,0)-SUMIFS('Күнлик есабат'!$H$8:$H$507,'Күнлик есабат'!$C$8:$C$507,A8,'Күнлик есабат'!$L$8:$L$507,0,'Күнлик есабат'!$M$8:$M$507,0)</x:f>
        <x:v>0</x:v>
      </x:c>
      <x:c r="L8" s="2" t="n">
        <x:f>SUMIFS('Күнлик есабат'!$G$8:$G$507,'Күнлик есабат'!$C$8:$C$507,A8,'Күнлик есабат'!$L$8:$L$507,0,'Күнлик есабат'!$M$8:$M$507,0)</x:f>
        <x:v>0</x:v>
      </x:c>
      <x:c r="M8" s="2" t="str">
        <x:f>IF(I8="","",MAX(I8-K8,0))</x:f>
      </x:c>
      <x:c r="N8" s="16" t="str">
        <x:f>IF(OR(I8="",I8=0),"",MIN(K8/I8,1))</x:f>
      </x:c>
      <x:c r="O8" s="2" t="n">
        <x:f>24-COUNTIFS('Клиентлер'!$T$8:$T$31,1)</x:f>
        <x:v>24</x:v>
      </x:c>
      <x:c r="P8" s="2" t="n">
        <x:f>IF(AND('Салық календары'!G8=1,ISNUMBER('Салық календары'!F8)),1,0)</x:f>
        <x:v>0</x:v>
      </x:c>
      <x:c r="Q8" s="2" t="str">
        <x:v>Салық</x:v>
      </x:c>
      <x:c r="R8" s="10"/>
      <x:c r="S8" s="2" t="n">
        <x:f>IF(COUNT(I8)=1,1,0)</x:f>
        <x:v>0</x:v>
      </x:c>
    </x:row>
    <x:row r="9" ht="46" customHeight="1">
      <x:c r="A9" s="2" t="n">
        <x:v>2</x:v>
      </x:c>
      <x:c r="B9" s="2" t="n">
        <x:v>2</x:v>
      </x:c>
      <x:c r="C9" s="12" t="n">
        <x:f>'Салық календары'!J9</x:f>
        <x:v>46312</x:v>
      </x:c>
      <x:c r="D9" s="13" t="str">
        <x:v>ҚҚС төлеми</x:v>
      </x:c>
      <x:c r="E9" s="14" t="n">
        <x:v>46315</x:v>
      </x:c>
      <x:c r="F9" s="14" t="str">
        <x:f>IF('Салық календары'!F9="","",'Салық календары'!F9)</x:f>
      </x:c>
      <x:c r="G9" s="2" t="str">
        <x:v>2026-09</x:v>
      </x:c>
      <x:c r="H9" s="2" t="str">
        <x:v>F</x:v>
      </x:c>
      <x:c r="I9" s="10" t="str">
        <x:f>IF(AND(COUNTIFS('Клиентлер'!$T$8:$T$31,1)=24,COUNT('Клиентлер'!$F$8:$F$31)=24),COUNTIFS('Клиентлер'!$F$8:$F$31,1,'Клиентлер'!$T$8:$T$31,1),"")</x:f>
      </x:c>
      <x:c r="J9" s="10"/>
      <x:c r="K9" s="2" t="n">
        <x:f>SUMIFS('Күнлик есабат'!$F$8:$F$507,'Күнлик есабат'!$C$8:$C$507,A9,'Күнлик есабат'!$L$8:$L$507,0,'Күнлик есабат'!$M$8:$M$507,0)-SUMIFS('Күнлик есабат'!$H$8:$H$507,'Күнлик есабат'!$C$8:$C$507,A9,'Күнлик есабат'!$L$8:$L$507,0,'Күнлик есабат'!$M$8:$M$507,0)</x:f>
        <x:v>0</x:v>
      </x:c>
      <x:c r="L9" s="2" t="n">
        <x:f>SUMIFS('Күнлик есабат'!$G$8:$G$507,'Күнлик есабат'!$C$8:$C$507,A9,'Күнлик есабат'!$L$8:$L$507,0,'Күнлик есабат'!$M$8:$M$507,0)</x:f>
        <x:v>0</x:v>
      </x:c>
      <x:c r="M9" s="2" t="str">
        <x:f>IF(I9="","",MAX(I9-K9,0))</x:f>
      </x:c>
      <x:c r="N9" s="16" t="str">
        <x:f>IF(OR(I9="",I9=0),"",MIN(K9/I9,1))</x:f>
      </x:c>
      <x:c r="O9" s="2" t="n">
        <x:f>24-COUNTIFS('Клиентлер'!$T$8:$T$31,1)</x:f>
        <x:v>24</x:v>
      </x:c>
      <x:c r="P9" s="2" t="n">
        <x:f>IF(AND('Салық календары'!G9=1,ISNUMBER('Салық календары'!F9)),1,0)</x:f>
        <x:v>0</x:v>
      </x:c>
      <x:c r="Q9" s="2" t="str">
        <x:v>Салық</x:v>
      </x:c>
      <x:c r="R9" s="10"/>
      <x:c r="S9" s="2" t="n">
        <x:f>IF(COUNT(I9)=1,1,0)</x:f>
        <x:v>0</x:v>
      </x:c>
    </x:row>
    <x:row r="10" ht="46" customHeight="1">
      <x:c r="A10" s="2" t="n">
        <x:v>3</x:v>
      </x:c>
      <x:c r="B10" s="2" t="n">
        <x:v>3</x:v>
      </x:c>
      <x:c r="C10" s="12" t="n">
        <x:f>'Салық календары'!J10</x:f>
        <x:v>46307</x:v>
      </x:c>
      <x:c r="D10" s="13" t="str">
        <x:v>Айланба салығы есабаты</x:v>
      </x:c>
      <x:c r="E10" s="14" t="n">
        <x:v>46310</x:v>
      </x:c>
      <x:c r="F10" s="14" t="str">
        <x:f>IF('Салық календары'!F10="","",'Салық календары'!F10)</x:f>
      </x:c>
      <x:c r="G10" s="2" t="str">
        <x:v>2026-09</x:v>
      </x:c>
      <x:c r="H10" s="2" t="str">
        <x:v>G</x:v>
      </x:c>
      <x:c r="I10" s="10" t="str">
        <x:f>IF(AND(COUNTIFS('Клиентлер'!$T$8:$T$31,1)=24,COUNT('Клиентлер'!$G$8:$G$31)=24),COUNTIFS('Клиентлер'!$G$8:$G$31,1,'Клиентлер'!$T$8:$T$31,1),"")</x:f>
      </x:c>
      <x:c r="J10" s="10"/>
      <x:c r="K10" s="2" t="n">
        <x:f>SUMIFS('Күнлик есабат'!$F$8:$F$507,'Күнлик есабат'!$C$8:$C$507,A10,'Күнлик есабат'!$L$8:$L$507,0,'Күнлик есабат'!$M$8:$M$507,0)-SUMIFS('Күнлик есабат'!$H$8:$H$507,'Күнлик есабат'!$C$8:$C$507,A10,'Күнлик есабат'!$L$8:$L$507,0,'Күнлик есабат'!$M$8:$M$507,0)</x:f>
        <x:v>0</x:v>
      </x:c>
      <x:c r="L10" s="2" t="n">
        <x:f>SUMIFS('Күнлик есабат'!$G$8:$G$507,'Күнлик есабат'!$C$8:$C$507,A10,'Күнлик есабат'!$L$8:$L$507,0,'Күнлик есабат'!$M$8:$M$507,0)</x:f>
        <x:v>0</x:v>
      </x:c>
      <x:c r="M10" s="2" t="str">
        <x:f>IF(I10="","",MAX(I10-K10,0))</x:f>
      </x:c>
      <x:c r="N10" s="16" t="str">
        <x:f>IF(OR(I10="",I10=0),"",MIN(K10/I10,1))</x:f>
      </x:c>
      <x:c r="O10" s="2" t="n">
        <x:f>24-COUNTIFS('Клиентлер'!$T$8:$T$31,1)</x:f>
        <x:v>24</x:v>
      </x:c>
      <x:c r="P10" s="2" t="n">
        <x:f>IF(AND('Салық календары'!G10=1,ISNUMBER('Салық календары'!F10)),1,0)</x:f>
        <x:v>0</x:v>
      </x:c>
      <x:c r="Q10" s="2" t="str">
        <x:v>Салық</x:v>
      </x:c>
      <x:c r="R10" s="10"/>
      <x:c r="S10" s="2" t="n">
        <x:f>IF(COUNT(I10)=1,1,0)</x:f>
        <x:v>0</x:v>
      </x:c>
    </x:row>
    <x:row r="11" ht="46" customHeight="1">
      <x:c r="A11" s="2" t="n">
        <x:v>4</x:v>
      </x:c>
      <x:c r="B11" s="2" t="n">
        <x:v>4</x:v>
      </x:c>
      <x:c r="C11" s="12" t="n">
        <x:f>'Салық календары'!J11</x:f>
        <x:v>46307</x:v>
      </x:c>
      <x:c r="D11" s="13" t="str">
        <x:v>Айланба салығы төлеми</x:v>
      </x:c>
      <x:c r="E11" s="14" t="n">
        <x:v>46310</x:v>
      </x:c>
      <x:c r="F11" s="14" t="str">
        <x:f>IF('Салық календары'!F11="","",'Салық календары'!F11)</x:f>
      </x:c>
      <x:c r="G11" s="2" t="str">
        <x:v>2026-09</x:v>
      </x:c>
      <x:c r="H11" s="2" t="str">
        <x:v>G</x:v>
      </x:c>
      <x:c r="I11" s="10" t="str">
        <x:f>IF(AND(COUNTIFS('Клиентлер'!$T$8:$T$31,1)=24,COUNT('Клиентлер'!$G$8:$G$31)=24),COUNTIFS('Клиентлер'!$G$8:$G$31,1,'Клиентлер'!$T$8:$T$31,1),"")</x:f>
      </x:c>
      <x:c r="J11" s="10"/>
      <x:c r="K11" s="2" t="n">
        <x:f>SUMIFS('Күнлик есабат'!$F$8:$F$507,'Күнлик есабат'!$C$8:$C$507,A11,'Күнлик есабат'!$L$8:$L$507,0,'Күнлик есабат'!$M$8:$M$507,0)-SUMIFS('Күнлик есабат'!$H$8:$H$507,'Күнлик есабат'!$C$8:$C$507,A11,'Күнлик есабат'!$L$8:$L$507,0,'Күнлик есабат'!$M$8:$M$507,0)</x:f>
        <x:v>0</x:v>
      </x:c>
      <x:c r="L11" s="2" t="n">
        <x:f>SUMIFS('Күнлик есабат'!$G$8:$G$507,'Күнлик есабат'!$C$8:$C$507,A11,'Күнлик есабат'!$L$8:$L$507,0,'Күнлик есабат'!$M$8:$M$507,0)</x:f>
        <x:v>0</x:v>
      </x:c>
      <x:c r="M11" s="2" t="str">
        <x:f>IF(I11="","",MAX(I11-K11,0))</x:f>
      </x:c>
      <x:c r="N11" s="16" t="str">
        <x:f>IF(OR(I11="",I11=0),"",MIN(K11/I11,1))</x:f>
      </x:c>
      <x:c r="O11" s="2" t="n">
        <x:f>24-COUNTIFS('Клиентлер'!$T$8:$T$31,1)</x:f>
        <x:v>24</x:v>
      </x:c>
      <x:c r="P11" s="2" t="n">
        <x:f>IF(AND('Салық календары'!G11=1,ISNUMBER('Салық календары'!F11)),1,0)</x:f>
        <x:v>0</x:v>
      </x:c>
      <x:c r="Q11" s="2" t="str">
        <x:v>Салық</x:v>
      </x:c>
      <x:c r="R11" s="10"/>
      <x:c r="S11" s="2" t="n">
        <x:f>IF(COUNT(I11)=1,1,0)</x:f>
        <x:v>0</x:v>
      </x:c>
    </x:row>
    <x:row r="12" ht="46" customHeight="1">
      <x:c r="A12" s="2" t="n">
        <x:v>5</x:v>
      </x:c>
      <x:c r="B12" s="2" t="n">
        <x:v>5</x:v>
      </x:c>
      <x:c r="C12" s="12" t="n">
        <x:f>'Салық календары'!J12</x:f>
        <x:v>46307</x:v>
      </x:c>
      <x:c r="D12" s="13" t="str">
        <x:v>Дәрамат салығы есабаты</x:v>
      </x:c>
      <x:c r="E12" s="14" t="n">
        <x:v>46310</x:v>
      </x:c>
      <x:c r="F12" s="14" t="str">
        <x:f>IF('Салық календары'!F12="","",'Салық календары'!F12)</x:f>
      </x:c>
      <x:c r="G12" s="2" t="str">
        <x:v>2026-09</x:v>
      </x:c>
      <x:c r="H12" s="2" t="str">
        <x:v>I</x:v>
      </x:c>
      <x:c r="I12" s="10" t="str">
        <x:f>IF(AND(COUNTIFS('Клиентлер'!$T$8:$T$31,1)=24,COUNT('Клиентлер'!$I$8:$I$31)=24),COUNTIFS('Клиентлер'!$I$8:$I$31,1,'Клиентлер'!$T$8:$T$31,1),"")</x:f>
      </x:c>
      <x:c r="J12" s="10"/>
      <x:c r="K12" s="2" t="n">
        <x:f>SUMIFS('Күнлик есабат'!$F$8:$F$507,'Күнлик есабат'!$C$8:$C$507,A12,'Күнлик есабат'!$L$8:$L$507,0,'Күнлик есабат'!$M$8:$M$507,0)-SUMIFS('Күнлик есабат'!$H$8:$H$507,'Күнлик есабат'!$C$8:$C$507,A12,'Күнлик есабат'!$L$8:$L$507,0,'Күнлик есабат'!$M$8:$M$507,0)</x:f>
        <x:v>0</x:v>
      </x:c>
      <x:c r="L12" s="2" t="n">
        <x:f>SUMIFS('Күнлик есабат'!$G$8:$G$507,'Күнлик есабат'!$C$8:$C$507,A12,'Күнлик есабат'!$L$8:$L$507,0,'Күнлик есабат'!$M$8:$M$507,0)</x:f>
        <x:v>0</x:v>
      </x:c>
      <x:c r="M12" s="2" t="str">
        <x:f>IF(I12="","",MAX(I12-K12,0))</x:f>
      </x:c>
      <x:c r="N12" s="16" t="str">
        <x:f>IF(OR(I12="",I12=0),"",MIN(K12/I12,1))</x:f>
      </x:c>
      <x:c r="O12" s="2" t="n">
        <x:f>24-COUNTIFS('Клиентлер'!$T$8:$T$31,1)</x:f>
        <x:v>24</x:v>
      </x:c>
      <x:c r="P12" s="2" t="n">
        <x:f>IF(AND('Салық календары'!G12=1,ISNUMBER('Салық календары'!F12)),1,0)</x:f>
        <x:v>0</x:v>
      </x:c>
      <x:c r="Q12" s="2" t="str">
        <x:v>Салық</x:v>
      </x:c>
      <x:c r="R12" s="10"/>
      <x:c r="S12" s="2" t="n">
        <x:f>IF(COUNT(I12)=1,1,0)</x:f>
        <x:v>0</x:v>
      </x:c>
    </x:row>
    <x:row r="13" ht="46" customHeight="1">
      <x:c r="A13" s="2" t="n">
        <x:v>6</x:v>
      </x:c>
      <x:c r="B13" s="2" t="n">
        <x:v>6</x:v>
      </x:c>
      <x:c r="C13" s="12" t="n">
        <x:f>'Салық календары'!J13</x:f>
        <x:v>46307</x:v>
      </x:c>
      <x:c r="D13" s="13" t="str">
        <x:v>Социаллық салық есабаты</x:v>
      </x:c>
      <x:c r="E13" s="14" t="n">
        <x:v>46310</x:v>
      </x:c>
      <x:c r="F13" s="14" t="str">
        <x:f>IF('Салық календары'!F13="","",'Салық календары'!F13)</x:f>
      </x:c>
      <x:c r="G13" s="2" t="str">
        <x:v>2026-09</x:v>
      </x:c>
      <x:c r="H13" s="2" t="str">
        <x:v>I</x:v>
      </x:c>
      <x:c r="I13" s="10" t="str">
        <x:f>IF(AND(COUNTIFS('Клиентлер'!$T$8:$T$31,1)=24,COUNT('Клиентлер'!$I$8:$I$31)=24),COUNTIFS('Клиентлер'!$I$8:$I$31,1,'Клиентлер'!$T$8:$T$31,1),"")</x:f>
      </x:c>
      <x:c r="J13" s="10"/>
      <x:c r="K13" s="2" t="n">
        <x:f>SUMIFS('Күнлик есабат'!$F$8:$F$507,'Күнлик есабат'!$C$8:$C$507,A13,'Күнлик есабат'!$L$8:$L$507,0,'Күнлик есабат'!$M$8:$M$507,0)-SUMIFS('Күнлик есабат'!$H$8:$H$507,'Күнлик есабат'!$C$8:$C$507,A13,'Күнлик есабат'!$L$8:$L$507,0,'Күнлик есабат'!$M$8:$M$507,0)</x:f>
        <x:v>0</x:v>
      </x:c>
      <x:c r="L13" s="2" t="n">
        <x:f>SUMIFS('Күнлик есабат'!$G$8:$G$507,'Күнлик есабат'!$C$8:$C$507,A13,'Күнлик есабат'!$L$8:$L$507,0,'Күнлик есабат'!$M$8:$M$507,0)</x:f>
        <x:v>0</x:v>
      </x:c>
      <x:c r="M13" s="2" t="str">
        <x:f>IF(I13="","",MAX(I13-K13,0))</x:f>
      </x:c>
      <x:c r="N13" s="16" t="str">
        <x:f>IF(OR(I13="",I13=0),"",MIN(K13/I13,1))</x:f>
      </x:c>
      <x:c r="O13" s="2" t="n">
        <x:f>24-COUNTIFS('Клиентлер'!$T$8:$T$31,1)</x:f>
        <x:v>24</x:v>
      </x:c>
      <x:c r="P13" s="2" t="n">
        <x:f>IF(AND('Салық календары'!G13=1,ISNUMBER('Салық календары'!F13)),1,0)</x:f>
        <x:v>0</x:v>
      </x:c>
      <x:c r="Q13" s="2" t="str">
        <x:v>Салық</x:v>
      </x:c>
      <x:c r="R13" s="10"/>
      <x:c r="S13" s="2" t="n">
        <x:f>IF(COUNT(I13)=1,1,0)</x:f>
        <x:v>0</x:v>
      </x:c>
    </x:row>
    <x:row r="14" ht="46" customHeight="1">
      <x:c r="A14" s="2" t="n">
        <x:v>7</x:v>
      </x:c>
      <x:c r="B14" s="2" t="n">
        <x:v>7</x:v>
      </x:c>
      <x:c r="C14" s="12" t="n">
        <x:f>'Салық календары'!J14</x:f>
        <x:v>46307</x:v>
      </x:c>
      <x:c r="D14" s="13" t="str">
        <x:v>Социаллық салық төлеми</x:v>
      </x:c>
      <x:c r="E14" s="14" t="n">
        <x:v>46310</x:v>
      </x:c>
      <x:c r="F14" s="14" t="str">
        <x:f>IF('Салық календары'!F14="","",'Салық календары'!F14)</x:f>
      </x:c>
      <x:c r="G14" s="2" t="str">
        <x:v>2026-09</x:v>
      </x:c>
      <x:c r="H14" s="2" t="str">
        <x:v>I</x:v>
      </x:c>
      <x:c r="I14" s="10" t="str">
        <x:f>IF(AND(COUNTIFS('Клиентлер'!$T$8:$T$31,1)=24,COUNT('Клиентлер'!$I$8:$I$31)=24),COUNTIFS('Клиентлер'!$I$8:$I$31,1,'Клиентлер'!$T$8:$T$31,1),"")</x:f>
      </x:c>
      <x:c r="J14" s="10"/>
      <x:c r="K14" s="2" t="n">
        <x:f>SUMIFS('Күнлик есабат'!$F$8:$F$507,'Күнлик есабат'!$C$8:$C$507,A14,'Күнлик есабат'!$L$8:$L$507,0,'Күнлик есабат'!$M$8:$M$507,0)-SUMIFS('Күнлик есабат'!$H$8:$H$507,'Күнлик есабат'!$C$8:$C$507,A14,'Күнлик есабат'!$L$8:$L$507,0,'Күнлик есабат'!$M$8:$M$507,0)</x:f>
        <x:v>0</x:v>
      </x:c>
      <x:c r="L14" s="2" t="n">
        <x:f>SUMIFS('Күнлик есабат'!$G$8:$G$507,'Күнлик есабат'!$C$8:$C$507,A14,'Күнлик есабат'!$L$8:$L$507,0,'Күнлик есабат'!$M$8:$M$507,0)</x:f>
        <x:v>0</x:v>
      </x:c>
      <x:c r="M14" s="2" t="str">
        <x:f>IF(I14="","",MAX(I14-K14,0))</x:f>
      </x:c>
      <x:c r="N14" s="16" t="str">
        <x:f>IF(OR(I14="",I14=0),"",MIN(K14/I14,1))</x:f>
      </x:c>
      <x:c r="O14" s="2" t="n">
        <x:f>24-COUNTIFS('Клиентлер'!$T$8:$T$31,1)</x:f>
        <x:v>24</x:v>
      </x:c>
      <x:c r="P14" s="2" t="n">
        <x:f>IF(AND('Салық календары'!G14=1,ISNUMBER('Салық календары'!F14)),1,0)</x:f>
        <x:v>0</x:v>
      </x:c>
      <x:c r="Q14" s="2" t="str">
        <x:v>Салық</x:v>
      </x:c>
      <x:c r="R14" s="10"/>
      <x:c r="S14" s="2" t="n">
        <x:f>IF(COUNT(I14)=1,1,0)</x:f>
        <x:v>0</x:v>
      </x:c>
    </x:row>
    <x:row r="15" ht="46" customHeight="1">
      <x:c r="A15" s="2" t="n">
        <x:v>8</x:v>
      </x:c>
      <x:c r="B15" s="2" t="n">
        <x:v>8</x:v>
      </x:c>
      <x:c r="C15" s="12" t="n">
        <x:f>'Салық календары'!J15</x:f>
        <x:v>46302</x:v>
      </x:c>
      <x:c r="D15" s="13" t="str">
        <x:v>Акциз есабаты ҳәм төлемин тексериў</x:v>
      </x:c>
      <x:c r="E15" s="14" t="n">
        <x:v>46305</x:v>
      </x:c>
      <x:c r="F15" s="14" t="str">
        <x:f>IF('Салық календары'!F15="","",'Салық календары'!F15)</x:f>
      </x:c>
      <x:c r="G15" s="2" t="str">
        <x:v>2026-09</x:v>
      </x:c>
      <x:c r="H15" s="2" t="str">
        <x:v>N</x:v>
      </x:c>
      <x:c r="I15" s="10" t="str">
        <x:f>IF(AND(COUNTIFS('Клиентлер'!$T$8:$T$31,1)=24,COUNT('Клиентлер'!$N$8:$N$31)=24),COUNTIFS('Клиентлер'!$N$8:$N$31,1,'Клиентлер'!$T$8:$T$31,1),"")</x:f>
      </x:c>
      <x:c r="J15" s="10"/>
      <x:c r="K15" s="2" t="n">
        <x:f>SUMIFS('Күнлик есабат'!$F$8:$F$507,'Күнлик есабат'!$C$8:$C$507,A15,'Күнлик есабат'!$L$8:$L$507,0,'Күнлик есабат'!$M$8:$M$507,0)-SUMIFS('Күнлик есабат'!$H$8:$H$507,'Күнлик есабат'!$C$8:$C$507,A15,'Күнлик есабат'!$L$8:$L$507,0,'Күнлик есабат'!$M$8:$M$507,0)</x:f>
        <x:v>0</x:v>
      </x:c>
      <x:c r="L15" s="2" t="n">
        <x:f>SUMIFS('Күнлик есабат'!$G$8:$G$507,'Күнлик есабат'!$C$8:$C$507,A15,'Күнлик есабат'!$L$8:$L$507,0,'Күнлик есабат'!$M$8:$M$507,0)</x:f>
        <x:v>0</x:v>
      </x:c>
      <x:c r="M15" s="2" t="str">
        <x:f>IF(I15="","",MAX(I15-K15,0))</x:f>
      </x:c>
      <x:c r="N15" s="16" t="str">
        <x:f>IF(OR(I15="",I15=0),"",MIN(K15/I15,1))</x:f>
      </x:c>
      <x:c r="O15" s="2" t="n">
        <x:f>24-COUNTIFS('Клиентлер'!$T$8:$T$31,1)</x:f>
        <x:v>24</x:v>
      </x:c>
      <x:c r="P15" s="2" t="n">
        <x:f>IF(AND('Салық календары'!G15=1,ISNUMBER('Салық календары'!F15)),1,0)</x:f>
        <x:v>0</x:v>
      </x:c>
      <x:c r="Q15" s="2" t="str">
        <x:v>Салық</x:v>
      </x:c>
      <x:c r="R15" s="10"/>
      <x:c r="S15" s="2" t="n">
        <x:f>IF(COUNT(I15)=1,1,0)</x:f>
        <x:v>0</x:v>
      </x:c>
    </x:row>
    <x:row r="16" ht="46" customHeight="1">
      <x:c r="A16" s="2" t="n">
        <x:v>9</x:v>
      </x:c>
      <x:c r="B16" s="2" t="n">
        <x:v>9</x:v>
      </x:c>
      <x:c r="C16" s="12" t="n">
        <x:f>'Салық календары'!J16</x:f>
        <x:v>46312</x:v>
      </x:c>
      <x:c r="D16" s="13" t="str">
        <x:v>Дивиденд ҳәм процент салығы есабаты</x:v>
      </x:c>
      <x:c r="E16" s="14" t="n">
        <x:v>46315</x:v>
      </x:c>
      <x:c r="F16" s="14" t="str">
        <x:f>IF('Салық календары'!F16="","",'Салық календары'!F16)</x:f>
      </x:c>
      <x:c r="G16" s="2" t="str">
        <x:v>2026-09</x:v>
      </x:c>
      <x:c r="H16" s="2" t="str">
        <x:v>O</x:v>
      </x:c>
      <x:c r="I16" s="10" t="str">
        <x:f>IF(AND(COUNTIFS('Клиентлер'!$T$8:$T$31,1)=24,COUNT('Клиентлер'!$O$8:$O$31)=24),COUNTIFS('Клиентлер'!$O$8:$O$31,1,'Клиентлер'!$T$8:$T$31,1),"")</x:f>
      </x:c>
      <x:c r="J16" s="10"/>
      <x:c r="K16" s="2" t="n">
        <x:f>SUMIFS('Күнлик есабат'!$F$8:$F$507,'Күнлик есабат'!$C$8:$C$507,A16,'Күнлик есабат'!$L$8:$L$507,0,'Күнлик есабат'!$M$8:$M$507,0)-SUMIFS('Күнлик есабат'!$H$8:$H$507,'Күнлик есабат'!$C$8:$C$507,A16,'Күнлик есабат'!$L$8:$L$507,0,'Күнлик есабат'!$M$8:$M$507,0)</x:f>
        <x:v>0</x:v>
      </x:c>
      <x:c r="L16" s="2" t="n">
        <x:f>SUMIFS('Күнлик есабат'!$G$8:$G$507,'Күнлик есабат'!$C$8:$C$507,A16,'Күнлик есабат'!$L$8:$L$507,0,'Күнлик есабат'!$M$8:$M$507,0)</x:f>
        <x:v>0</x:v>
      </x:c>
      <x:c r="M16" s="2" t="str">
        <x:f>IF(I16="","",MAX(I16-K16,0))</x:f>
      </x:c>
      <x:c r="N16" s="16" t="str">
        <x:f>IF(OR(I16="",I16=0),"",MIN(K16/I16,1))</x:f>
      </x:c>
      <x:c r="O16" s="2" t="n">
        <x:f>24-COUNTIFS('Клиентлер'!$T$8:$T$31,1)</x:f>
        <x:v>24</x:v>
      </x:c>
      <x:c r="P16" s="2" t="n">
        <x:f>IF(AND('Салық календары'!G16=1,ISNUMBER('Салық календары'!F16)),1,0)</x:f>
        <x:v>0</x:v>
      </x:c>
      <x:c r="Q16" s="2" t="str">
        <x:v>Салық</x:v>
      </x:c>
      <x:c r="R16" s="10"/>
      <x:c r="S16" s="2" t="n">
        <x:f>IF(COUNT(I16)=1,1,0)</x:f>
        <x:v>0</x:v>
      </x:c>
    </x:row>
    <x:row r="17" ht="46" customHeight="1">
      <x:c r="A17" s="2" t="n">
        <x:v>10</x:v>
      </x:c>
      <x:c r="B17" s="2" t="n">
        <x:v>10</x:v>
      </x:c>
      <x:c r="C17" s="12" t="n">
        <x:f>'Салық календары'!J17</x:f>
        <x:v>46312</x:v>
      </x:c>
      <x:c r="D17" s="13" t="str">
        <x:v>Норезидент дәраматы салығы есабаты</x:v>
      </x:c>
      <x:c r="E17" s="14" t="n">
        <x:v>46315</x:v>
      </x:c>
      <x:c r="F17" s="14" t="str">
        <x:f>IF('Салық календары'!F17="","",'Салық календары'!F17)</x:f>
      </x:c>
      <x:c r="G17" s="2" t="str">
        <x:v>2026-09</x:v>
      </x:c>
      <x:c r="H17" s="2" t="str">
        <x:v>P</x:v>
      </x:c>
      <x:c r="I17" s="10" t="str">
        <x:f>IF(AND(COUNTIFS('Клиентлер'!$T$8:$T$31,1)=24,COUNT('Клиентлер'!$P$8:$P$31)=24),COUNTIFS('Клиентлер'!$P$8:$P$31,1,'Клиентлер'!$T$8:$T$31,1),"")</x:f>
      </x:c>
      <x:c r="J17" s="10"/>
      <x:c r="K17" s="2" t="n">
        <x:f>SUMIFS('Күнлик есабат'!$F$8:$F$507,'Күнлик есабат'!$C$8:$C$507,A17,'Күнлик есабат'!$L$8:$L$507,0,'Күнлик есабат'!$M$8:$M$507,0)-SUMIFS('Күнлик есабат'!$H$8:$H$507,'Күнлик есабат'!$C$8:$C$507,A17,'Күнлик есабат'!$L$8:$L$507,0,'Күнлик есабат'!$M$8:$M$507,0)</x:f>
        <x:v>0</x:v>
      </x:c>
      <x:c r="L17" s="2" t="n">
        <x:f>SUMIFS('Күнлик есабат'!$G$8:$G$507,'Күнлик есабат'!$C$8:$C$507,A17,'Күнлик есабат'!$L$8:$L$507,0,'Күнлик есабат'!$M$8:$M$507,0)</x:f>
        <x:v>0</x:v>
      </x:c>
      <x:c r="M17" s="2" t="str">
        <x:f>IF(I17="","",MAX(I17-K17,0))</x:f>
      </x:c>
      <x:c r="N17" s="16" t="str">
        <x:f>IF(OR(I17="",I17=0),"",MIN(K17/I17,1))</x:f>
      </x:c>
      <x:c r="O17" s="2" t="n">
        <x:f>24-COUNTIFS('Клиентлер'!$T$8:$T$31,1)</x:f>
        <x:v>24</x:v>
      </x:c>
      <x:c r="P17" s="2" t="n">
        <x:f>IF(AND('Салық календары'!G17=1,ISNUMBER('Салық календары'!F17)),1,0)</x:f>
        <x:v>0</x:v>
      </x:c>
      <x:c r="Q17" s="2" t="str">
        <x:v>Салық</x:v>
      </x:c>
      <x:c r="R17" s="10"/>
      <x:c r="S17" s="2" t="n">
        <x:f>IF(COUNT(I17)=1,1,0)</x:f>
        <x:v>0</x:v>
      </x:c>
    </x:row>
    <x:row r="18" ht="46" customHeight="1">
      <x:c r="A18" s="2" t="n">
        <x:v>11</x:v>
      </x:c>
      <x:c r="B18" s="2" t="n">
        <x:v>11</x:v>
      </x:c>
      <x:c r="C18" s="12" t="n">
        <x:f>'Салық календары'!J18</x:f>
        <x:v>46312</x:v>
      </x:c>
      <x:c r="D18" s="13" t="str">
        <x:v>Жер қойнаўынан пайдаланыў есабаты</x:v>
      </x:c>
      <x:c r="E18" s="14" t="n">
        <x:v>46315</x:v>
      </x:c>
      <x:c r="F18" s="14" t="str">
        <x:f>IF('Салық календары'!F18="","",'Салық календары'!F18)</x:f>
      </x:c>
      <x:c r="G18" s="2" t="str">
        <x:v>2026-09</x:v>
      </x:c>
      <x:c r="H18" s="2" t="str">
        <x:v>Q</x:v>
      </x:c>
      <x:c r="I18" s="10" t="str">
        <x:f>IF(AND(COUNTIFS('Клиентлер'!$T$8:$T$31,1)=24,COUNT('Клиентлер'!$Q$8:$Q$31)=24),COUNTIFS('Клиентлер'!$Q$8:$Q$31,1,'Клиентлер'!$T$8:$T$31,1),"")</x:f>
      </x:c>
      <x:c r="J18" s="10"/>
      <x:c r="K18" s="2" t="n">
        <x:f>SUMIFS('Күнлик есабат'!$F$8:$F$507,'Күнлик есабат'!$C$8:$C$507,A18,'Күнлик есабат'!$L$8:$L$507,0,'Күнлик есабат'!$M$8:$M$507,0)-SUMIFS('Күнлик есабат'!$H$8:$H$507,'Күнлик есабат'!$C$8:$C$507,A18,'Күнлик есабат'!$L$8:$L$507,0,'Күнлик есабат'!$M$8:$M$507,0)</x:f>
        <x:v>0</x:v>
      </x:c>
      <x:c r="L18" s="2" t="n">
        <x:f>SUMIFS('Күнлик есабат'!$G$8:$G$507,'Күнлик есабат'!$C$8:$C$507,A18,'Күнлик есабат'!$L$8:$L$507,0,'Күнлик есабат'!$M$8:$M$507,0)</x:f>
        <x:v>0</x:v>
      </x:c>
      <x:c r="M18" s="2" t="str">
        <x:f>IF(I18="","",MAX(I18-K18,0))</x:f>
      </x:c>
      <x:c r="N18" s="16" t="str">
        <x:f>IF(OR(I18="",I18=0),"",MIN(K18/I18,1))</x:f>
      </x:c>
      <x:c r="O18" s="2" t="n">
        <x:f>24-COUNTIFS('Клиентлер'!$T$8:$T$31,1)</x:f>
        <x:v>24</x:v>
      </x:c>
      <x:c r="P18" s="2" t="n">
        <x:f>IF(AND('Салық календары'!G18=1,ISNUMBER('Салық календары'!F18)),1,0)</x:f>
        <x:v>0</x:v>
      </x:c>
      <x:c r="Q18" s="2" t="str">
        <x:v>Салық</x:v>
      </x:c>
      <x:c r="R18" s="10"/>
      <x:c r="S18" s="2" t="n">
        <x:f>IF(COUNT(I18)=1,1,0)</x:f>
        <x:v>0</x:v>
      </x:c>
    </x:row>
    <x:row r="19" ht="46" customHeight="1">
      <x:c r="A19" s="2" t="n">
        <x:v>12</x:v>
      </x:c>
      <x:c r="B19" s="2" t="n">
        <x:v>12</x:v>
      </x:c>
      <x:c r="C19" s="12" t="n">
        <x:f>'Салық календары'!J19</x:f>
        <x:v>46315</x:v>
      </x:c>
      <x:c r="D19" s="13" t="str">
        <x:v>Пайда салығы авансы</x:v>
      </x:c>
      <x:c r="E19" s="14" t="n">
        <x:v>46318</x:v>
      </x:c>
      <x:c r="F19" s="14" t="str">
        <x:f>IF('Салық календары'!F19="","",'Салық календары'!F19)</x:f>
      </x:c>
      <x:c r="G19" s="2" t="str">
        <x:v>2026-10</x:v>
      </x:c>
      <x:c r="H19" s="2" t="str">
        <x:v>M</x:v>
      </x:c>
      <x:c r="I19" s="10" t="str">
        <x:f>IF(AND(COUNTIFS('Клиентлер'!$T$8:$T$31,1)=24,COUNT('Клиентлер'!$M$8:$M$31)=24),COUNTIFS('Клиентлер'!$M$8:$M$31,1,'Клиентлер'!$T$8:$T$31,1),"")</x:f>
      </x:c>
      <x:c r="J19" s="10"/>
      <x:c r="K19" s="2" t="n">
        <x:f>SUMIFS('Күнлик есабат'!$F$8:$F$507,'Күнлик есабат'!$C$8:$C$507,A19,'Күнлик есабат'!$L$8:$L$507,0,'Күнлик есабат'!$M$8:$M$507,0)-SUMIFS('Күнлик есабат'!$H$8:$H$507,'Күнлик есабат'!$C$8:$C$507,A19,'Күнлик есабат'!$L$8:$L$507,0,'Күнлик есабат'!$M$8:$M$507,0)</x:f>
        <x:v>0</x:v>
      </x:c>
      <x:c r="L19" s="2" t="n">
        <x:f>SUMIFS('Күнлик есабат'!$G$8:$G$507,'Күнлик есабат'!$C$8:$C$507,A19,'Күнлик есабат'!$L$8:$L$507,0,'Күнлик есабат'!$M$8:$M$507,0)</x:f>
        <x:v>0</x:v>
      </x:c>
      <x:c r="M19" s="2" t="str">
        <x:f>IF(I19="","",MAX(I19-K19,0))</x:f>
      </x:c>
      <x:c r="N19" s="16" t="str">
        <x:f>IF(OR(I19="",I19=0),"",MIN(K19/I19,1))</x:f>
      </x:c>
      <x:c r="O19" s="2" t="n">
        <x:f>24-COUNTIFS('Клиентлер'!$T$8:$T$31,1)</x:f>
        <x:v>24</x:v>
      </x:c>
      <x:c r="P19" s="2" t="n">
        <x:f>IF(AND('Салық календары'!G19=1,ISNUMBER('Салық календары'!F19)),1,0)</x:f>
        <x:v>0</x:v>
      </x:c>
      <x:c r="Q19" s="2" t="str">
        <x:v>Салық</x:v>
      </x:c>
      <x:c r="R19" s="10"/>
      <x:c r="S19" s="2" t="n">
        <x:f>IF(COUNT(I19)=1,1,0)</x:f>
        <x:v>0</x:v>
      </x:c>
    </x:row>
    <x:row r="20" ht="46" customHeight="1">
      <x:c r="A20" s="2" t="n">
        <x:v>13</x:v>
      </x:c>
      <x:c r="B20" s="2" t="n">
        <x:v>13</x:v>
      </x:c>
      <x:c r="C20" s="12" t="n">
        <x:f>'Салық календары'!J20</x:f>
        <x:v>46302</x:v>
      </x:c>
      <x:c r="D20" s="13" t="str">
        <x:v>Мүлк салығы айлық авансы</x:v>
      </x:c>
      <x:c r="E20" s="14" t="n">
        <x:v>46305</x:v>
      </x:c>
      <x:c r="F20" s="14" t="str">
        <x:f>IF('Салық календары'!F20="","",'Салық календары'!F20)</x:f>
      </x:c>
      <x:c r="G20" s="2" t="str">
        <x:v>2026-10</x:v>
      </x:c>
      <x:c r="H20" s="2" t="str">
        <x:v>J</x:v>
      </x:c>
      <x:c r="I20" s="10" t="str">
        <x:f>IF(AND(COUNTIFS('Клиентлер'!$T$8:$T$31,1)=24,COUNT('Клиентлер'!$J$8:$J$31)=24),COUNTIFS('Клиентлер'!$J$8:$J$31,1,'Клиентлер'!$T$8:$T$31,1,'Клиентлер'!$G$8:$G$31,0),"")</x:f>
      </x:c>
      <x:c r="J20" s="10"/>
      <x:c r="K20" s="2" t="n">
        <x:f>SUMIFS('Күнлик есабат'!$F$8:$F$507,'Күнлик есабат'!$C$8:$C$507,A20,'Күнлик есабат'!$L$8:$L$507,0,'Күнлик есабат'!$M$8:$M$507,0)-SUMIFS('Күнлик есабат'!$H$8:$H$507,'Күнлик есабат'!$C$8:$C$507,A20,'Күнлик есабат'!$L$8:$L$507,0,'Күнлик есабат'!$M$8:$M$507,0)</x:f>
        <x:v>0</x:v>
      </x:c>
      <x:c r="L20" s="2" t="n">
        <x:f>SUMIFS('Күнлик есабат'!$G$8:$G$507,'Күнлик есабат'!$C$8:$C$507,A20,'Күнлик есабат'!$L$8:$L$507,0,'Күнлик есабат'!$M$8:$M$507,0)</x:f>
        <x:v>0</x:v>
      </x:c>
      <x:c r="M20" s="2" t="str">
        <x:f>IF(I20="","",MAX(I20-K20,0))</x:f>
      </x:c>
      <x:c r="N20" s="16" t="str">
        <x:f>IF(OR(I20="",I20=0),"",MIN(K20/I20,1))</x:f>
      </x:c>
      <x:c r="O20" s="2" t="n">
        <x:f>24-COUNTIFS('Клиентлер'!$T$8:$T$31,1)</x:f>
        <x:v>24</x:v>
      </x:c>
      <x:c r="P20" s="2" t="n">
        <x:f>IF(AND('Салық календары'!G20=1,ISNUMBER('Салық календары'!F20)),1,0)</x:f>
        <x:v>0</x:v>
      </x:c>
      <x:c r="Q20" s="2" t="str">
        <x:v>Салық</x:v>
      </x:c>
      <x:c r="R20" s="10"/>
      <x:c r="S20" s="2" t="n">
        <x:f>IF(COUNT(I20)=1,1,0)</x:f>
        <x:v>0</x:v>
      </x:c>
    </x:row>
    <x:row r="21" ht="46" customHeight="1">
      <x:c r="A21" s="2" t="n">
        <x:v>14</x:v>
      </x:c>
      <x:c r="B21" s="2" t="n">
        <x:v>14</x:v>
      </x:c>
      <x:c r="C21" s="12" t="n">
        <x:f>'Салық календары'!J21</x:f>
        <x:v>46302</x:v>
      </x:c>
      <x:c r="D21" s="13" t="str">
        <x:v>Жер салығы айлық төлеми</x:v>
      </x:c>
      <x:c r="E21" s="14" t="n">
        <x:v>46305</x:v>
      </x:c>
      <x:c r="F21" s="14" t="str">
        <x:f>IF('Салық календары'!F21="","",'Салық календары'!F21)</x:f>
      </x:c>
      <x:c r="G21" s="2" t="str">
        <x:v>2026-10</x:v>
      </x:c>
      <x:c r="H21" s="2" t="str">
        <x:v>K</x:v>
      </x:c>
      <x:c r="I21" s="10" t="str">
        <x:f>IF(AND(COUNTIFS('Клиентлер'!$T$8:$T$31,1)=24,COUNT('Клиентлер'!$K$8:$K$31)=24),COUNTIFS('Клиентлер'!$K$8:$K$31,1,'Клиентлер'!$T$8:$T$31,1,'Клиентлер'!$G$8:$G$31,0),"")</x:f>
      </x:c>
      <x:c r="J21" s="10"/>
      <x:c r="K21" s="2" t="n">
        <x:f>SUMIFS('Күнлик есабат'!$F$8:$F$507,'Күнлик есабат'!$C$8:$C$507,A21,'Күнлик есабат'!$L$8:$L$507,0,'Күнлик есабат'!$M$8:$M$507,0)-SUMIFS('Күнлик есабат'!$H$8:$H$507,'Күнлик есабат'!$C$8:$C$507,A21,'Күнлик есабат'!$L$8:$L$507,0,'Күнлик есабат'!$M$8:$M$507,0)</x:f>
        <x:v>0</x:v>
      </x:c>
      <x:c r="L21" s="2" t="n">
        <x:f>SUMIFS('Күнлик есабат'!$G$8:$G$507,'Күнлик есабат'!$C$8:$C$507,A21,'Күнлик есабат'!$L$8:$L$507,0,'Күнлик есабат'!$M$8:$M$507,0)</x:f>
        <x:v>0</x:v>
      </x:c>
      <x:c r="M21" s="2" t="str">
        <x:f>IF(I21="","",MAX(I21-K21,0))</x:f>
      </x:c>
      <x:c r="N21" s="16" t="str">
        <x:f>IF(OR(I21="",I21=0),"",MIN(K21/I21,1))</x:f>
      </x:c>
      <x:c r="O21" s="2" t="n">
        <x:f>24-COUNTIFS('Клиентлер'!$T$8:$T$31,1)</x:f>
        <x:v>24</x:v>
      </x:c>
      <x:c r="P21" s="2" t="n">
        <x:f>IF(AND('Салық календары'!G21=1,ISNUMBER('Салық календары'!F21)),1,0)</x:f>
        <x:v>0</x:v>
      </x:c>
      <x:c r="Q21" s="2" t="str">
        <x:v>Салық</x:v>
      </x:c>
      <x:c r="R21" s="10"/>
      <x:c r="S21" s="2" t="n">
        <x:f>IF(COUNT(I21)=1,1,0)</x:f>
        <x:v>0</x:v>
      </x:c>
    </x:row>
    <x:row r="22" ht="46" customHeight="1">
      <x:c r="A22" s="2" t="n">
        <x:v>15</x:v>
      </x:c>
      <x:c r="B22" s="2" t="n">
        <x:v>15</x:v>
      </x:c>
      <x:c r="C22" s="12" t="n">
        <x:f>'Салық календары'!J22</x:f>
        <x:v>46312</x:v>
      </x:c>
      <x:c r="D22" s="13" t="str">
        <x:v>Суў салығы айлық авансы</x:v>
      </x:c>
      <x:c r="E22" s="14" t="n">
        <x:v>46315</x:v>
      </x:c>
      <x:c r="F22" s="14" t="str">
        <x:f>IF('Салық календары'!F22="","",'Салық календары'!F22)</x:f>
      </x:c>
      <x:c r="G22" s="2" t="str">
        <x:v>2026-10</x:v>
      </x:c>
      <x:c r="H22" s="2" t="str">
        <x:v>V</x:v>
      </x:c>
      <x:c r="I22" s="10" t="str">
        <x:f>IF(AND(COUNTIFS('Клиентлер'!$T$8:$T$31,1)=24,COUNT('Клиентлер'!$V$8:$V$31)=24),COUNTIFS('Клиентлер'!$V$8:$V$31,1,'Клиентлер'!$T$8:$T$31,1,'Клиентлер'!$G$8:$G$31,0),"")</x:f>
      </x:c>
      <x:c r="J22" s="10"/>
      <x:c r="K22" s="2" t="n">
        <x:f>SUMIFS('Күнлик есабат'!$F$8:$F$507,'Күнлик есабат'!$C$8:$C$507,A22,'Күнлик есабат'!$L$8:$L$507,0,'Күнлик есабат'!$M$8:$M$507,0)-SUMIFS('Күнлик есабат'!$H$8:$H$507,'Күнлик есабат'!$C$8:$C$507,A22,'Күнлик есабат'!$L$8:$L$507,0,'Күнлик есабат'!$M$8:$M$507,0)</x:f>
        <x:v>0</x:v>
      </x:c>
      <x:c r="L22" s="2" t="n">
        <x:f>SUMIFS('Күнлик есабат'!$G$8:$G$507,'Күнлик есабат'!$C$8:$C$507,A22,'Күнлик есабат'!$L$8:$L$507,0,'Күнлик есабат'!$M$8:$M$507,0)</x:f>
        <x:v>0</x:v>
      </x:c>
      <x:c r="M22" s="2" t="str">
        <x:f>IF(I22="","",MAX(I22-K22,0))</x:f>
      </x:c>
      <x:c r="N22" s="16" t="str">
        <x:f>IF(OR(I22="",I22=0),"",MIN(K22/I22,1))</x:f>
      </x:c>
      <x:c r="O22" s="2" t="n">
        <x:f>24-COUNTIFS('Клиентлер'!$T$8:$T$31,1)</x:f>
        <x:v>24</x:v>
      </x:c>
      <x:c r="P22" s="2" t="n">
        <x:f>IF(AND('Салық календары'!G22=1,ISNUMBER('Салық календары'!F22)),1,0)</x:f>
        <x:v>0</x:v>
      </x:c>
      <x:c r="Q22" s="2" t="str">
        <x:v>Салық</x:v>
      </x:c>
      <x:c r="R22" s="10"/>
      <x:c r="S22" s="2" t="n">
        <x:f>IF(COUNT(I22)=1,1,0)</x:f>
        <x:v>0</x:v>
      </x:c>
    </x:row>
    <x:row r="23" ht="46" customHeight="1">
      <x:c r="A23" s="2" t="n">
        <x:v>16</x:v>
      </x:c>
      <x:c r="B23" s="2" t="n">
        <x:v>16</x:v>
      </x:c>
      <x:c r="C23" s="12" t="n">
        <x:f>'Салық календары'!J23</x:f>
        <x:v>46312</x:v>
      </x:c>
      <x:c r="D23" s="13" t="str">
        <x:v>Пайда салығы квартал есабаты</x:v>
      </x:c>
      <x:c r="E23" s="14" t="n">
        <x:v>46315</x:v>
      </x:c>
      <x:c r="F23" s="14" t="str">
        <x:f>IF('Салық календары'!F23="","",'Салық календары'!F23)</x:f>
      </x:c>
      <x:c r="G23" s="2" t="str">
        <x:v>2026 / 2.3333333333333335-квартал</x:v>
      </x:c>
      <x:c r="H23" s="2" t="str">
        <x:v>H</x:v>
      </x:c>
      <x:c r="I23" s="10" t="str">
        <x:f>IF(AND(COUNTIFS('Клиентлер'!$T$8:$T$31,1)=24,COUNT('Клиентлер'!$H$8:$H$31)=24),COUNTIFS('Клиентлер'!$H$8:$H$31,1,'Клиентлер'!$T$8:$T$31,1),"")</x:f>
      </x:c>
      <x:c r="J23" s="10"/>
      <x:c r="K23" s="2" t="n">
        <x:f>SUMIFS('Күнлик есабат'!$F$8:$F$507,'Күнлик есабат'!$C$8:$C$507,A23,'Күнлик есабат'!$L$8:$L$507,0,'Күнлик есабат'!$M$8:$M$507,0)-SUMIFS('Күнлик есабат'!$H$8:$H$507,'Күнлик есабат'!$C$8:$C$507,A23,'Күнлик есабат'!$L$8:$L$507,0,'Күнлик есабат'!$M$8:$M$507,0)</x:f>
        <x:v>0</x:v>
      </x:c>
      <x:c r="L23" s="2" t="n">
        <x:f>SUMIFS('Күнлик есабат'!$G$8:$G$507,'Күнлик есабат'!$C$8:$C$507,A23,'Күнлик есабат'!$L$8:$L$507,0,'Күнлик есабат'!$M$8:$M$507,0)</x:f>
        <x:v>0</x:v>
      </x:c>
      <x:c r="M23" s="2" t="str">
        <x:f>IF(I23="","",MAX(I23-K23,0))</x:f>
      </x:c>
      <x:c r="N23" s="16" t="str">
        <x:f>IF(OR(I23="",I23=0),"",MIN(K23/I23,1))</x:f>
      </x:c>
      <x:c r="O23" s="2" t="n">
        <x:f>24-COUNTIFS('Клиентлер'!$T$8:$T$31,1)</x:f>
        <x:v>24</x:v>
      </x:c>
      <x:c r="P23" s="2" t="n">
        <x:f>IF(AND('Салық календары'!G23=1,ISNUMBER('Салық календары'!F23)),1,0)</x:f>
        <x:v>0</x:v>
      </x:c>
      <x:c r="Q23" s="2" t="str">
        <x:v>Салық</x:v>
      </x:c>
      <x:c r="R23" s="10"/>
      <x:c r="S23" s="2" t="n">
        <x:f>IF(COUNT(I23)=1,1,0)</x:f>
        <x:v>0</x:v>
      </x:c>
    </x:row>
    <x:row r="24" ht="46" customHeight="1">
      <x:c r="A24" s="2" t="n">
        <x:v>17</x:v>
      </x:c>
      <x:c r="B24" s="2" t="n">
        <x:v>17</x:v>
      </x:c>
      <x:c r="C24" s="12" t="n">
        <x:f>'Салық календары'!J24</x:f>
        <x:v>46343</x:v>
      </x:c>
      <x:c r="D24" s="13" t="str">
        <x:v>ҚҚС есабаты</x:v>
      </x:c>
      <x:c r="E24" s="14" t="n">
        <x:v>46346</x:v>
      </x:c>
      <x:c r="F24" s="14" t="str">
        <x:f>IF('Салық календары'!F24="","",'Салық календары'!F24)</x:f>
      </x:c>
      <x:c r="G24" s="2" t="str">
        <x:v>2026-10</x:v>
      </x:c>
      <x:c r="H24" s="2" t="str">
        <x:v>F</x:v>
      </x:c>
      <x:c r="I24" s="10" t="str">
        <x:f>IF(AND(COUNTIFS('Клиентлер'!$T$8:$T$31,1)=24,COUNT('Клиентлер'!$F$8:$F$31)=24),COUNTIFS('Клиентлер'!$F$8:$F$31,1,'Клиентлер'!$T$8:$T$31,1),"")</x:f>
      </x:c>
      <x:c r="J24" s="10"/>
      <x:c r="K24" s="2" t="n">
        <x:f>SUMIFS('Күнлик есабат'!$F$8:$F$507,'Күнлик есабат'!$C$8:$C$507,A24,'Күнлик есабат'!$L$8:$L$507,0,'Күнлик есабат'!$M$8:$M$507,0)-SUMIFS('Күнлик есабат'!$H$8:$H$507,'Күнлик есабат'!$C$8:$C$507,A24,'Күнлик есабат'!$L$8:$L$507,0,'Күнлик есабат'!$M$8:$M$507,0)</x:f>
        <x:v>0</x:v>
      </x:c>
      <x:c r="L24" s="2" t="n">
        <x:f>SUMIFS('Күнлик есабат'!$G$8:$G$507,'Күнлик есабат'!$C$8:$C$507,A24,'Күнлик есабат'!$L$8:$L$507,0,'Күнлик есабат'!$M$8:$M$507,0)</x:f>
        <x:v>0</x:v>
      </x:c>
      <x:c r="M24" s="2" t="str">
        <x:f>IF(I24="","",MAX(I24-K24,0))</x:f>
      </x:c>
      <x:c r="N24" s="16" t="str">
        <x:f>IF(OR(I24="",I24=0),"",MIN(K24/I24,1))</x:f>
      </x:c>
      <x:c r="O24" s="2" t="n">
        <x:f>24-COUNTIFS('Клиентлер'!$T$8:$T$31,1)</x:f>
        <x:v>24</x:v>
      </x:c>
      <x:c r="P24" s="2" t="n">
        <x:f>IF(AND('Салық календары'!G24=1,ISNUMBER('Салық календары'!F24)),1,0)</x:f>
        <x:v>0</x:v>
      </x:c>
      <x:c r="Q24" s="2" t="str">
        <x:v>Салық</x:v>
      </x:c>
      <x:c r="R24" s="10"/>
      <x:c r="S24" s="2" t="n">
        <x:f>IF(COUNT(I24)=1,1,0)</x:f>
        <x:v>0</x:v>
      </x:c>
    </x:row>
    <x:row r="25" ht="46" customHeight="1">
      <x:c r="A25" s="2" t="n">
        <x:v>18</x:v>
      </x:c>
      <x:c r="B25" s="2" t="n">
        <x:v>18</x:v>
      </x:c>
      <x:c r="C25" s="12" t="n">
        <x:f>'Салық календары'!J25</x:f>
        <x:v>46343</x:v>
      </x:c>
      <x:c r="D25" s="13" t="str">
        <x:v>ҚҚС төлеми</x:v>
      </x:c>
      <x:c r="E25" s="14" t="n">
        <x:v>46346</x:v>
      </x:c>
      <x:c r="F25" s="14" t="str">
        <x:f>IF('Салық календары'!F25="","",'Салық календары'!F25)</x:f>
      </x:c>
      <x:c r="G25" s="2" t="str">
        <x:v>2026-10</x:v>
      </x:c>
      <x:c r="H25" s="2" t="str">
        <x:v>F</x:v>
      </x:c>
      <x:c r="I25" s="10" t="str">
        <x:f>IF(AND(COUNTIFS('Клиентлер'!$T$8:$T$31,1)=24,COUNT('Клиентлер'!$F$8:$F$31)=24),COUNTIFS('Клиентлер'!$F$8:$F$31,1,'Клиентлер'!$T$8:$T$31,1),"")</x:f>
      </x:c>
      <x:c r="J25" s="10"/>
      <x:c r="K25" s="2" t="n">
        <x:f>SUMIFS('Күнлик есабат'!$F$8:$F$507,'Күнлик есабат'!$C$8:$C$507,A25,'Күнлик есабат'!$L$8:$L$507,0,'Күнлик есабат'!$M$8:$M$507,0)-SUMIFS('Күнлик есабат'!$H$8:$H$507,'Күнлик есабат'!$C$8:$C$507,A25,'Күнлик есабат'!$L$8:$L$507,0,'Күнлик есабат'!$M$8:$M$507,0)</x:f>
        <x:v>0</x:v>
      </x:c>
      <x:c r="L25" s="2" t="n">
        <x:f>SUMIFS('Күнлик есабат'!$G$8:$G$507,'Күнлик есабат'!$C$8:$C$507,A25,'Күнлик есабат'!$L$8:$L$507,0,'Күнлик есабат'!$M$8:$M$507,0)</x:f>
        <x:v>0</x:v>
      </x:c>
      <x:c r="M25" s="2" t="str">
        <x:f>IF(I25="","",MAX(I25-K25,0))</x:f>
      </x:c>
      <x:c r="N25" s="16" t="str">
        <x:f>IF(OR(I25="",I25=0),"",MIN(K25/I25,1))</x:f>
      </x:c>
      <x:c r="O25" s="2" t="n">
        <x:f>24-COUNTIFS('Клиентлер'!$T$8:$T$31,1)</x:f>
        <x:v>24</x:v>
      </x:c>
      <x:c r="P25" s="2" t="n">
        <x:f>IF(AND('Салық календары'!G25=1,ISNUMBER('Салық календары'!F25)),1,0)</x:f>
        <x:v>0</x:v>
      </x:c>
      <x:c r="Q25" s="2" t="str">
        <x:v>Салық</x:v>
      </x:c>
      <x:c r="R25" s="10"/>
      <x:c r="S25" s="2" t="n">
        <x:f>IF(COUNT(I25)=1,1,0)</x:f>
        <x:v>0</x:v>
      </x:c>
    </x:row>
    <x:row r="26" ht="46" customHeight="1">
      <x:c r="A26" s="2" t="n">
        <x:v>19</x:v>
      </x:c>
      <x:c r="B26" s="2" t="n">
        <x:v>19</x:v>
      </x:c>
      <x:c r="C26" s="12" t="n">
        <x:f>'Салық календары'!J26</x:f>
        <x:v>46338</x:v>
      </x:c>
      <x:c r="D26" s="13" t="str">
        <x:v>Айланба салығы есабаты</x:v>
      </x:c>
      <x:c r="E26" s="14" t="n">
        <x:v>46341</x:v>
      </x:c>
      <x:c r="F26" s="14" t="str">
        <x:f>IF('Салық календары'!F26="","",'Салық календары'!F26)</x:f>
      </x:c>
      <x:c r="G26" s="2" t="str">
        <x:v>2026-10</x:v>
      </x:c>
      <x:c r="H26" s="2" t="str">
        <x:v>G</x:v>
      </x:c>
      <x:c r="I26" s="10" t="str">
        <x:f>IF(AND(COUNTIFS('Клиентлер'!$T$8:$T$31,1)=24,COUNT('Клиентлер'!$G$8:$G$31)=24),COUNTIFS('Клиентлер'!$G$8:$G$31,1,'Клиентлер'!$T$8:$T$31,1),"")</x:f>
      </x:c>
      <x:c r="J26" s="10"/>
      <x:c r="K26" s="2" t="n">
        <x:f>SUMIFS('Күнлик есабат'!$F$8:$F$507,'Күнлик есабат'!$C$8:$C$507,A26,'Күнлик есабат'!$L$8:$L$507,0,'Күнлик есабат'!$M$8:$M$507,0)-SUMIFS('Күнлик есабат'!$H$8:$H$507,'Күнлик есабат'!$C$8:$C$507,A26,'Күнлик есабат'!$L$8:$L$507,0,'Күнлик есабат'!$M$8:$M$507,0)</x:f>
        <x:v>0</x:v>
      </x:c>
      <x:c r="L26" s="2" t="n">
        <x:f>SUMIFS('Күнлик есабат'!$G$8:$G$507,'Күнлик есабат'!$C$8:$C$507,A26,'Күнлик есабат'!$L$8:$L$507,0,'Күнлик есабат'!$M$8:$M$507,0)</x:f>
        <x:v>0</x:v>
      </x:c>
      <x:c r="M26" s="2" t="str">
        <x:f>IF(I26="","",MAX(I26-K26,0))</x:f>
      </x:c>
      <x:c r="N26" s="16" t="str">
        <x:f>IF(OR(I26="",I26=0),"",MIN(K26/I26,1))</x:f>
      </x:c>
      <x:c r="O26" s="2" t="n">
        <x:f>24-COUNTIFS('Клиентлер'!$T$8:$T$31,1)</x:f>
        <x:v>24</x:v>
      </x:c>
      <x:c r="P26" s="2" t="n">
        <x:f>IF(AND('Салық календары'!G26=1,ISNUMBER('Салық календары'!F26)),1,0)</x:f>
        <x:v>0</x:v>
      </x:c>
      <x:c r="Q26" s="2" t="str">
        <x:v>Салық</x:v>
      </x:c>
      <x:c r="R26" s="10"/>
      <x:c r="S26" s="2" t="n">
        <x:f>IF(COUNT(I26)=1,1,0)</x:f>
        <x:v>0</x:v>
      </x:c>
    </x:row>
    <x:row r="27" ht="46" customHeight="1">
      <x:c r="A27" s="2" t="n">
        <x:v>20</x:v>
      </x:c>
      <x:c r="B27" s="2" t="n">
        <x:v>20</x:v>
      </x:c>
      <x:c r="C27" s="12" t="n">
        <x:f>'Салық календары'!J27</x:f>
        <x:v>46338</x:v>
      </x:c>
      <x:c r="D27" s="13" t="str">
        <x:v>Айланба салығы төлеми</x:v>
      </x:c>
      <x:c r="E27" s="14" t="n">
        <x:v>46341</x:v>
      </x:c>
      <x:c r="F27" s="14" t="str">
        <x:f>IF('Салық календары'!F27="","",'Салық календары'!F27)</x:f>
      </x:c>
      <x:c r="G27" s="2" t="str">
        <x:v>2026-10</x:v>
      </x:c>
      <x:c r="H27" s="2" t="str">
        <x:v>G</x:v>
      </x:c>
      <x:c r="I27" s="10" t="str">
        <x:f>IF(AND(COUNTIFS('Клиентлер'!$T$8:$T$31,1)=24,COUNT('Клиентлер'!$G$8:$G$31)=24),COUNTIFS('Клиентлер'!$G$8:$G$31,1,'Клиентлер'!$T$8:$T$31,1),"")</x:f>
      </x:c>
      <x:c r="J27" s="10"/>
      <x:c r="K27" s="2" t="n">
        <x:f>SUMIFS('Күнлик есабат'!$F$8:$F$507,'Күнлик есабат'!$C$8:$C$507,A27,'Күнлик есабат'!$L$8:$L$507,0,'Күнлик есабат'!$M$8:$M$507,0)-SUMIFS('Күнлик есабат'!$H$8:$H$507,'Күнлик есабат'!$C$8:$C$507,A27,'Күнлик есабат'!$L$8:$L$507,0,'Күнлик есабат'!$M$8:$M$507,0)</x:f>
        <x:v>0</x:v>
      </x:c>
      <x:c r="L27" s="2" t="n">
        <x:f>SUMIFS('Күнлик есабат'!$G$8:$G$507,'Күнлик есабат'!$C$8:$C$507,A27,'Күнлик есабат'!$L$8:$L$507,0,'Күнлик есабат'!$M$8:$M$507,0)</x:f>
        <x:v>0</x:v>
      </x:c>
      <x:c r="M27" s="2" t="str">
        <x:f>IF(I27="","",MAX(I27-K27,0))</x:f>
      </x:c>
      <x:c r="N27" s="16" t="str">
        <x:f>IF(OR(I27="",I27=0),"",MIN(K27/I27,1))</x:f>
      </x:c>
      <x:c r="O27" s="2" t="n">
        <x:f>24-COUNTIFS('Клиентлер'!$T$8:$T$31,1)</x:f>
        <x:v>24</x:v>
      </x:c>
      <x:c r="P27" s="2" t="n">
        <x:f>IF(AND('Салық календары'!G27=1,ISNUMBER('Салық календары'!F27)),1,0)</x:f>
        <x:v>0</x:v>
      </x:c>
      <x:c r="Q27" s="2" t="str">
        <x:v>Салық</x:v>
      </x:c>
      <x:c r="R27" s="10"/>
      <x:c r="S27" s="2" t="n">
        <x:f>IF(COUNT(I27)=1,1,0)</x:f>
        <x:v>0</x:v>
      </x:c>
    </x:row>
    <x:row r="28" ht="46" customHeight="1">
      <x:c r="A28" s="2" t="n">
        <x:v>21</x:v>
      </x:c>
      <x:c r="B28" s="2" t="n">
        <x:v>21</x:v>
      </x:c>
      <x:c r="C28" s="12" t="n">
        <x:f>'Салық календары'!J28</x:f>
        <x:v>46338</x:v>
      </x:c>
      <x:c r="D28" s="13" t="str">
        <x:v>Дәрамат салығы есабаты</x:v>
      </x:c>
      <x:c r="E28" s="14" t="n">
        <x:v>46341</x:v>
      </x:c>
      <x:c r="F28" s="14" t="str">
        <x:f>IF('Салық календары'!F28="","",'Салық календары'!F28)</x:f>
      </x:c>
      <x:c r="G28" s="2" t="str">
        <x:v>2026-10</x:v>
      </x:c>
      <x:c r="H28" s="2" t="str">
        <x:v>I</x:v>
      </x:c>
      <x:c r="I28" s="10" t="str">
        <x:f>IF(AND(COUNTIFS('Клиентлер'!$T$8:$T$31,1)=24,COUNT('Клиентлер'!$I$8:$I$31)=24),COUNTIFS('Клиентлер'!$I$8:$I$31,1,'Клиентлер'!$T$8:$T$31,1),"")</x:f>
      </x:c>
      <x:c r="J28" s="10"/>
      <x:c r="K28" s="2" t="n">
        <x:f>SUMIFS('Күнлик есабат'!$F$8:$F$507,'Күнлик есабат'!$C$8:$C$507,A28,'Күнлик есабат'!$L$8:$L$507,0,'Күнлик есабат'!$M$8:$M$507,0)-SUMIFS('Күнлик есабат'!$H$8:$H$507,'Күнлик есабат'!$C$8:$C$507,A28,'Күнлик есабат'!$L$8:$L$507,0,'Күнлик есабат'!$M$8:$M$507,0)</x:f>
        <x:v>0</x:v>
      </x:c>
      <x:c r="L28" s="2" t="n">
        <x:f>SUMIFS('Күнлик есабат'!$G$8:$G$507,'Күнлик есабат'!$C$8:$C$507,A28,'Күнлик есабат'!$L$8:$L$507,0,'Күнлик есабат'!$M$8:$M$507,0)</x:f>
        <x:v>0</x:v>
      </x:c>
      <x:c r="M28" s="2" t="str">
        <x:f>IF(I28="","",MAX(I28-K28,0))</x:f>
      </x:c>
      <x:c r="N28" s="16" t="str">
        <x:f>IF(OR(I28="",I28=0),"",MIN(K28/I28,1))</x:f>
      </x:c>
      <x:c r="O28" s="2" t="n">
        <x:f>24-COUNTIFS('Клиентлер'!$T$8:$T$31,1)</x:f>
        <x:v>24</x:v>
      </x:c>
      <x:c r="P28" s="2" t="n">
        <x:f>IF(AND('Салық календары'!G28=1,ISNUMBER('Салық календары'!F28)),1,0)</x:f>
        <x:v>0</x:v>
      </x:c>
      <x:c r="Q28" s="2" t="str">
        <x:v>Салық</x:v>
      </x:c>
      <x:c r="R28" s="10"/>
      <x:c r="S28" s="2" t="n">
        <x:f>IF(COUNT(I28)=1,1,0)</x:f>
        <x:v>0</x:v>
      </x:c>
    </x:row>
    <x:row r="29" ht="46" customHeight="1">
      <x:c r="A29" s="2" t="n">
        <x:v>22</x:v>
      </x:c>
      <x:c r="B29" s="2" t="n">
        <x:v>22</x:v>
      </x:c>
      <x:c r="C29" s="12" t="n">
        <x:f>'Салық календары'!J29</x:f>
        <x:v>46338</x:v>
      </x:c>
      <x:c r="D29" s="13" t="str">
        <x:v>Социаллық салық есабаты</x:v>
      </x:c>
      <x:c r="E29" s="14" t="n">
        <x:v>46341</x:v>
      </x:c>
      <x:c r="F29" s="14" t="str">
        <x:f>IF('Салық календары'!F29="","",'Салық календары'!F29)</x:f>
      </x:c>
      <x:c r="G29" s="2" t="str">
        <x:v>2026-10</x:v>
      </x:c>
      <x:c r="H29" s="2" t="str">
        <x:v>I</x:v>
      </x:c>
      <x:c r="I29" s="10" t="str">
        <x:f>IF(AND(COUNTIFS('Клиентлер'!$T$8:$T$31,1)=24,COUNT('Клиентлер'!$I$8:$I$31)=24),COUNTIFS('Клиентлер'!$I$8:$I$31,1,'Клиентлер'!$T$8:$T$31,1),"")</x:f>
      </x:c>
      <x:c r="J29" s="10"/>
      <x:c r="K29" s="2" t="n">
        <x:f>SUMIFS('Күнлик есабат'!$F$8:$F$507,'Күнлик есабат'!$C$8:$C$507,A29,'Күнлик есабат'!$L$8:$L$507,0,'Күнлик есабат'!$M$8:$M$507,0)-SUMIFS('Күнлик есабат'!$H$8:$H$507,'Күнлик есабат'!$C$8:$C$507,A29,'Күнлик есабат'!$L$8:$L$507,0,'Күнлик есабат'!$M$8:$M$507,0)</x:f>
        <x:v>0</x:v>
      </x:c>
      <x:c r="L29" s="2" t="n">
        <x:f>SUMIFS('Күнлик есабат'!$G$8:$G$507,'Күнлик есабат'!$C$8:$C$507,A29,'Күнлик есабат'!$L$8:$L$507,0,'Күнлик есабат'!$M$8:$M$507,0)</x:f>
        <x:v>0</x:v>
      </x:c>
      <x:c r="M29" s="2" t="str">
        <x:f>IF(I29="","",MAX(I29-K29,0))</x:f>
      </x:c>
      <x:c r="N29" s="16" t="str">
        <x:f>IF(OR(I29="",I29=0),"",MIN(K29/I29,1))</x:f>
      </x:c>
      <x:c r="O29" s="2" t="n">
        <x:f>24-COUNTIFS('Клиентлер'!$T$8:$T$31,1)</x:f>
        <x:v>24</x:v>
      </x:c>
      <x:c r="P29" s="2" t="n">
        <x:f>IF(AND('Салық календары'!G29=1,ISNUMBER('Салық календары'!F29)),1,0)</x:f>
        <x:v>0</x:v>
      </x:c>
      <x:c r="Q29" s="2" t="str">
        <x:v>Салық</x:v>
      </x:c>
      <x:c r="R29" s="10"/>
      <x:c r="S29" s="2" t="n">
        <x:f>IF(COUNT(I29)=1,1,0)</x:f>
        <x:v>0</x:v>
      </x:c>
    </x:row>
    <x:row r="30" ht="46" customHeight="1">
      <x:c r="A30" s="2" t="n">
        <x:v>23</x:v>
      </x:c>
      <x:c r="B30" s="2" t="n">
        <x:v>23</x:v>
      </x:c>
      <x:c r="C30" s="12" t="n">
        <x:f>'Салық календары'!J30</x:f>
        <x:v>46338</x:v>
      </x:c>
      <x:c r="D30" s="13" t="str">
        <x:v>Социаллық салық төлеми</x:v>
      </x:c>
      <x:c r="E30" s="14" t="n">
        <x:v>46341</x:v>
      </x:c>
      <x:c r="F30" s="14" t="str">
        <x:f>IF('Салық календары'!F30="","",'Салық календары'!F30)</x:f>
      </x:c>
      <x:c r="G30" s="2" t="str">
        <x:v>2026-10</x:v>
      </x:c>
      <x:c r="H30" s="2" t="str">
        <x:v>I</x:v>
      </x:c>
      <x:c r="I30" s="10" t="str">
        <x:f>IF(AND(COUNTIFS('Клиентлер'!$T$8:$T$31,1)=24,COUNT('Клиентлер'!$I$8:$I$31)=24),COUNTIFS('Клиентлер'!$I$8:$I$31,1,'Клиентлер'!$T$8:$T$31,1),"")</x:f>
      </x:c>
      <x:c r="J30" s="10"/>
      <x:c r="K30" s="2" t="n">
        <x:f>SUMIFS('Күнлик есабат'!$F$8:$F$507,'Күнлик есабат'!$C$8:$C$507,A30,'Күнлик есабат'!$L$8:$L$507,0,'Күнлик есабат'!$M$8:$M$507,0)-SUMIFS('Күнлик есабат'!$H$8:$H$507,'Күнлик есабат'!$C$8:$C$507,A30,'Күнлик есабат'!$L$8:$L$507,0,'Күнлик есабат'!$M$8:$M$507,0)</x:f>
        <x:v>0</x:v>
      </x:c>
      <x:c r="L30" s="2" t="n">
        <x:f>SUMIFS('Күнлик есабат'!$G$8:$G$507,'Күнлик есабат'!$C$8:$C$507,A30,'Күнлик есабат'!$L$8:$L$507,0,'Күнлик есабат'!$M$8:$M$507,0)</x:f>
        <x:v>0</x:v>
      </x:c>
      <x:c r="M30" s="2" t="str">
        <x:f>IF(I30="","",MAX(I30-K30,0))</x:f>
      </x:c>
      <x:c r="N30" s="16" t="str">
        <x:f>IF(OR(I30="",I30=0),"",MIN(K30/I30,1))</x:f>
      </x:c>
      <x:c r="O30" s="2" t="n">
        <x:f>24-COUNTIFS('Клиентлер'!$T$8:$T$31,1)</x:f>
        <x:v>24</x:v>
      </x:c>
      <x:c r="P30" s="2" t="n">
        <x:f>IF(AND('Салық календары'!G30=1,ISNUMBER('Салық календары'!F30)),1,0)</x:f>
        <x:v>0</x:v>
      </x:c>
      <x:c r="Q30" s="2" t="str">
        <x:v>Салық</x:v>
      </x:c>
      <x:c r="R30" s="10"/>
      <x:c r="S30" s="2" t="n">
        <x:f>IF(COUNT(I30)=1,1,0)</x:f>
        <x:v>0</x:v>
      </x:c>
    </x:row>
    <x:row r="31" ht="46" customHeight="1">
      <x:c r="A31" s="2" t="n">
        <x:v>24</x:v>
      </x:c>
      <x:c r="B31" s="2" t="n">
        <x:v>24</x:v>
      </x:c>
      <x:c r="C31" s="12" t="n">
        <x:f>'Салық календары'!J31</x:f>
        <x:v>46333</x:v>
      </x:c>
      <x:c r="D31" s="13" t="str">
        <x:v>Акциз есабаты ҳәм төлемин тексериў</x:v>
      </x:c>
      <x:c r="E31" s="14" t="n">
        <x:v>46336</x:v>
      </x:c>
      <x:c r="F31" s="14" t="str">
        <x:f>IF('Салық календары'!F31="","",'Салық календары'!F31)</x:f>
      </x:c>
      <x:c r="G31" s="2" t="str">
        <x:v>2026-10</x:v>
      </x:c>
      <x:c r="H31" s="2" t="str">
        <x:v>N</x:v>
      </x:c>
      <x:c r="I31" s="10" t="str">
        <x:f>IF(AND(COUNTIFS('Клиентлер'!$T$8:$T$31,1)=24,COUNT('Клиентлер'!$N$8:$N$31)=24),COUNTIFS('Клиентлер'!$N$8:$N$31,1,'Клиентлер'!$T$8:$T$31,1),"")</x:f>
      </x:c>
      <x:c r="J31" s="10"/>
      <x:c r="K31" s="2" t="n">
        <x:f>SUMIFS('Күнлик есабат'!$F$8:$F$507,'Күнлик есабат'!$C$8:$C$507,A31,'Күнлик есабат'!$L$8:$L$507,0,'Күнлик есабат'!$M$8:$M$507,0)-SUMIFS('Күнлик есабат'!$H$8:$H$507,'Күнлик есабат'!$C$8:$C$507,A31,'Күнлик есабат'!$L$8:$L$507,0,'Күнлик есабат'!$M$8:$M$507,0)</x:f>
        <x:v>0</x:v>
      </x:c>
      <x:c r="L31" s="2" t="n">
        <x:f>SUMIFS('Күнлик есабат'!$G$8:$G$507,'Күнлик есабат'!$C$8:$C$507,A31,'Күнлик есабат'!$L$8:$L$507,0,'Күнлик есабат'!$M$8:$M$507,0)</x:f>
        <x:v>0</x:v>
      </x:c>
      <x:c r="M31" s="2" t="str">
        <x:f>IF(I31="","",MAX(I31-K31,0))</x:f>
      </x:c>
      <x:c r="N31" s="16" t="str">
        <x:f>IF(OR(I31="",I31=0),"",MIN(K31/I31,1))</x:f>
      </x:c>
      <x:c r="O31" s="2" t="n">
        <x:f>24-COUNTIFS('Клиентлер'!$T$8:$T$31,1)</x:f>
        <x:v>24</x:v>
      </x:c>
      <x:c r="P31" s="2" t="n">
        <x:f>IF(AND('Салық календары'!G31=1,ISNUMBER('Салық календары'!F31)),1,0)</x:f>
        <x:v>0</x:v>
      </x:c>
      <x:c r="Q31" s="2" t="str">
        <x:v>Салық</x:v>
      </x:c>
      <x:c r="R31" s="10"/>
      <x:c r="S31" s="2" t="n">
        <x:f>IF(COUNT(I31)=1,1,0)</x:f>
        <x:v>0</x:v>
      </x:c>
    </x:row>
    <x:row r="32" ht="46" customHeight="1">
      <x:c r="A32" s="2" t="n">
        <x:v>25</x:v>
      </x:c>
      <x:c r="B32" s="2" t="n">
        <x:v>25</x:v>
      </x:c>
      <x:c r="C32" s="12" t="n">
        <x:f>'Салық календары'!J32</x:f>
        <x:v>46343</x:v>
      </x:c>
      <x:c r="D32" s="13" t="str">
        <x:v>Дивиденд ҳәм процент салығы есабаты</x:v>
      </x:c>
      <x:c r="E32" s="14" t="n">
        <x:v>46346</x:v>
      </x:c>
      <x:c r="F32" s="14" t="str">
        <x:f>IF('Салық календары'!F32="","",'Салық календары'!F32)</x:f>
      </x:c>
      <x:c r="G32" s="2" t="str">
        <x:v>2026-10</x:v>
      </x:c>
      <x:c r="H32" s="2" t="str">
        <x:v>O</x:v>
      </x:c>
      <x:c r="I32" s="10" t="str">
        <x:f>IF(AND(COUNTIFS('Клиентлер'!$T$8:$T$31,1)=24,COUNT('Клиентлер'!$O$8:$O$31)=24),COUNTIFS('Клиентлер'!$O$8:$O$31,1,'Клиентлер'!$T$8:$T$31,1),"")</x:f>
      </x:c>
      <x:c r="J32" s="10"/>
      <x:c r="K32" s="2" t="n">
        <x:f>SUMIFS('Күнлик есабат'!$F$8:$F$507,'Күнлик есабат'!$C$8:$C$507,A32,'Күнлик есабат'!$L$8:$L$507,0,'Күнлик есабат'!$M$8:$M$507,0)-SUMIFS('Күнлик есабат'!$H$8:$H$507,'Күнлик есабат'!$C$8:$C$507,A32,'Күнлик есабат'!$L$8:$L$507,0,'Күнлик есабат'!$M$8:$M$507,0)</x:f>
        <x:v>0</x:v>
      </x:c>
      <x:c r="L32" s="2" t="n">
        <x:f>SUMIFS('Күнлик есабат'!$G$8:$G$507,'Күнлик есабат'!$C$8:$C$507,A32,'Күнлик есабат'!$L$8:$L$507,0,'Күнлик есабат'!$M$8:$M$507,0)</x:f>
        <x:v>0</x:v>
      </x:c>
      <x:c r="M32" s="2" t="str">
        <x:f>IF(I32="","",MAX(I32-K32,0))</x:f>
      </x:c>
      <x:c r="N32" s="16" t="str">
        <x:f>IF(OR(I32="",I32=0),"",MIN(K32/I32,1))</x:f>
      </x:c>
      <x:c r="O32" s="2" t="n">
        <x:f>24-COUNTIFS('Клиентлер'!$T$8:$T$31,1)</x:f>
        <x:v>24</x:v>
      </x:c>
      <x:c r="P32" s="2" t="n">
        <x:f>IF(AND('Салық календары'!G32=1,ISNUMBER('Салық календары'!F32)),1,0)</x:f>
        <x:v>0</x:v>
      </x:c>
      <x:c r="Q32" s="2" t="str">
        <x:v>Салық</x:v>
      </x:c>
      <x:c r="R32" s="10"/>
      <x:c r="S32" s="2" t="n">
        <x:f>IF(COUNT(I32)=1,1,0)</x:f>
        <x:v>0</x:v>
      </x:c>
    </x:row>
    <x:row r="33" ht="46" customHeight="1">
      <x:c r="A33" s="2" t="n">
        <x:v>26</x:v>
      </x:c>
      <x:c r="B33" s="2" t="n">
        <x:v>26</x:v>
      </x:c>
      <x:c r="C33" s="12" t="n">
        <x:f>'Салық календары'!J33</x:f>
        <x:v>46343</x:v>
      </x:c>
      <x:c r="D33" s="13" t="str">
        <x:v>Норезидент дәраматы салығы есабаты</x:v>
      </x:c>
      <x:c r="E33" s="14" t="n">
        <x:v>46346</x:v>
      </x:c>
      <x:c r="F33" s="14" t="str">
        <x:f>IF('Салық календары'!F33="","",'Салық календары'!F33)</x:f>
      </x:c>
      <x:c r="G33" s="2" t="str">
        <x:v>2026-10</x:v>
      </x:c>
      <x:c r="H33" s="2" t="str">
        <x:v>P</x:v>
      </x:c>
      <x:c r="I33" s="10" t="str">
        <x:f>IF(AND(COUNTIFS('Клиентлер'!$T$8:$T$31,1)=24,COUNT('Клиентлер'!$P$8:$P$31)=24),COUNTIFS('Клиентлер'!$P$8:$P$31,1,'Клиентлер'!$T$8:$T$31,1),"")</x:f>
      </x:c>
      <x:c r="J33" s="10"/>
      <x:c r="K33" s="2" t="n">
        <x:f>SUMIFS('Күнлик есабат'!$F$8:$F$507,'Күнлик есабат'!$C$8:$C$507,A33,'Күнлик есабат'!$L$8:$L$507,0,'Күнлик есабат'!$M$8:$M$507,0)-SUMIFS('Күнлик есабат'!$H$8:$H$507,'Күнлик есабат'!$C$8:$C$507,A33,'Күнлик есабат'!$L$8:$L$507,0,'Күнлик есабат'!$M$8:$M$507,0)</x:f>
        <x:v>0</x:v>
      </x:c>
      <x:c r="L33" s="2" t="n">
        <x:f>SUMIFS('Күнлик есабат'!$G$8:$G$507,'Күнлик есабат'!$C$8:$C$507,A33,'Күнлик есабат'!$L$8:$L$507,0,'Күнлик есабат'!$M$8:$M$507,0)</x:f>
        <x:v>0</x:v>
      </x:c>
      <x:c r="M33" s="2" t="str">
        <x:f>IF(I33="","",MAX(I33-K33,0))</x:f>
      </x:c>
      <x:c r="N33" s="16" t="str">
        <x:f>IF(OR(I33="",I33=0),"",MIN(K33/I33,1))</x:f>
      </x:c>
      <x:c r="O33" s="2" t="n">
        <x:f>24-COUNTIFS('Клиентлер'!$T$8:$T$31,1)</x:f>
        <x:v>24</x:v>
      </x:c>
      <x:c r="P33" s="2" t="n">
        <x:f>IF(AND('Салық календары'!G33=1,ISNUMBER('Салық календары'!F33)),1,0)</x:f>
        <x:v>0</x:v>
      </x:c>
      <x:c r="Q33" s="2" t="str">
        <x:v>Салық</x:v>
      </x:c>
      <x:c r="R33" s="10"/>
      <x:c r="S33" s="2" t="n">
        <x:f>IF(COUNT(I33)=1,1,0)</x:f>
        <x:v>0</x:v>
      </x:c>
    </x:row>
    <x:row r="34" ht="46" customHeight="1">
      <x:c r="A34" s="2" t="n">
        <x:v>27</x:v>
      </x:c>
      <x:c r="B34" s="2" t="n">
        <x:v>27</x:v>
      </x:c>
      <x:c r="C34" s="12" t="n">
        <x:f>'Салық календары'!J34</x:f>
        <x:v>46343</x:v>
      </x:c>
      <x:c r="D34" s="13" t="str">
        <x:v>Жер қойнаўынан пайдаланыў есабаты</x:v>
      </x:c>
      <x:c r="E34" s="14" t="n">
        <x:v>46346</x:v>
      </x:c>
      <x:c r="F34" s="14" t="str">
        <x:f>IF('Салық календары'!F34="","",'Салық календары'!F34)</x:f>
      </x:c>
      <x:c r="G34" s="2" t="str">
        <x:v>2026-10</x:v>
      </x:c>
      <x:c r="H34" s="2" t="str">
        <x:v>Q</x:v>
      </x:c>
      <x:c r="I34" s="10" t="str">
        <x:f>IF(AND(COUNTIFS('Клиентлер'!$T$8:$T$31,1)=24,COUNT('Клиентлер'!$Q$8:$Q$31)=24),COUNTIFS('Клиентлер'!$Q$8:$Q$31,1,'Клиентлер'!$T$8:$T$31,1),"")</x:f>
      </x:c>
      <x:c r="J34" s="10"/>
      <x:c r="K34" s="2" t="n">
        <x:f>SUMIFS('Күнлик есабат'!$F$8:$F$507,'Күнлик есабат'!$C$8:$C$507,A34,'Күнлик есабат'!$L$8:$L$507,0,'Күнлик есабат'!$M$8:$M$507,0)-SUMIFS('Күнлик есабат'!$H$8:$H$507,'Күнлик есабат'!$C$8:$C$507,A34,'Күнлик есабат'!$L$8:$L$507,0,'Күнлик есабат'!$M$8:$M$507,0)</x:f>
        <x:v>0</x:v>
      </x:c>
      <x:c r="L34" s="2" t="n">
        <x:f>SUMIFS('Күнлик есабат'!$G$8:$G$507,'Күнлик есабат'!$C$8:$C$507,A34,'Күнлик есабат'!$L$8:$L$507,0,'Күнлик есабат'!$M$8:$M$507,0)</x:f>
        <x:v>0</x:v>
      </x:c>
      <x:c r="M34" s="2" t="str">
        <x:f>IF(I34="","",MAX(I34-K34,0))</x:f>
      </x:c>
      <x:c r="N34" s="16" t="str">
        <x:f>IF(OR(I34="",I34=0),"",MIN(K34/I34,1))</x:f>
      </x:c>
      <x:c r="O34" s="2" t="n">
        <x:f>24-COUNTIFS('Клиентлер'!$T$8:$T$31,1)</x:f>
        <x:v>24</x:v>
      </x:c>
      <x:c r="P34" s="2" t="n">
        <x:f>IF(AND('Салық календары'!G34=1,ISNUMBER('Салық календары'!F34)),1,0)</x:f>
        <x:v>0</x:v>
      </x:c>
      <x:c r="Q34" s="2" t="str">
        <x:v>Салық</x:v>
      </x:c>
      <x:c r="R34" s="10"/>
      <x:c r="S34" s="2" t="n">
        <x:f>IF(COUNT(I34)=1,1,0)</x:f>
        <x:v>0</x:v>
      </x:c>
    </x:row>
    <x:row r="35" ht="46" customHeight="1">
      <x:c r="A35" s="2" t="n">
        <x:v>28</x:v>
      </x:c>
      <x:c r="B35" s="2" t="n">
        <x:v>28</x:v>
      </x:c>
      <x:c r="C35" s="12" t="n">
        <x:f>'Салық календары'!J35</x:f>
        <x:v>46346</x:v>
      </x:c>
      <x:c r="D35" s="13" t="str">
        <x:v>Пайда салығы авансы</x:v>
      </x:c>
      <x:c r="E35" s="14" t="n">
        <x:v>46349</x:v>
      </x:c>
      <x:c r="F35" s="14" t="str">
        <x:f>IF('Салық календары'!F35="","",'Салық календары'!F35)</x:f>
      </x:c>
      <x:c r="G35" s="2" t="str">
        <x:v>2026-11</x:v>
      </x:c>
      <x:c r="H35" s="2" t="str">
        <x:v>M</x:v>
      </x:c>
      <x:c r="I35" s="10" t="str">
        <x:f>IF(AND(COUNTIFS('Клиентлер'!$T$8:$T$31,1)=24,COUNT('Клиентлер'!$M$8:$M$31)=24),COUNTIFS('Клиентлер'!$M$8:$M$31,1,'Клиентлер'!$T$8:$T$31,1),"")</x:f>
      </x:c>
      <x:c r="J35" s="10"/>
      <x:c r="K35" s="2" t="n">
        <x:f>SUMIFS('Күнлик есабат'!$F$8:$F$507,'Күнлик есабат'!$C$8:$C$507,A35,'Күнлик есабат'!$L$8:$L$507,0,'Күнлик есабат'!$M$8:$M$507,0)-SUMIFS('Күнлик есабат'!$H$8:$H$507,'Күнлик есабат'!$C$8:$C$507,A35,'Күнлик есабат'!$L$8:$L$507,0,'Күнлик есабат'!$M$8:$M$507,0)</x:f>
        <x:v>0</x:v>
      </x:c>
      <x:c r="L35" s="2" t="n">
        <x:f>SUMIFS('Күнлик есабат'!$G$8:$G$507,'Күнлик есабат'!$C$8:$C$507,A35,'Күнлик есабат'!$L$8:$L$507,0,'Күнлик есабат'!$M$8:$M$507,0)</x:f>
        <x:v>0</x:v>
      </x:c>
      <x:c r="M35" s="2" t="str">
        <x:f>IF(I35="","",MAX(I35-K35,0))</x:f>
      </x:c>
      <x:c r="N35" s="16" t="str">
        <x:f>IF(OR(I35="",I35=0),"",MIN(K35/I35,1))</x:f>
      </x:c>
      <x:c r="O35" s="2" t="n">
        <x:f>24-COUNTIFS('Клиентлер'!$T$8:$T$31,1)</x:f>
        <x:v>24</x:v>
      </x:c>
      <x:c r="P35" s="2" t="n">
        <x:f>IF(AND('Салық календары'!G35=1,ISNUMBER('Салық календары'!F35)),1,0)</x:f>
        <x:v>0</x:v>
      </x:c>
      <x:c r="Q35" s="2" t="str">
        <x:v>Салық</x:v>
      </x:c>
      <x:c r="R35" s="10"/>
      <x:c r="S35" s="2" t="n">
        <x:f>IF(COUNT(I35)=1,1,0)</x:f>
        <x:v>0</x:v>
      </x:c>
    </x:row>
    <x:row r="36" ht="46" customHeight="1">
      <x:c r="A36" s="2" t="n">
        <x:v>29</x:v>
      </x:c>
      <x:c r="B36" s="2" t="n">
        <x:v>29</x:v>
      </x:c>
      <x:c r="C36" s="12" t="n">
        <x:f>'Салық календары'!J36</x:f>
        <x:v>46333</x:v>
      </x:c>
      <x:c r="D36" s="13" t="str">
        <x:v>Мүлк салығы айлық авансы</x:v>
      </x:c>
      <x:c r="E36" s="14" t="n">
        <x:v>46336</x:v>
      </x:c>
      <x:c r="F36" s="14" t="str">
        <x:f>IF('Салық календары'!F36="","",'Салық календары'!F36)</x:f>
      </x:c>
      <x:c r="G36" s="2" t="str">
        <x:v>2026-11</x:v>
      </x:c>
      <x:c r="H36" s="2" t="str">
        <x:v>J</x:v>
      </x:c>
      <x:c r="I36" s="10" t="str">
        <x:f>IF(AND(COUNTIFS('Клиентлер'!$T$8:$T$31,1)=24,COUNT('Клиентлер'!$J$8:$J$31)=24),COUNTIFS('Клиентлер'!$J$8:$J$31,1,'Клиентлер'!$T$8:$T$31,1,'Клиентлер'!$G$8:$G$31,0),"")</x:f>
      </x:c>
      <x:c r="J36" s="10"/>
      <x:c r="K36" s="2" t="n">
        <x:f>SUMIFS('Күнлик есабат'!$F$8:$F$507,'Күнлик есабат'!$C$8:$C$507,A36,'Күнлик есабат'!$L$8:$L$507,0,'Күнлик есабат'!$M$8:$M$507,0)-SUMIFS('Күнлик есабат'!$H$8:$H$507,'Күнлик есабат'!$C$8:$C$507,A36,'Күнлик есабат'!$L$8:$L$507,0,'Күнлик есабат'!$M$8:$M$507,0)</x:f>
        <x:v>0</x:v>
      </x:c>
      <x:c r="L36" s="2" t="n">
        <x:f>SUMIFS('Күнлик есабат'!$G$8:$G$507,'Күнлик есабат'!$C$8:$C$507,A36,'Күнлик есабат'!$L$8:$L$507,0,'Күнлик есабат'!$M$8:$M$507,0)</x:f>
        <x:v>0</x:v>
      </x:c>
      <x:c r="M36" s="2" t="str">
        <x:f>IF(I36="","",MAX(I36-K36,0))</x:f>
      </x:c>
      <x:c r="N36" s="16" t="str">
        <x:f>IF(OR(I36="",I36=0),"",MIN(K36/I36,1))</x:f>
      </x:c>
      <x:c r="O36" s="2" t="n">
        <x:f>24-COUNTIFS('Клиентлер'!$T$8:$T$31,1)</x:f>
        <x:v>24</x:v>
      </x:c>
      <x:c r="P36" s="2" t="n">
        <x:f>IF(AND('Салық календары'!G36=1,ISNUMBER('Салық календары'!F36)),1,0)</x:f>
        <x:v>0</x:v>
      </x:c>
      <x:c r="Q36" s="2" t="str">
        <x:v>Салық</x:v>
      </x:c>
      <x:c r="R36" s="10"/>
      <x:c r="S36" s="2" t="n">
        <x:f>IF(COUNT(I36)=1,1,0)</x:f>
        <x:v>0</x:v>
      </x:c>
    </x:row>
    <x:row r="37" ht="46" customHeight="1">
      <x:c r="A37" s="2" t="n">
        <x:v>30</x:v>
      </x:c>
      <x:c r="B37" s="2" t="n">
        <x:v>30</x:v>
      </x:c>
      <x:c r="C37" s="12" t="n">
        <x:f>'Салық календары'!J37</x:f>
        <x:v>46333</x:v>
      </x:c>
      <x:c r="D37" s="13" t="str">
        <x:v>Жер салығы айлық төлеми</x:v>
      </x:c>
      <x:c r="E37" s="14" t="n">
        <x:v>46336</x:v>
      </x:c>
      <x:c r="F37" s="14" t="str">
        <x:f>IF('Салық календары'!F37="","",'Салық календары'!F37)</x:f>
      </x:c>
      <x:c r="G37" s="2" t="str">
        <x:v>2026-11</x:v>
      </x:c>
      <x:c r="H37" s="2" t="str">
        <x:v>K</x:v>
      </x:c>
      <x:c r="I37" s="10" t="str">
        <x:f>IF(AND(COUNTIFS('Клиентлер'!$T$8:$T$31,1)=24,COUNT('Клиентлер'!$K$8:$K$31)=24),COUNTIFS('Клиентлер'!$K$8:$K$31,1,'Клиентлер'!$T$8:$T$31,1,'Клиентлер'!$G$8:$G$31,0),"")</x:f>
      </x:c>
      <x:c r="J37" s="10"/>
      <x:c r="K37" s="2" t="n">
        <x:f>SUMIFS('Күнлик есабат'!$F$8:$F$507,'Күнлик есабат'!$C$8:$C$507,A37,'Күнлик есабат'!$L$8:$L$507,0,'Күнлик есабат'!$M$8:$M$507,0)-SUMIFS('Күнлик есабат'!$H$8:$H$507,'Күнлик есабат'!$C$8:$C$507,A37,'Күнлик есабат'!$L$8:$L$507,0,'Күнлик есабат'!$M$8:$M$507,0)</x:f>
        <x:v>0</x:v>
      </x:c>
      <x:c r="L37" s="2" t="n">
        <x:f>SUMIFS('Күнлик есабат'!$G$8:$G$507,'Күнлик есабат'!$C$8:$C$507,A37,'Күнлик есабат'!$L$8:$L$507,0,'Күнлик есабат'!$M$8:$M$507,0)</x:f>
        <x:v>0</x:v>
      </x:c>
      <x:c r="M37" s="2" t="str">
        <x:f>IF(I37="","",MAX(I37-K37,0))</x:f>
      </x:c>
      <x:c r="N37" s="16" t="str">
        <x:f>IF(OR(I37="",I37=0),"",MIN(K37/I37,1))</x:f>
      </x:c>
      <x:c r="O37" s="2" t="n">
        <x:f>24-COUNTIFS('Клиентлер'!$T$8:$T$31,1)</x:f>
        <x:v>24</x:v>
      </x:c>
      <x:c r="P37" s="2" t="n">
        <x:f>IF(AND('Салық календары'!G37=1,ISNUMBER('Салық календары'!F37)),1,0)</x:f>
        <x:v>0</x:v>
      </x:c>
      <x:c r="Q37" s="2" t="str">
        <x:v>Салық</x:v>
      </x:c>
      <x:c r="R37" s="10"/>
      <x:c r="S37" s="2" t="n">
        <x:f>IF(COUNT(I37)=1,1,0)</x:f>
        <x:v>0</x:v>
      </x:c>
    </x:row>
    <x:row r="38" ht="46" customHeight="1">
      <x:c r="A38" s="2" t="n">
        <x:v>31</x:v>
      </x:c>
      <x:c r="B38" s="2" t="n">
        <x:v>31</x:v>
      </x:c>
      <x:c r="C38" s="12" t="n">
        <x:f>'Салық календары'!J38</x:f>
        <x:v>46343</x:v>
      </x:c>
      <x:c r="D38" s="13" t="str">
        <x:v>Суў салығы айлық авансы</x:v>
      </x:c>
      <x:c r="E38" s="14" t="n">
        <x:v>46346</x:v>
      </x:c>
      <x:c r="F38" s="14" t="str">
        <x:f>IF('Салық календары'!F38="","",'Салық календары'!F38)</x:f>
      </x:c>
      <x:c r="G38" s="2" t="str">
        <x:v>2026-11</x:v>
      </x:c>
      <x:c r="H38" s="2" t="str">
        <x:v>V</x:v>
      </x:c>
      <x:c r="I38" s="10" t="str">
        <x:f>IF(AND(COUNTIFS('Клиентлер'!$T$8:$T$31,1)=24,COUNT('Клиентлер'!$V$8:$V$31)=24),COUNTIFS('Клиентлер'!$V$8:$V$31,1,'Клиентлер'!$T$8:$T$31,1,'Клиентлер'!$G$8:$G$31,0),"")</x:f>
      </x:c>
      <x:c r="J38" s="10"/>
      <x:c r="K38" s="2" t="n">
        <x:f>SUMIFS('Күнлик есабат'!$F$8:$F$507,'Күнлик есабат'!$C$8:$C$507,A38,'Күнлик есабат'!$L$8:$L$507,0,'Күнлик есабат'!$M$8:$M$507,0)-SUMIFS('Күнлик есабат'!$H$8:$H$507,'Күнлик есабат'!$C$8:$C$507,A38,'Күнлик есабат'!$L$8:$L$507,0,'Күнлик есабат'!$M$8:$M$507,0)</x:f>
        <x:v>0</x:v>
      </x:c>
      <x:c r="L38" s="2" t="n">
        <x:f>SUMIFS('Күнлик есабат'!$G$8:$G$507,'Күнлик есабат'!$C$8:$C$507,A38,'Күнлик есабат'!$L$8:$L$507,0,'Күнлик есабат'!$M$8:$M$507,0)</x:f>
        <x:v>0</x:v>
      </x:c>
      <x:c r="M38" s="2" t="str">
        <x:f>IF(I38="","",MAX(I38-K38,0))</x:f>
      </x:c>
      <x:c r="N38" s="16" t="str">
        <x:f>IF(OR(I38="",I38=0),"",MIN(K38/I38,1))</x:f>
      </x:c>
      <x:c r="O38" s="2" t="n">
        <x:f>24-COUNTIFS('Клиентлер'!$T$8:$T$31,1)</x:f>
        <x:v>24</x:v>
      </x:c>
      <x:c r="P38" s="2" t="n">
        <x:f>IF(AND('Салық календары'!G38=1,ISNUMBER('Салық календары'!F38)),1,0)</x:f>
        <x:v>0</x:v>
      </x:c>
      <x:c r="Q38" s="2" t="str">
        <x:v>Салық</x:v>
      </x:c>
      <x:c r="R38" s="10"/>
      <x:c r="S38" s="2" t="n">
        <x:f>IF(COUNT(I38)=1,1,0)</x:f>
        <x:v>0</x:v>
      </x:c>
    </x:row>
    <x:row r="39" ht="46" customHeight="1">
      <x:c r="A39" s="2" t="n">
        <x:v>32</x:v>
      </x:c>
      <x:c r="B39" s="2" t="n">
        <x:v>32</x:v>
      </x:c>
      <x:c r="C39" s="12" t="n">
        <x:f>'Салық календары'!J39</x:f>
        <x:v>46373</x:v>
      </x:c>
      <x:c r="D39" s="13" t="str">
        <x:v>ҚҚС есабаты</x:v>
      </x:c>
      <x:c r="E39" s="14" t="n">
        <x:v>46376</x:v>
      </x:c>
      <x:c r="F39" s="14" t="str">
        <x:f>IF('Салық календары'!F39="","",'Салық календары'!F39)</x:f>
      </x:c>
      <x:c r="G39" s="2" t="str">
        <x:v>2026-11</x:v>
      </x:c>
      <x:c r="H39" s="2" t="str">
        <x:v>F</x:v>
      </x:c>
      <x:c r="I39" s="10" t="str">
        <x:f>IF(AND(COUNTIFS('Клиентлер'!$T$8:$T$31,1)=24,COUNT('Клиентлер'!$F$8:$F$31)=24),COUNTIFS('Клиентлер'!$F$8:$F$31,1,'Клиентлер'!$T$8:$T$31,1),"")</x:f>
      </x:c>
      <x:c r="J39" s="10"/>
      <x:c r="K39" s="2" t="n">
        <x:f>SUMIFS('Күнлик есабат'!$F$8:$F$507,'Күнлик есабат'!$C$8:$C$507,A39,'Күнлик есабат'!$L$8:$L$507,0,'Күнлик есабат'!$M$8:$M$507,0)-SUMIFS('Күнлик есабат'!$H$8:$H$507,'Күнлик есабат'!$C$8:$C$507,A39,'Күнлик есабат'!$L$8:$L$507,0,'Күнлик есабат'!$M$8:$M$507,0)</x:f>
        <x:v>0</x:v>
      </x:c>
      <x:c r="L39" s="2" t="n">
        <x:f>SUMIFS('Күнлик есабат'!$G$8:$G$507,'Күнлик есабат'!$C$8:$C$507,A39,'Күнлик есабат'!$L$8:$L$507,0,'Күнлик есабат'!$M$8:$M$507,0)</x:f>
        <x:v>0</x:v>
      </x:c>
      <x:c r="M39" s="2" t="str">
        <x:f>IF(I39="","",MAX(I39-K39,0))</x:f>
      </x:c>
      <x:c r="N39" s="16" t="str">
        <x:f>IF(OR(I39="",I39=0),"",MIN(K39/I39,1))</x:f>
      </x:c>
      <x:c r="O39" s="2" t="n">
        <x:f>24-COUNTIFS('Клиентлер'!$T$8:$T$31,1)</x:f>
        <x:v>24</x:v>
      </x:c>
      <x:c r="P39" s="2" t="n">
        <x:f>IF(AND('Салық календары'!G39=1,ISNUMBER('Салық календары'!F39)),1,0)</x:f>
        <x:v>0</x:v>
      </x:c>
      <x:c r="Q39" s="2" t="str">
        <x:v>Салық</x:v>
      </x:c>
      <x:c r="R39" s="10"/>
      <x:c r="S39" s="2" t="n">
        <x:f>IF(COUNT(I39)=1,1,0)</x:f>
        <x:v>0</x:v>
      </x:c>
    </x:row>
    <x:row r="40" ht="46" customHeight="1">
      <x:c r="A40" s="2" t="n">
        <x:v>33</x:v>
      </x:c>
      <x:c r="B40" s="2" t="n">
        <x:v>33</x:v>
      </x:c>
      <x:c r="C40" s="12" t="n">
        <x:f>'Салық календары'!J40</x:f>
        <x:v>46373</x:v>
      </x:c>
      <x:c r="D40" s="13" t="str">
        <x:v>ҚҚС төлеми</x:v>
      </x:c>
      <x:c r="E40" s="14" t="n">
        <x:v>46376</x:v>
      </x:c>
      <x:c r="F40" s="14" t="str">
        <x:f>IF('Салық календары'!F40="","",'Салық календары'!F40)</x:f>
      </x:c>
      <x:c r="G40" s="2" t="str">
        <x:v>2026-11</x:v>
      </x:c>
      <x:c r="H40" s="2" t="str">
        <x:v>F</x:v>
      </x:c>
      <x:c r="I40" s="10" t="str">
        <x:f>IF(AND(COUNTIFS('Клиентлер'!$T$8:$T$31,1)=24,COUNT('Клиентлер'!$F$8:$F$31)=24),COUNTIFS('Клиентлер'!$F$8:$F$31,1,'Клиентлер'!$T$8:$T$31,1),"")</x:f>
      </x:c>
      <x:c r="J40" s="10"/>
      <x:c r="K40" s="2" t="n">
        <x:f>SUMIFS('Күнлик есабат'!$F$8:$F$507,'Күнлик есабат'!$C$8:$C$507,A40,'Күнлик есабат'!$L$8:$L$507,0,'Күнлик есабат'!$M$8:$M$507,0)-SUMIFS('Күнлик есабат'!$H$8:$H$507,'Күнлик есабат'!$C$8:$C$507,A40,'Күнлик есабат'!$L$8:$L$507,0,'Күнлик есабат'!$M$8:$M$507,0)</x:f>
        <x:v>0</x:v>
      </x:c>
      <x:c r="L40" s="2" t="n">
        <x:f>SUMIFS('Күнлик есабат'!$G$8:$G$507,'Күнлик есабат'!$C$8:$C$507,A40,'Күнлик есабат'!$L$8:$L$507,0,'Күнлик есабат'!$M$8:$M$507,0)</x:f>
        <x:v>0</x:v>
      </x:c>
      <x:c r="M40" s="2" t="str">
        <x:f>IF(I40="","",MAX(I40-K40,0))</x:f>
      </x:c>
      <x:c r="N40" s="16" t="str">
        <x:f>IF(OR(I40="",I40=0),"",MIN(K40/I40,1))</x:f>
      </x:c>
      <x:c r="O40" s="2" t="n">
        <x:f>24-COUNTIFS('Клиентлер'!$T$8:$T$31,1)</x:f>
        <x:v>24</x:v>
      </x:c>
      <x:c r="P40" s="2" t="n">
        <x:f>IF(AND('Салық календары'!G40=1,ISNUMBER('Салық календары'!F40)),1,0)</x:f>
        <x:v>0</x:v>
      </x:c>
      <x:c r="Q40" s="2" t="str">
        <x:v>Салық</x:v>
      </x:c>
      <x:c r="R40" s="10"/>
      <x:c r="S40" s="2" t="n">
        <x:f>IF(COUNT(I40)=1,1,0)</x:f>
        <x:v>0</x:v>
      </x:c>
    </x:row>
    <x:row r="41" ht="46" customHeight="1">
      <x:c r="A41" s="2" t="n">
        <x:v>34</x:v>
      </x:c>
      <x:c r="B41" s="2" t="n">
        <x:v>34</x:v>
      </x:c>
      <x:c r="C41" s="12" t="n">
        <x:f>'Салық календары'!J41</x:f>
        <x:v>46368</x:v>
      </x:c>
      <x:c r="D41" s="13" t="str">
        <x:v>Айланба салығы есабаты</x:v>
      </x:c>
      <x:c r="E41" s="14" t="n">
        <x:v>46371</x:v>
      </x:c>
      <x:c r="F41" s="14" t="str">
        <x:f>IF('Салық календары'!F41="","",'Салық календары'!F41)</x:f>
      </x:c>
      <x:c r="G41" s="2" t="str">
        <x:v>2026-11</x:v>
      </x:c>
      <x:c r="H41" s="2" t="str">
        <x:v>G</x:v>
      </x:c>
      <x:c r="I41" s="10" t="str">
        <x:f>IF(AND(COUNTIFS('Клиентлер'!$T$8:$T$31,1)=24,COUNT('Клиентлер'!$G$8:$G$31)=24),COUNTIFS('Клиентлер'!$G$8:$G$31,1,'Клиентлер'!$T$8:$T$31,1),"")</x:f>
      </x:c>
      <x:c r="J41" s="10"/>
      <x:c r="K41" s="2" t="n">
        <x:f>SUMIFS('Күнлик есабат'!$F$8:$F$507,'Күнлик есабат'!$C$8:$C$507,A41,'Күнлик есабат'!$L$8:$L$507,0,'Күнлик есабат'!$M$8:$M$507,0)-SUMIFS('Күнлик есабат'!$H$8:$H$507,'Күнлик есабат'!$C$8:$C$507,A41,'Күнлик есабат'!$L$8:$L$507,0,'Күнлик есабат'!$M$8:$M$507,0)</x:f>
        <x:v>0</x:v>
      </x:c>
      <x:c r="L41" s="2" t="n">
        <x:f>SUMIFS('Күнлик есабат'!$G$8:$G$507,'Күнлик есабат'!$C$8:$C$507,A41,'Күнлик есабат'!$L$8:$L$507,0,'Күнлик есабат'!$M$8:$M$507,0)</x:f>
        <x:v>0</x:v>
      </x:c>
      <x:c r="M41" s="2" t="str">
        <x:f>IF(I41="","",MAX(I41-K41,0))</x:f>
      </x:c>
      <x:c r="N41" s="16" t="str">
        <x:f>IF(OR(I41="",I41=0),"",MIN(K41/I41,1))</x:f>
      </x:c>
      <x:c r="O41" s="2" t="n">
        <x:f>24-COUNTIFS('Клиентлер'!$T$8:$T$31,1)</x:f>
        <x:v>24</x:v>
      </x:c>
      <x:c r="P41" s="2" t="n">
        <x:f>IF(AND('Салық календары'!G41=1,ISNUMBER('Салық календары'!F41)),1,0)</x:f>
        <x:v>0</x:v>
      </x:c>
      <x:c r="Q41" s="2" t="str">
        <x:v>Салық</x:v>
      </x:c>
      <x:c r="R41" s="10"/>
      <x:c r="S41" s="2" t="n">
        <x:f>IF(COUNT(I41)=1,1,0)</x:f>
        <x:v>0</x:v>
      </x:c>
    </x:row>
    <x:row r="42" ht="46" customHeight="1">
      <x:c r="A42" s="2" t="n">
        <x:v>35</x:v>
      </x:c>
      <x:c r="B42" s="2" t="n">
        <x:v>35</x:v>
      </x:c>
      <x:c r="C42" s="12" t="n">
        <x:f>'Салық календары'!J42</x:f>
        <x:v>46368</x:v>
      </x:c>
      <x:c r="D42" s="13" t="str">
        <x:v>Айланба салығы төлеми</x:v>
      </x:c>
      <x:c r="E42" s="14" t="n">
        <x:v>46371</x:v>
      </x:c>
      <x:c r="F42" s="14" t="str">
        <x:f>IF('Салық календары'!F42="","",'Салық календары'!F42)</x:f>
      </x:c>
      <x:c r="G42" s="2" t="str">
        <x:v>2026-11</x:v>
      </x:c>
      <x:c r="H42" s="2" t="str">
        <x:v>G</x:v>
      </x:c>
      <x:c r="I42" s="10" t="str">
        <x:f>IF(AND(COUNTIFS('Клиентлер'!$T$8:$T$31,1)=24,COUNT('Клиентлер'!$G$8:$G$31)=24),COUNTIFS('Клиентлер'!$G$8:$G$31,1,'Клиентлер'!$T$8:$T$31,1),"")</x:f>
      </x:c>
      <x:c r="J42" s="10"/>
      <x:c r="K42" s="2" t="n">
        <x:f>SUMIFS('Күнлик есабат'!$F$8:$F$507,'Күнлик есабат'!$C$8:$C$507,A42,'Күнлик есабат'!$L$8:$L$507,0,'Күнлик есабат'!$M$8:$M$507,0)-SUMIFS('Күнлик есабат'!$H$8:$H$507,'Күнлик есабат'!$C$8:$C$507,A42,'Күнлик есабат'!$L$8:$L$507,0,'Күнлик есабат'!$M$8:$M$507,0)</x:f>
        <x:v>0</x:v>
      </x:c>
      <x:c r="L42" s="2" t="n">
        <x:f>SUMIFS('Күнлик есабат'!$G$8:$G$507,'Күнлик есабат'!$C$8:$C$507,A42,'Күнлик есабат'!$L$8:$L$507,0,'Күнлик есабат'!$M$8:$M$507,0)</x:f>
        <x:v>0</x:v>
      </x:c>
      <x:c r="M42" s="2" t="str">
        <x:f>IF(I42="","",MAX(I42-K42,0))</x:f>
      </x:c>
      <x:c r="N42" s="16" t="str">
        <x:f>IF(OR(I42="",I42=0),"",MIN(K42/I42,1))</x:f>
      </x:c>
      <x:c r="O42" s="2" t="n">
        <x:f>24-COUNTIFS('Клиентлер'!$T$8:$T$31,1)</x:f>
        <x:v>24</x:v>
      </x:c>
      <x:c r="P42" s="2" t="n">
        <x:f>IF(AND('Салық календары'!G42=1,ISNUMBER('Салық календары'!F42)),1,0)</x:f>
        <x:v>0</x:v>
      </x:c>
      <x:c r="Q42" s="2" t="str">
        <x:v>Салық</x:v>
      </x:c>
      <x:c r="R42" s="10"/>
      <x:c r="S42" s="2" t="n">
        <x:f>IF(COUNT(I42)=1,1,0)</x:f>
        <x:v>0</x:v>
      </x:c>
    </x:row>
    <x:row r="43" ht="46" customHeight="1">
      <x:c r="A43" s="2" t="n">
        <x:v>36</x:v>
      </x:c>
      <x:c r="B43" s="2" t="n">
        <x:v>36</x:v>
      </x:c>
      <x:c r="C43" s="12" t="n">
        <x:f>'Салық календары'!J43</x:f>
        <x:v>46368</x:v>
      </x:c>
      <x:c r="D43" s="13" t="str">
        <x:v>Дәрамат салығы есабаты</x:v>
      </x:c>
      <x:c r="E43" s="14" t="n">
        <x:v>46371</x:v>
      </x:c>
      <x:c r="F43" s="14" t="str">
        <x:f>IF('Салық календары'!F43="","",'Салық календары'!F43)</x:f>
      </x:c>
      <x:c r="G43" s="2" t="str">
        <x:v>2026-11</x:v>
      </x:c>
      <x:c r="H43" s="2" t="str">
        <x:v>I</x:v>
      </x:c>
      <x:c r="I43" s="10" t="str">
        <x:f>IF(AND(COUNTIFS('Клиентлер'!$T$8:$T$31,1)=24,COUNT('Клиентлер'!$I$8:$I$31)=24),COUNTIFS('Клиентлер'!$I$8:$I$31,1,'Клиентлер'!$T$8:$T$31,1),"")</x:f>
      </x:c>
      <x:c r="J43" s="10"/>
      <x:c r="K43" s="2" t="n">
        <x:f>SUMIFS('Күнлик есабат'!$F$8:$F$507,'Күнлик есабат'!$C$8:$C$507,A43,'Күнлик есабат'!$L$8:$L$507,0,'Күнлик есабат'!$M$8:$M$507,0)-SUMIFS('Күнлик есабат'!$H$8:$H$507,'Күнлик есабат'!$C$8:$C$507,A43,'Күнлик есабат'!$L$8:$L$507,0,'Күнлик есабат'!$M$8:$M$507,0)</x:f>
        <x:v>0</x:v>
      </x:c>
      <x:c r="L43" s="2" t="n">
        <x:f>SUMIFS('Күнлик есабат'!$G$8:$G$507,'Күнлик есабат'!$C$8:$C$507,A43,'Күнлик есабат'!$L$8:$L$507,0,'Күнлик есабат'!$M$8:$M$507,0)</x:f>
        <x:v>0</x:v>
      </x:c>
      <x:c r="M43" s="2" t="str">
        <x:f>IF(I43="","",MAX(I43-K43,0))</x:f>
      </x:c>
      <x:c r="N43" s="16" t="str">
        <x:f>IF(OR(I43="",I43=0),"",MIN(K43/I43,1))</x:f>
      </x:c>
      <x:c r="O43" s="2" t="n">
        <x:f>24-COUNTIFS('Клиентлер'!$T$8:$T$31,1)</x:f>
        <x:v>24</x:v>
      </x:c>
      <x:c r="P43" s="2" t="n">
        <x:f>IF(AND('Салық календары'!G43=1,ISNUMBER('Салық календары'!F43)),1,0)</x:f>
        <x:v>0</x:v>
      </x:c>
      <x:c r="Q43" s="2" t="str">
        <x:v>Салық</x:v>
      </x:c>
      <x:c r="R43" s="10"/>
      <x:c r="S43" s="2" t="n">
        <x:f>IF(COUNT(I43)=1,1,0)</x:f>
        <x:v>0</x:v>
      </x:c>
    </x:row>
    <x:row r="44" ht="46" customHeight="1">
      <x:c r="A44" s="2" t="n">
        <x:v>37</x:v>
      </x:c>
      <x:c r="B44" s="2" t="n">
        <x:v>37</x:v>
      </x:c>
      <x:c r="C44" s="12" t="n">
        <x:f>'Салық календары'!J44</x:f>
        <x:v>46368</x:v>
      </x:c>
      <x:c r="D44" s="13" t="str">
        <x:v>Социаллық салық есабаты</x:v>
      </x:c>
      <x:c r="E44" s="14" t="n">
        <x:v>46371</x:v>
      </x:c>
      <x:c r="F44" s="14" t="str">
        <x:f>IF('Салық календары'!F44="","",'Салық календары'!F44)</x:f>
      </x:c>
      <x:c r="G44" s="2" t="str">
        <x:v>2026-11</x:v>
      </x:c>
      <x:c r="H44" s="2" t="str">
        <x:v>I</x:v>
      </x:c>
      <x:c r="I44" s="10" t="str">
        <x:f>IF(AND(COUNTIFS('Клиентлер'!$T$8:$T$31,1)=24,COUNT('Клиентлер'!$I$8:$I$31)=24),COUNTIFS('Клиентлер'!$I$8:$I$31,1,'Клиентлер'!$T$8:$T$31,1),"")</x:f>
      </x:c>
      <x:c r="J44" s="10"/>
      <x:c r="K44" s="2" t="n">
        <x:f>SUMIFS('Күнлик есабат'!$F$8:$F$507,'Күнлик есабат'!$C$8:$C$507,A44,'Күнлик есабат'!$L$8:$L$507,0,'Күнлик есабат'!$M$8:$M$507,0)-SUMIFS('Күнлик есабат'!$H$8:$H$507,'Күнлик есабат'!$C$8:$C$507,A44,'Күнлик есабат'!$L$8:$L$507,0,'Күнлик есабат'!$M$8:$M$507,0)</x:f>
        <x:v>0</x:v>
      </x:c>
      <x:c r="L44" s="2" t="n">
        <x:f>SUMIFS('Күнлик есабат'!$G$8:$G$507,'Күнлик есабат'!$C$8:$C$507,A44,'Күнлик есабат'!$L$8:$L$507,0,'Күнлик есабат'!$M$8:$M$507,0)</x:f>
        <x:v>0</x:v>
      </x:c>
      <x:c r="M44" s="2" t="str">
        <x:f>IF(I44="","",MAX(I44-K44,0))</x:f>
      </x:c>
      <x:c r="N44" s="16" t="str">
        <x:f>IF(OR(I44="",I44=0),"",MIN(K44/I44,1))</x:f>
      </x:c>
      <x:c r="O44" s="2" t="n">
        <x:f>24-COUNTIFS('Клиентлер'!$T$8:$T$31,1)</x:f>
        <x:v>24</x:v>
      </x:c>
      <x:c r="P44" s="2" t="n">
        <x:f>IF(AND('Салық календары'!G44=1,ISNUMBER('Салық календары'!F44)),1,0)</x:f>
        <x:v>0</x:v>
      </x:c>
      <x:c r="Q44" s="2" t="str">
        <x:v>Салық</x:v>
      </x:c>
      <x:c r="R44" s="10"/>
      <x:c r="S44" s="2" t="n">
        <x:f>IF(COUNT(I44)=1,1,0)</x:f>
        <x:v>0</x:v>
      </x:c>
    </x:row>
    <x:row r="45" ht="46" customHeight="1">
      <x:c r="A45" s="2" t="n">
        <x:v>38</x:v>
      </x:c>
      <x:c r="B45" s="2" t="n">
        <x:v>38</x:v>
      </x:c>
      <x:c r="C45" s="12" t="n">
        <x:f>'Салық календары'!J45</x:f>
        <x:v>46368</x:v>
      </x:c>
      <x:c r="D45" s="13" t="str">
        <x:v>Социаллық салық төлеми</x:v>
      </x:c>
      <x:c r="E45" s="14" t="n">
        <x:v>46371</x:v>
      </x:c>
      <x:c r="F45" s="14" t="str">
        <x:f>IF('Салық календары'!F45="","",'Салық календары'!F45)</x:f>
      </x:c>
      <x:c r="G45" s="2" t="str">
        <x:v>2026-11</x:v>
      </x:c>
      <x:c r="H45" s="2" t="str">
        <x:v>I</x:v>
      </x:c>
      <x:c r="I45" s="10" t="str">
        <x:f>IF(AND(COUNTIFS('Клиентлер'!$T$8:$T$31,1)=24,COUNT('Клиентлер'!$I$8:$I$31)=24),COUNTIFS('Клиентлер'!$I$8:$I$31,1,'Клиентлер'!$T$8:$T$31,1),"")</x:f>
      </x:c>
      <x:c r="J45" s="10"/>
      <x:c r="K45" s="2" t="n">
        <x:f>SUMIFS('Күнлик есабат'!$F$8:$F$507,'Күнлик есабат'!$C$8:$C$507,A45,'Күнлик есабат'!$L$8:$L$507,0,'Күнлик есабат'!$M$8:$M$507,0)-SUMIFS('Күнлик есабат'!$H$8:$H$507,'Күнлик есабат'!$C$8:$C$507,A45,'Күнлик есабат'!$L$8:$L$507,0,'Күнлик есабат'!$M$8:$M$507,0)</x:f>
        <x:v>0</x:v>
      </x:c>
      <x:c r="L45" s="2" t="n">
        <x:f>SUMIFS('Күнлик есабат'!$G$8:$G$507,'Күнлик есабат'!$C$8:$C$507,A45,'Күнлик есабат'!$L$8:$L$507,0,'Күнлик есабат'!$M$8:$M$507,0)</x:f>
        <x:v>0</x:v>
      </x:c>
      <x:c r="M45" s="2" t="str">
        <x:f>IF(I45="","",MAX(I45-K45,0))</x:f>
      </x:c>
      <x:c r="N45" s="16" t="str">
        <x:f>IF(OR(I45="",I45=0),"",MIN(K45/I45,1))</x:f>
      </x:c>
      <x:c r="O45" s="2" t="n">
        <x:f>24-COUNTIFS('Клиентлер'!$T$8:$T$31,1)</x:f>
        <x:v>24</x:v>
      </x:c>
      <x:c r="P45" s="2" t="n">
        <x:f>IF(AND('Салық календары'!G45=1,ISNUMBER('Салық календары'!F45)),1,0)</x:f>
        <x:v>0</x:v>
      </x:c>
      <x:c r="Q45" s="2" t="str">
        <x:v>Салық</x:v>
      </x:c>
      <x:c r="R45" s="10"/>
      <x:c r="S45" s="2" t="n">
        <x:f>IF(COUNT(I45)=1,1,0)</x:f>
        <x:v>0</x:v>
      </x:c>
    </x:row>
    <x:row r="46" ht="46" customHeight="1">
      <x:c r="A46" s="2" t="n">
        <x:v>39</x:v>
      </x:c>
      <x:c r="B46" s="2" t="n">
        <x:v>39</x:v>
      </x:c>
      <x:c r="C46" s="12" t="n">
        <x:f>'Салық календары'!J46</x:f>
        <x:v>46363</x:v>
      </x:c>
      <x:c r="D46" s="13" t="str">
        <x:v>Акциз есабаты ҳәм төлемин тексериў</x:v>
      </x:c>
      <x:c r="E46" s="14" t="n">
        <x:v>46366</x:v>
      </x:c>
      <x:c r="F46" s="14" t="str">
        <x:f>IF('Салық календары'!F46="","",'Салық календары'!F46)</x:f>
      </x:c>
      <x:c r="G46" s="2" t="str">
        <x:v>2026-11</x:v>
      </x:c>
      <x:c r="H46" s="2" t="str">
        <x:v>N</x:v>
      </x:c>
      <x:c r="I46" s="10" t="str">
        <x:f>IF(AND(COUNTIFS('Клиентлер'!$T$8:$T$31,1)=24,COUNT('Клиентлер'!$N$8:$N$31)=24),COUNTIFS('Клиентлер'!$N$8:$N$31,1,'Клиентлер'!$T$8:$T$31,1),"")</x:f>
      </x:c>
      <x:c r="J46" s="10"/>
      <x:c r="K46" s="2" t="n">
        <x:f>SUMIFS('Күнлик есабат'!$F$8:$F$507,'Күнлик есабат'!$C$8:$C$507,A46,'Күнлик есабат'!$L$8:$L$507,0,'Күнлик есабат'!$M$8:$M$507,0)-SUMIFS('Күнлик есабат'!$H$8:$H$507,'Күнлик есабат'!$C$8:$C$507,A46,'Күнлик есабат'!$L$8:$L$507,0,'Күнлик есабат'!$M$8:$M$507,0)</x:f>
        <x:v>0</x:v>
      </x:c>
      <x:c r="L46" s="2" t="n">
        <x:f>SUMIFS('Күнлик есабат'!$G$8:$G$507,'Күнлик есабат'!$C$8:$C$507,A46,'Күнлик есабат'!$L$8:$L$507,0,'Күнлик есабат'!$M$8:$M$507,0)</x:f>
        <x:v>0</x:v>
      </x:c>
      <x:c r="M46" s="2" t="str">
        <x:f>IF(I46="","",MAX(I46-K46,0))</x:f>
      </x:c>
      <x:c r="N46" s="16" t="str">
        <x:f>IF(OR(I46="",I46=0),"",MIN(K46/I46,1))</x:f>
      </x:c>
      <x:c r="O46" s="2" t="n">
        <x:f>24-COUNTIFS('Клиентлер'!$T$8:$T$31,1)</x:f>
        <x:v>24</x:v>
      </x:c>
      <x:c r="P46" s="2" t="n">
        <x:f>IF(AND('Салық календары'!G46=1,ISNUMBER('Салық календары'!F46)),1,0)</x:f>
        <x:v>0</x:v>
      </x:c>
      <x:c r="Q46" s="2" t="str">
        <x:v>Салық</x:v>
      </x:c>
      <x:c r="R46" s="10"/>
      <x:c r="S46" s="2" t="n">
        <x:f>IF(COUNT(I46)=1,1,0)</x:f>
        <x:v>0</x:v>
      </x:c>
    </x:row>
    <x:row r="47" ht="46" customHeight="1">
      <x:c r="A47" s="2" t="n">
        <x:v>40</x:v>
      </x:c>
      <x:c r="B47" s="2" t="n">
        <x:v>40</x:v>
      </x:c>
      <x:c r="C47" s="12" t="n">
        <x:f>'Салық календары'!J47</x:f>
        <x:v>46373</x:v>
      </x:c>
      <x:c r="D47" s="13" t="str">
        <x:v>Дивиденд ҳәм процент салығы есабаты</x:v>
      </x:c>
      <x:c r="E47" s="14" t="n">
        <x:v>46376</x:v>
      </x:c>
      <x:c r="F47" s="14" t="str">
        <x:f>IF('Салық календары'!F47="","",'Салық календары'!F47)</x:f>
      </x:c>
      <x:c r="G47" s="2" t="str">
        <x:v>2026-11</x:v>
      </x:c>
      <x:c r="H47" s="2" t="str">
        <x:v>O</x:v>
      </x:c>
      <x:c r="I47" s="10" t="str">
        <x:f>IF(AND(COUNTIFS('Клиентлер'!$T$8:$T$31,1)=24,COUNT('Клиентлер'!$O$8:$O$31)=24),COUNTIFS('Клиентлер'!$O$8:$O$31,1,'Клиентлер'!$T$8:$T$31,1),"")</x:f>
      </x:c>
      <x:c r="J47" s="10"/>
      <x:c r="K47" s="2" t="n">
        <x:f>SUMIFS('Күнлик есабат'!$F$8:$F$507,'Күнлик есабат'!$C$8:$C$507,A47,'Күнлик есабат'!$L$8:$L$507,0,'Күнлик есабат'!$M$8:$M$507,0)-SUMIFS('Күнлик есабат'!$H$8:$H$507,'Күнлик есабат'!$C$8:$C$507,A47,'Күнлик есабат'!$L$8:$L$507,0,'Күнлик есабат'!$M$8:$M$507,0)</x:f>
        <x:v>0</x:v>
      </x:c>
      <x:c r="L47" s="2" t="n">
        <x:f>SUMIFS('Күнлик есабат'!$G$8:$G$507,'Күнлик есабат'!$C$8:$C$507,A47,'Күнлик есабат'!$L$8:$L$507,0,'Күнлик есабат'!$M$8:$M$507,0)</x:f>
        <x:v>0</x:v>
      </x:c>
      <x:c r="M47" s="2" t="str">
        <x:f>IF(I47="","",MAX(I47-K47,0))</x:f>
      </x:c>
      <x:c r="N47" s="16" t="str">
        <x:f>IF(OR(I47="",I47=0),"",MIN(K47/I47,1))</x:f>
      </x:c>
      <x:c r="O47" s="2" t="n">
        <x:f>24-COUNTIFS('Клиентлер'!$T$8:$T$31,1)</x:f>
        <x:v>24</x:v>
      </x:c>
      <x:c r="P47" s="2" t="n">
        <x:f>IF(AND('Салық календары'!G47=1,ISNUMBER('Салық календары'!F47)),1,0)</x:f>
        <x:v>0</x:v>
      </x:c>
      <x:c r="Q47" s="2" t="str">
        <x:v>Салық</x:v>
      </x:c>
      <x:c r="R47" s="10"/>
      <x:c r="S47" s="2" t="n">
        <x:f>IF(COUNT(I47)=1,1,0)</x:f>
        <x:v>0</x:v>
      </x:c>
    </x:row>
    <x:row r="48" ht="46" customHeight="1">
      <x:c r="A48" s="2" t="n">
        <x:v>41</x:v>
      </x:c>
      <x:c r="B48" s="2" t="n">
        <x:v>41</x:v>
      </x:c>
      <x:c r="C48" s="12" t="n">
        <x:f>'Салық календары'!J48</x:f>
        <x:v>46373</x:v>
      </x:c>
      <x:c r="D48" s="13" t="str">
        <x:v>Норезидент дәраматы салығы есабаты</x:v>
      </x:c>
      <x:c r="E48" s="14" t="n">
        <x:v>46376</x:v>
      </x:c>
      <x:c r="F48" s="14" t="str">
        <x:f>IF('Салық календары'!F48="","",'Салық календары'!F48)</x:f>
      </x:c>
      <x:c r="G48" s="2" t="str">
        <x:v>2026-11</x:v>
      </x:c>
      <x:c r="H48" s="2" t="str">
        <x:v>P</x:v>
      </x:c>
      <x:c r="I48" s="10" t="str">
        <x:f>IF(AND(COUNTIFS('Клиентлер'!$T$8:$T$31,1)=24,COUNT('Клиентлер'!$P$8:$P$31)=24),COUNTIFS('Клиентлер'!$P$8:$P$31,1,'Клиентлер'!$T$8:$T$31,1),"")</x:f>
      </x:c>
      <x:c r="J48" s="10"/>
      <x:c r="K48" s="2" t="n">
        <x:f>SUMIFS('Күнлик есабат'!$F$8:$F$507,'Күнлик есабат'!$C$8:$C$507,A48,'Күнлик есабат'!$L$8:$L$507,0,'Күнлик есабат'!$M$8:$M$507,0)-SUMIFS('Күнлик есабат'!$H$8:$H$507,'Күнлик есабат'!$C$8:$C$507,A48,'Күнлик есабат'!$L$8:$L$507,0,'Күнлик есабат'!$M$8:$M$507,0)</x:f>
        <x:v>0</x:v>
      </x:c>
      <x:c r="L48" s="2" t="n">
        <x:f>SUMIFS('Күнлик есабат'!$G$8:$G$507,'Күнлик есабат'!$C$8:$C$507,A48,'Күнлик есабат'!$L$8:$L$507,0,'Күнлик есабат'!$M$8:$M$507,0)</x:f>
        <x:v>0</x:v>
      </x:c>
      <x:c r="M48" s="2" t="str">
        <x:f>IF(I48="","",MAX(I48-K48,0))</x:f>
      </x:c>
      <x:c r="N48" s="16" t="str">
        <x:f>IF(OR(I48="",I48=0),"",MIN(K48/I48,1))</x:f>
      </x:c>
      <x:c r="O48" s="2" t="n">
        <x:f>24-COUNTIFS('Клиентлер'!$T$8:$T$31,1)</x:f>
        <x:v>24</x:v>
      </x:c>
      <x:c r="P48" s="2" t="n">
        <x:f>IF(AND('Салық календары'!G48=1,ISNUMBER('Салық календары'!F48)),1,0)</x:f>
        <x:v>0</x:v>
      </x:c>
      <x:c r="Q48" s="2" t="str">
        <x:v>Салық</x:v>
      </x:c>
      <x:c r="R48" s="10"/>
      <x:c r="S48" s="2" t="n">
        <x:f>IF(COUNT(I48)=1,1,0)</x:f>
        <x:v>0</x:v>
      </x:c>
    </x:row>
    <x:row r="49" ht="46" customHeight="1">
      <x:c r="A49" s="2" t="n">
        <x:v>42</x:v>
      </x:c>
      <x:c r="B49" s="2" t="n">
        <x:v>42</x:v>
      </x:c>
      <x:c r="C49" s="12" t="n">
        <x:f>'Салық календары'!J49</x:f>
        <x:v>46373</x:v>
      </x:c>
      <x:c r="D49" s="13" t="str">
        <x:v>Жер қойнаўынан пайдаланыў есабаты</x:v>
      </x:c>
      <x:c r="E49" s="14" t="n">
        <x:v>46376</x:v>
      </x:c>
      <x:c r="F49" s="14" t="str">
        <x:f>IF('Салық календары'!F49="","",'Салық календары'!F49)</x:f>
      </x:c>
      <x:c r="G49" s="2" t="str">
        <x:v>2026-11</x:v>
      </x:c>
      <x:c r="H49" s="2" t="str">
        <x:v>Q</x:v>
      </x:c>
      <x:c r="I49" s="10" t="str">
        <x:f>IF(AND(COUNTIFS('Клиентлер'!$T$8:$T$31,1)=24,COUNT('Клиентлер'!$Q$8:$Q$31)=24),COUNTIFS('Клиентлер'!$Q$8:$Q$31,1,'Клиентлер'!$T$8:$T$31,1),"")</x:f>
      </x:c>
      <x:c r="J49" s="10"/>
      <x:c r="K49" s="2" t="n">
        <x:f>SUMIFS('Күнлик есабат'!$F$8:$F$507,'Күнлик есабат'!$C$8:$C$507,A49,'Күнлик есабат'!$L$8:$L$507,0,'Күнлик есабат'!$M$8:$M$507,0)-SUMIFS('Күнлик есабат'!$H$8:$H$507,'Күнлик есабат'!$C$8:$C$507,A49,'Күнлик есабат'!$L$8:$L$507,0,'Күнлик есабат'!$M$8:$M$507,0)</x:f>
        <x:v>0</x:v>
      </x:c>
      <x:c r="L49" s="2" t="n">
        <x:f>SUMIFS('Күнлик есабат'!$G$8:$G$507,'Күнлик есабат'!$C$8:$C$507,A49,'Күнлик есабат'!$L$8:$L$507,0,'Күнлик есабат'!$M$8:$M$507,0)</x:f>
        <x:v>0</x:v>
      </x:c>
      <x:c r="M49" s="2" t="str">
        <x:f>IF(I49="","",MAX(I49-K49,0))</x:f>
      </x:c>
      <x:c r="N49" s="16" t="str">
        <x:f>IF(OR(I49="",I49=0),"",MIN(K49/I49,1))</x:f>
      </x:c>
      <x:c r="O49" s="2" t="n">
        <x:f>24-COUNTIFS('Клиентлер'!$T$8:$T$31,1)</x:f>
        <x:v>24</x:v>
      </x:c>
      <x:c r="P49" s="2" t="n">
        <x:f>IF(AND('Салық календары'!G49=1,ISNUMBER('Салық календары'!F49)),1,0)</x:f>
        <x:v>0</x:v>
      </x:c>
      <x:c r="Q49" s="2" t="str">
        <x:v>Салық</x:v>
      </x:c>
      <x:c r="R49" s="10"/>
      <x:c r="S49" s="2" t="n">
        <x:f>IF(COUNT(I49)=1,1,0)</x:f>
        <x:v>0</x:v>
      </x:c>
    </x:row>
    <x:row r="50" ht="46" customHeight="1">
      <x:c r="A50" s="2" t="n">
        <x:v>43</x:v>
      </x:c>
      <x:c r="B50" s="2" t="n">
        <x:v>43</x:v>
      </x:c>
      <x:c r="C50" s="12" t="n">
        <x:f>'Салық календары'!J50</x:f>
        <x:v>46376</x:v>
      </x:c>
      <x:c r="D50" s="13" t="str">
        <x:v>Пайда салығы авансы</x:v>
      </x:c>
      <x:c r="E50" s="14" t="n">
        <x:v>46379</x:v>
      </x:c>
      <x:c r="F50" s="14" t="str">
        <x:f>IF('Салық календары'!F50="","",'Салық календары'!F50)</x:f>
      </x:c>
      <x:c r="G50" s="2" t="str">
        <x:v>2026-12</x:v>
      </x:c>
      <x:c r="H50" s="2" t="str">
        <x:v>M</x:v>
      </x:c>
      <x:c r="I50" s="10" t="str">
        <x:f>IF(AND(COUNTIFS('Клиентлер'!$T$8:$T$31,1)=24,COUNT('Клиентлер'!$M$8:$M$31)=24),COUNTIFS('Клиентлер'!$M$8:$M$31,1,'Клиентлер'!$T$8:$T$31,1),"")</x:f>
      </x:c>
      <x:c r="J50" s="10"/>
      <x:c r="K50" s="2" t="n">
        <x:f>SUMIFS('Күнлик есабат'!$F$8:$F$507,'Күнлик есабат'!$C$8:$C$507,A50,'Күнлик есабат'!$L$8:$L$507,0,'Күнлик есабат'!$M$8:$M$507,0)-SUMIFS('Күнлик есабат'!$H$8:$H$507,'Күнлик есабат'!$C$8:$C$507,A50,'Күнлик есабат'!$L$8:$L$507,0,'Күнлик есабат'!$M$8:$M$507,0)</x:f>
        <x:v>0</x:v>
      </x:c>
      <x:c r="L50" s="2" t="n">
        <x:f>SUMIFS('Күнлик есабат'!$G$8:$G$507,'Күнлик есабат'!$C$8:$C$507,A50,'Күнлик есабат'!$L$8:$L$507,0,'Күнлик есабат'!$M$8:$M$507,0)</x:f>
        <x:v>0</x:v>
      </x:c>
      <x:c r="M50" s="2" t="str">
        <x:f>IF(I50="","",MAX(I50-K50,0))</x:f>
      </x:c>
      <x:c r="N50" s="16" t="str">
        <x:f>IF(OR(I50="",I50=0),"",MIN(K50/I50,1))</x:f>
      </x:c>
      <x:c r="O50" s="2" t="n">
        <x:f>24-COUNTIFS('Клиентлер'!$T$8:$T$31,1)</x:f>
        <x:v>24</x:v>
      </x:c>
      <x:c r="P50" s="2" t="n">
        <x:f>IF(AND('Салық календары'!G50=1,ISNUMBER('Салық календары'!F50)),1,0)</x:f>
        <x:v>0</x:v>
      </x:c>
      <x:c r="Q50" s="2" t="str">
        <x:v>Салық</x:v>
      </x:c>
      <x:c r="R50" s="10"/>
      <x:c r="S50" s="2" t="n">
        <x:f>IF(COUNT(I50)=1,1,0)</x:f>
        <x:v>0</x:v>
      </x:c>
    </x:row>
    <x:row r="51" ht="46" customHeight="1">
      <x:c r="A51" s="2" t="n">
        <x:v>44</x:v>
      </x:c>
      <x:c r="B51" s="2" t="n">
        <x:v>44</x:v>
      </x:c>
      <x:c r="C51" s="12" t="n">
        <x:f>'Салық календары'!J51</x:f>
        <x:v>46363</x:v>
      </x:c>
      <x:c r="D51" s="13" t="str">
        <x:v>Мүлк салығы айлық авансы</x:v>
      </x:c>
      <x:c r="E51" s="14" t="n">
        <x:v>46366</x:v>
      </x:c>
      <x:c r="F51" s="14" t="str">
        <x:f>IF('Салық календары'!F51="","",'Салық календары'!F51)</x:f>
      </x:c>
      <x:c r="G51" s="2" t="str">
        <x:v>2026-12</x:v>
      </x:c>
      <x:c r="H51" s="2" t="str">
        <x:v>J</x:v>
      </x:c>
      <x:c r="I51" s="10" t="str">
        <x:f>IF(AND(COUNTIFS('Клиентлер'!$T$8:$T$31,1)=24,COUNT('Клиентлер'!$J$8:$J$31)=24),COUNTIFS('Клиентлер'!$J$8:$J$31,1,'Клиентлер'!$T$8:$T$31,1,'Клиентлер'!$G$8:$G$31,0),"")</x:f>
      </x:c>
      <x:c r="J51" s="10"/>
      <x:c r="K51" s="2" t="n">
        <x:f>SUMIFS('Күнлик есабат'!$F$8:$F$507,'Күнлик есабат'!$C$8:$C$507,A51,'Күнлик есабат'!$L$8:$L$507,0,'Күнлик есабат'!$M$8:$M$507,0)-SUMIFS('Күнлик есабат'!$H$8:$H$507,'Күнлик есабат'!$C$8:$C$507,A51,'Күнлик есабат'!$L$8:$L$507,0,'Күнлик есабат'!$M$8:$M$507,0)</x:f>
        <x:v>0</x:v>
      </x:c>
      <x:c r="L51" s="2" t="n">
        <x:f>SUMIFS('Күнлик есабат'!$G$8:$G$507,'Күнлик есабат'!$C$8:$C$507,A51,'Күнлик есабат'!$L$8:$L$507,0,'Күнлик есабат'!$M$8:$M$507,0)</x:f>
        <x:v>0</x:v>
      </x:c>
      <x:c r="M51" s="2" t="str">
        <x:f>IF(I51="","",MAX(I51-K51,0))</x:f>
      </x:c>
      <x:c r="N51" s="16" t="str">
        <x:f>IF(OR(I51="",I51=0),"",MIN(K51/I51,1))</x:f>
      </x:c>
      <x:c r="O51" s="2" t="n">
        <x:f>24-COUNTIFS('Клиентлер'!$T$8:$T$31,1)</x:f>
        <x:v>24</x:v>
      </x:c>
      <x:c r="P51" s="2" t="n">
        <x:f>IF(AND('Салық календары'!G51=1,ISNUMBER('Салық календары'!F51)),1,0)</x:f>
        <x:v>0</x:v>
      </x:c>
      <x:c r="Q51" s="2" t="str">
        <x:v>Салық</x:v>
      </x:c>
      <x:c r="R51" s="10"/>
      <x:c r="S51" s="2" t="n">
        <x:f>IF(COUNT(I51)=1,1,0)</x:f>
        <x:v>0</x:v>
      </x:c>
    </x:row>
    <x:row r="52" ht="46" customHeight="1">
      <x:c r="A52" s="2" t="n">
        <x:v>45</x:v>
      </x:c>
      <x:c r="B52" s="2" t="n">
        <x:v>45</x:v>
      </x:c>
      <x:c r="C52" s="12" t="n">
        <x:f>'Салық календары'!J52</x:f>
        <x:v>46363</x:v>
      </x:c>
      <x:c r="D52" s="13" t="str">
        <x:v>Жер салығы айлық төлеми</x:v>
      </x:c>
      <x:c r="E52" s="14" t="n">
        <x:v>46366</x:v>
      </x:c>
      <x:c r="F52" s="14" t="str">
        <x:f>IF('Салық календары'!F52="","",'Салық календары'!F52)</x:f>
      </x:c>
      <x:c r="G52" s="2" t="str">
        <x:v>2026-12</x:v>
      </x:c>
      <x:c r="H52" s="2" t="str">
        <x:v>K</x:v>
      </x:c>
      <x:c r="I52" s="10" t="str">
        <x:f>IF(AND(COUNTIFS('Клиентлер'!$T$8:$T$31,1)=24,COUNT('Клиентлер'!$K$8:$K$31)=24),COUNTIFS('Клиентлер'!$K$8:$K$31,1,'Клиентлер'!$T$8:$T$31,1,'Клиентлер'!$G$8:$G$31,0),"")</x:f>
      </x:c>
      <x:c r="J52" s="10"/>
      <x:c r="K52" s="2" t="n">
        <x:f>SUMIFS('Күнлик есабат'!$F$8:$F$507,'Күнлик есабат'!$C$8:$C$507,A52,'Күнлик есабат'!$L$8:$L$507,0,'Күнлик есабат'!$M$8:$M$507,0)-SUMIFS('Күнлик есабат'!$H$8:$H$507,'Күнлик есабат'!$C$8:$C$507,A52,'Күнлик есабат'!$L$8:$L$507,0,'Күнлик есабат'!$M$8:$M$507,0)</x:f>
        <x:v>0</x:v>
      </x:c>
      <x:c r="L52" s="2" t="n">
        <x:f>SUMIFS('Күнлик есабат'!$G$8:$G$507,'Күнлик есабат'!$C$8:$C$507,A52,'Күнлик есабат'!$L$8:$L$507,0,'Күнлик есабат'!$M$8:$M$507,0)</x:f>
        <x:v>0</x:v>
      </x:c>
      <x:c r="M52" s="2" t="str">
        <x:f>IF(I52="","",MAX(I52-K52,0))</x:f>
      </x:c>
      <x:c r="N52" s="16" t="str">
        <x:f>IF(OR(I52="",I52=0),"",MIN(K52/I52,1))</x:f>
      </x:c>
      <x:c r="O52" s="2" t="n">
        <x:f>24-COUNTIFS('Клиентлер'!$T$8:$T$31,1)</x:f>
        <x:v>24</x:v>
      </x:c>
      <x:c r="P52" s="2" t="n">
        <x:f>IF(AND('Салық календары'!G52=1,ISNUMBER('Салық календары'!F52)),1,0)</x:f>
        <x:v>0</x:v>
      </x:c>
      <x:c r="Q52" s="2" t="str">
        <x:v>Салық</x:v>
      </x:c>
      <x:c r="R52" s="10"/>
      <x:c r="S52" s="2" t="n">
        <x:f>IF(COUNT(I52)=1,1,0)</x:f>
        <x:v>0</x:v>
      </x:c>
    </x:row>
    <x:row r="53" ht="46" customHeight="1">
      <x:c r="A53" s="2" t="n">
        <x:v>46</x:v>
      </x:c>
      <x:c r="B53" s="2" t="n">
        <x:v>46</x:v>
      </x:c>
      <x:c r="C53" s="12" t="n">
        <x:f>'Салық календары'!J53</x:f>
        <x:v>46373</x:v>
      </x:c>
      <x:c r="D53" s="13" t="str">
        <x:v>Суў салығы айлық авансы</x:v>
      </x:c>
      <x:c r="E53" s="14" t="n">
        <x:v>46376</x:v>
      </x:c>
      <x:c r="F53" s="14" t="str">
        <x:f>IF('Салық календары'!F53="","",'Салық календары'!F53)</x:f>
      </x:c>
      <x:c r="G53" s="2" t="str">
        <x:v>2026-12</x:v>
      </x:c>
      <x:c r="H53" s="2" t="str">
        <x:v>V</x:v>
      </x:c>
      <x:c r="I53" s="10" t="str">
        <x:f>IF(AND(COUNTIFS('Клиентлер'!$T$8:$T$31,1)=24,COUNT('Клиентлер'!$V$8:$V$31)=24),COUNTIFS('Клиентлер'!$V$8:$V$31,1,'Клиентлер'!$T$8:$T$31,1,'Клиентлер'!$G$8:$G$31,0),"")</x:f>
      </x:c>
      <x:c r="J53" s="10"/>
      <x:c r="K53" s="2" t="n">
        <x:f>SUMIFS('Күнлик есабат'!$F$8:$F$507,'Күнлик есабат'!$C$8:$C$507,A53,'Күнлик есабат'!$L$8:$L$507,0,'Күнлик есабат'!$M$8:$M$507,0)-SUMIFS('Күнлик есабат'!$H$8:$H$507,'Күнлик есабат'!$C$8:$C$507,A53,'Күнлик есабат'!$L$8:$L$507,0,'Күнлик есабат'!$M$8:$M$507,0)</x:f>
        <x:v>0</x:v>
      </x:c>
      <x:c r="L53" s="2" t="n">
        <x:f>SUMIFS('Күнлик есабат'!$G$8:$G$507,'Күнлик есабат'!$C$8:$C$507,A53,'Күнлик есабат'!$L$8:$L$507,0,'Күнлик есабат'!$M$8:$M$507,0)</x:f>
        <x:v>0</x:v>
      </x:c>
      <x:c r="M53" s="2" t="str">
        <x:f>IF(I53="","",MAX(I53-K53,0))</x:f>
      </x:c>
      <x:c r="N53" s="16" t="str">
        <x:f>IF(OR(I53="",I53=0),"",MIN(K53/I53,1))</x:f>
      </x:c>
      <x:c r="O53" s="2" t="n">
        <x:f>24-COUNTIFS('Клиентлер'!$T$8:$T$31,1)</x:f>
        <x:v>24</x:v>
      </x:c>
      <x:c r="P53" s="2" t="n">
        <x:f>IF(AND('Салық календары'!G53=1,ISNUMBER('Салық календары'!F53)),1,0)</x:f>
        <x:v>0</x:v>
      </x:c>
      <x:c r="Q53" s="2" t="str">
        <x:v>Салық</x:v>
      </x:c>
      <x:c r="R53" s="10"/>
      <x:c r="S53" s="2" t="n">
        <x:f>IF(COUNT(I53)=1,1,0)</x:f>
        <x:v>0</x:v>
      </x:c>
    </x:row>
    <x:row r="54" ht="46" customHeight="1">
      <x:c r="A54" s="2" t="n">
        <x:v>47</x:v>
      </x:c>
      <x:c r="B54" s="2" t="n">
        <x:v>47</x:v>
      </x:c>
      <x:c r="C54" s="12" t="n">
        <x:f>'Салық календары'!J54</x:f>
        <x:v>46404</x:v>
      </x:c>
      <x:c r="D54" s="13" t="str">
        <x:v>ҚҚС есабаты</x:v>
      </x:c>
      <x:c r="E54" s="14" t="n">
        <x:v>46407</x:v>
      </x:c>
      <x:c r="F54" s="14" t="str">
        <x:f>IF('Салық календары'!F54="","",'Салық календары'!F54)</x:f>
      </x:c>
      <x:c r="G54" s="2" t="str">
        <x:v>2026-12</x:v>
      </x:c>
      <x:c r="H54" s="2" t="str">
        <x:v>F</x:v>
      </x:c>
      <x:c r="I54" s="10" t="str">
        <x:f>IF(AND(COUNTIFS('Клиентлер'!$T$8:$T$31,1)=24,COUNT('Клиентлер'!$F$8:$F$31)=24),COUNTIFS('Клиентлер'!$F$8:$F$31,1,'Клиентлер'!$T$8:$T$31,1),"")</x:f>
      </x:c>
      <x:c r="J54" s="10"/>
      <x:c r="K54" s="2" t="n">
        <x:f>SUMIFS('Күнлик есабат'!$F$8:$F$507,'Күнлик есабат'!$C$8:$C$507,A54,'Күнлик есабат'!$L$8:$L$507,0,'Күнлик есабат'!$M$8:$M$507,0)-SUMIFS('Күнлик есабат'!$H$8:$H$507,'Күнлик есабат'!$C$8:$C$507,A54,'Күнлик есабат'!$L$8:$L$507,0,'Күнлик есабат'!$M$8:$M$507,0)</x:f>
        <x:v>0</x:v>
      </x:c>
      <x:c r="L54" s="2" t="n">
        <x:f>SUMIFS('Күнлик есабат'!$G$8:$G$507,'Күнлик есабат'!$C$8:$C$507,A54,'Күнлик есабат'!$L$8:$L$507,0,'Күнлик есабат'!$M$8:$M$507,0)</x:f>
        <x:v>0</x:v>
      </x:c>
      <x:c r="M54" s="2" t="str">
        <x:f>IF(I54="","",MAX(I54-K54,0))</x:f>
      </x:c>
      <x:c r="N54" s="16" t="str">
        <x:f>IF(OR(I54="",I54=0),"",MIN(K54/I54,1))</x:f>
      </x:c>
      <x:c r="O54" s="2" t="n">
        <x:f>24-COUNTIFS('Клиентлер'!$T$8:$T$31,1)</x:f>
        <x:v>24</x:v>
      </x:c>
      <x:c r="P54" s="2" t="n">
        <x:f>IF(AND('Салық календары'!G54=1,ISNUMBER('Салық календары'!F54)),1,0)</x:f>
        <x:v>0</x:v>
      </x:c>
      <x:c r="Q54" s="2" t="str">
        <x:v>Салық</x:v>
      </x:c>
      <x:c r="R54" s="10"/>
      <x:c r="S54" s="2" t="n">
        <x:f>IF(COUNT(I54)=1,1,0)</x:f>
        <x:v>0</x:v>
      </x:c>
    </x:row>
    <x:row r="55" ht="46" customHeight="1">
      <x:c r="A55" s="2" t="n">
        <x:v>48</x:v>
      </x:c>
      <x:c r="B55" s="2" t="n">
        <x:v>48</x:v>
      </x:c>
      <x:c r="C55" s="12" t="n">
        <x:f>'Салық календары'!J55</x:f>
        <x:v>46404</x:v>
      </x:c>
      <x:c r="D55" s="13" t="str">
        <x:v>ҚҚС төлеми</x:v>
      </x:c>
      <x:c r="E55" s="14" t="n">
        <x:v>46407</x:v>
      </x:c>
      <x:c r="F55" s="14" t="str">
        <x:f>IF('Салық календары'!F55="","",'Салық календары'!F55)</x:f>
      </x:c>
      <x:c r="G55" s="2" t="str">
        <x:v>2026-12</x:v>
      </x:c>
      <x:c r="H55" s="2" t="str">
        <x:v>F</x:v>
      </x:c>
      <x:c r="I55" s="10" t="str">
        <x:f>IF(AND(COUNTIFS('Клиентлер'!$T$8:$T$31,1)=24,COUNT('Клиентлер'!$F$8:$F$31)=24),COUNTIFS('Клиентлер'!$F$8:$F$31,1,'Клиентлер'!$T$8:$T$31,1),"")</x:f>
      </x:c>
      <x:c r="J55" s="10"/>
      <x:c r="K55" s="2" t="n">
        <x:f>SUMIFS('Күнлик есабат'!$F$8:$F$507,'Күнлик есабат'!$C$8:$C$507,A55,'Күнлик есабат'!$L$8:$L$507,0,'Күнлик есабат'!$M$8:$M$507,0)-SUMIFS('Күнлик есабат'!$H$8:$H$507,'Күнлик есабат'!$C$8:$C$507,A55,'Күнлик есабат'!$L$8:$L$507,0,'Күнлик есабат'!$M$8:$M$507,0)</x:f>
        <x:v>0</x:v>
      </x:c>
      <x:c r="L55" s="2" t="n">
        <x:f>SUMIFS('Күнлик есабат'!$G$8:$G$507,'Күнлик есабат'!$C$8:$C$507,A55,'Күнлик есабат'!$L$8:$L$507,0,'Күнлик есабат'!$M$8:$M$507,0)</x:f>
        <x:v>0</x:v>
      </x:c>
      <x:c r="M55" s="2" t="str">
        <x:f>IF(I55="","",MAX(I55-K55,0))</x:f>
      </x:c>
      <x:c r="N55" s="16" t="str">
        <x:f>IF(OR(I55="",I55=0),"",MIN(K55/I55,1))</x:f>
      </x:c>
      <x:c r="O55" s="2" t="n">
        <x:f>24-COUNTIFS('Клиентлер'!$T$8:$T$31,1)</x:f>
        <x:v>24</x:v>
      </x:c>
      <x:c r="P55" s="2" t="n">
        <x:f>IF(AND('Салық календары'!G55=1,ISNUMBER('Салық календары'!F55)),1,0)</x:f>
        <x:v>0</x:v>
      </x:c>
      <x:c r="Q55" s="2" t="str">
        <x:v>Салық</x:v>
      </x:c>
      <x:c r="R55" s="10"/>
      <x:c r="S55" s="2" t="n">
        <x:f>IF(COUNT(I55)=1,1,0)</x:f>
        <x:v>0</x:v>
      </x:c>
    </x:row>
    <x:row r="56" ht="46" customHeight="1">
      <x:c r="A56" s="2" t="n">
        <x:v>49</x:v>
      </x:c>
      <x:c r="B56" s="2" t="n">
        <x:v>49</x:v>
      </x:c>
      <x:c r="C56" s="12" t="n">
        <x:f>'Салық календары'!J56</x:f>
        <x:v>46399</x:v>
      </x:c>
      <x:c r="D56" s="13" t="str">
        <x:v>Айланба салығы есабаты</x:v>
      </x:c>
      <x:c r="E56" s="14" t="n">
        <x:v>46402</x:v>
      </x:c>
      <x:c r="F56" s="14" t="str">
        <x:f>IF('Салық календары'!F56="","",'Салық календары'!F56)</x:f>
      </x:c>
      <x:c r="G56" s="2" t="str">
        <x:v>2026-12</x:v>
      </x:c>
      <x:c r="H56" s="2" t="str">
        <x:v>G</x:v>
      </x:c>
      <x:c r="I56" s="10" t="str">
        <x:f>IF(AND(COUNTIFS('Клиентлер'!$T$8:$T$31,1)=24,COUNT('Клиентлер'!$G$8:$G$31)=24),COUNTIFS('Клиентлер'!$G$8:$G$31,1,'Клиентлер'!$T$8:$T$31,1),"")</x:f>
      </x:c>
      <x:c r="J56" s="10"/>
      <x:c r="K56" s="2" t="n">
        <x:f>SUMIFS('Күнлик есабат'!$F$8:$F$507,'Күнлик есабат'!$C$8:$C$507,A56,'Күнлик есабат'!$L$8:$L$507,0,'Күнлик есабат'!$M$8:$M$507,0)-SUMIFS('Күнлик есабат'!$H$8:$H$507,'Күнлик есабат'!$C$8:$C$507,A56,'Күнлик есабат'!$L$8:$L$507,0,'Күнлик есабат'!$M$8:$M$507,0)</x:f>
        <x:v>0</x:v>
      </x:c>
      <x:c r="L56" s="2" t="n">
        <x:f>SUMIFS('Күнлик есабат'!$G$8:$G$507,'Күнлик есабат'!$C$8:$C$507,A56,'Күнлик есабат'!$L$8:$L$507,0,'Күнлик есабат'!$M$8:$M$507,0)</x:f>
        <x:v>0</x:v>
      </x:c>
      <x:c r="M56" s="2" t="str">
        <x:f>IF(I56="","",MAX(I56-K56,0))</x:f>
      </x:c>
      <x:c r="N56" s="16" t="str">
        <x:f>IF(OR(I56="",I56=0),"",MIN(K56/I56,1))</x:f>
      </x:c>
      <x:c r="O56" s="2" t="n">
        <x:f>24-COUNTIFS('Клиентлер'!$T$8:$T$31,1)</x:f>
        <x:v>24</x:v>
      </x:c>
      <x:c r="P56" s="2" t="n">
        <x:f>IF(AND('Салық календары'!G56=1,ISNUMBER('Салық календары'!F56)),1,0)</x:f>
        <x:v>0</x:v>
      </x:c>
      <x:c r="Q56" s="2" t="str">
        <x:v>Салық</x:v>
      </x:c>
      <x:c r="R56" s="10"/>
      <x:c r="S56" s="2" t="n">
        <x:f>IF(COUNT(I56)=1,1,0)</x:f>
        <x:v>0</x:v>
      </x:c>
    </x:row>
    <x:row r="57" ht="46" customHeight="1">
      <x:c r="A57" s="2" t="n">
        <x:v>50</x:v>
      </x:c>
      <x:c r="B57" s="2" t="n">
        <x:v>50</x:v>
      </x:c>
      <x:c r="C57" s="12" t="n">
        <x:f>'Салық календары'!J57</x:f>
        <x:v>46399</x:v>
      </x:c>
      <x:c r="D57" s="13" t="str">
        <x:v>Айланба салығы төлеми</x:v>
      </x:c>
      <x:c r="E57" s="14" t="n">
        <x:v>46402</x:v>
      </x:c>
      <x:c r="F57" s="14" t="str">
        <x:f>IF('Салық календары'!F57="","",'Салық календары'!F57)</x:f>
      </x:c>
      <x:c r="G57" s="2" t="str">
        <x:v>2026-12</x:v>
      </x:c>
      <x:c r="H57" s="2" t="str">
        <x:v>G</x:v>
      </x:c>
      <x:c r="I57" s="10" t="str">
        <x:f>IF(AND(COUNTIFS('Клиентлер'!$T$8:$T$31,1)=24,COUNT('Клиентлер'!$G$8:$G$31)=24),COUNTIFS('Клиентлер'!$G$8:$G$31,1,'Клиентлер'!$T$8:$T$31,1),"")</x:f>
      </x:c>
      <x:c r="J57" s="10"/>
      <x:c r="K57" s="2" t="n">
        <x:f>SUMIFS('Күнлик есабат'!$F$8:$F$507,'Күнлик есабат'!$C$8:$C$507,A57,'Күнлик есабат'!$L$8:$L$507,0,'Күнлик есабат'!$M$8:$M$507,0)-SUMIFS('Күнлик есабат'!$H$8:$H$507,'Күнлик есабат'!$C$8:$C$507,A57,'Күнлик есабат'!$L$8:$L$507,0,'Күнлик есабат'!$M$8:$M$507,0)</x:f>
        <x:v>0</x:v>
      </x:c>
      <x:c r="L57" s="2" t="n">
        <x:f>SUMIFS('Күнлик есабат'!$G$8:$G$507,'Күнлик есабат'!$C$8:$C$507,A57,'Күнлик есабат'!$L$8:$L$507,0,'Күнлик есабат'!$M$8:$M$507,0)</x:f>
        <x:v>0</x:v>
      </x:c>
      <x:c r="M57" s="2" t="str">
        <x:f>IF(I57="","",MAX(I57-K57,0))</x:f>
      </x:c>
      <x:c r="N57" s="16" t="str">
        <x:f>IF(OR(I57="",I57=0),"",MIN(K57/I57,1))</x:f>
      </x:c>
      <x:c r="O57" s="2" t="n">
        <x:f>24-COUNTIFS('Клиентлер'!$T$8:$T$31,1)</x:f>
        <x:v>24</x:v>
      </x:c>
      <x:c r="P57" s="2" t="n">
        <x:f>IF(AND('Салық календары'!G57=1,ISNUMBER('Салық календары'!F57)),1,0)</x:f>
        <x:v>0</x:v>
      </x:c>
      <x:c r="Q57" s="2" t="str">
        <x:v>Салық</x:v>
      </x:c>
      <x:c r="R57" s="10"/>
      <x:c r="S57" s="2" t="n">
        <x:f>IF(COUNT(I57)=1,1,0)</x:f>
        <x:v>0</x:v>
      </x:c>
    </x:row>
    <x:row r="58" ht="46" customHeight="1">
      <x:c r="A58" s="2" t="n">
        <x:v>51</x:v>
      </x:c>
      <x:c r="B58" s="2" t="n">
        <x:v>51</x:v>
      </x:c>
      <x:c r="C58" s="12" t="n">
        <x:f>'Салық календары'!J58</x:f>
        <x:v>46399</x:v>
      </x:c>
      <x:c r="D58" s="13" t="str">
        <x:v>Дәрамат салығы есабаты</x:v>
      </x:c>
      <x:c r="E58" s="14" t="n">
        <x:v>46402</x:v>
      </x:c>
      <x:c r="F58" s="14" t="str">
        <x:f>IF('Салық календары'!F58="","",'Салық календары'!F58)</x:f>
      </x:c>
      <x:c r="G58" s="2" t="str">
        <x:v>2026-12</x:v>
      </x:c>
      <x:c r="H58" s="2" t="str">
        <x:v>I</x:v>
      </x:c>
      <x:c r="I58" s="10" t="str">
        <x:f>IF(AND(COUNTIFS('Клиентлер'!$T$8:$T$31,1)=24,COUNT('Клиентлер'!$I$8:$I$31)=24),COUNTIFS('Клиентлер'!$I$8:$I$31,1,'Клиентлер'!$T$8:$T$31,1),"")</x:f>
      </x:c>
      <x:c r="J58" s="10"/>
      <x:c r="K58" s="2" t="n">
        <x:f>SUMIFS('Күнлик есабат'!$F$8:$F$507,'Күнлик есабат'!$C$8:$C$507,A58,'Күнлик есабат'!$L$8:$L$507,0,'Күнлик есабат'!$M$8:$M$507,0)-SUMIFS('Күнлик есабат'!$H$8:$H$507,'Күнлик есабат'!$C$8:$C$507,A58,'Күнлик есабат'!$L$8:$L$507,0,'Күнлик есабат'!$M$8:$M$507,0)</x:f>
        <x:v>0</x:v>
      </x:c>
      <x:c r="L58" s="2" t="n">
        <x:f>SUMIFS('Күнлик есабат'!$G$8:$G$507,'Күнлик есабат'!$C$8:$C$507,A58,'Күнлик есабат'!$L$8:$L$507,0,'Күнлик есабат'!$M$8:$M$507,0)</x:f>
        <x:v>0</x:v>
      </x:c>
      <x:c r="M58" s="2" t="str">
        <x:f>IF(I58="","",MAX(I58-K58,0))</x:f>
      </x:c>
      <x:c r="N58" s="16" t="str">
        <x:f>IF(OR(I58="",I58=0),"",MIN(K58/I58,1))</x:f>
      </x:c>
      <x:c r="O58" s="2" t="n">
        <x:f>24-COUNTIFS('Клиентлер'!$T$8:$T$31,1)</x:f>
        <x:v>24</x:v>
      </x:c>
      <x:c r="P58" s="2" t="n">
        <x:f>IF(AND('Салық календары'!G58=1,ISNUMBER('Салық календары'!F58)),1,0)</x:f>
        <x:v>0</x:v>
      </x:c>
      <x:c r="Q58" s="2" t="str">
        <x:v>Салық</x:v>
      </x:c>
      <x:c r="R58" s="10"/>
      <x:c r="S58" s="2" t="n">
        <x:f>IF(COUNT(I58)=1,1,0)</x:f>
        <x:v>0</x:v>
      </x:c>
    </x:row>
    <x:row r="59" ht="46" customHeight="1">
      <x:c r="A59" s="2" t="n">
        <x:v>52</x:v>
      </x:c>
      <x:c r="B59" s="2" t="n">
        <x:v>52</x:v>
      </x:c>
      <x:c r="C59" s="12" t="n">
        <x:f>'Салық календары'!J59</x:f>
        <x:v>46399</x:v>
      </x:c>
      <x:c r="D59" s="13" t="str">
        <x:v>Социаллық салық есабаты</x:v>
      </x:c>
      <x:c r="E59" s="14" t="n">
        <x:v>46402</x:v>
      </x:c>
      <x:c r="F59" s="14" t="str">
        <x:f>IF('Салық календары'!F59="","",'Салық календары'!F59)</x:f>
      </x:c>
      <x:c r="G59" s="2" t="str">
        <x:v>2026-12</x:v>
      </x:c>
      <x:c r="H59" s="2" t="str">
        <x:v>I</x:v>
      </x:c>
      <x:c r="I59" s="10" t="str">
        <x:f>IF(AND(COUNTIFS('Клиентлер'!$T$8:$T$31,1)=24,COUNT('Клиентлер'!$I$8:$I$31)=24),COUNTIFS('Клиентлер'!$I$8:$I$31,1,'Клиентлер'!$T$8:$T$31,1),"")</x:f>
      </x:c>
      <x:c r="J59" s="10"/>
      <x:c r="K59" s="2" t="n">
        <x:f>SUMIFS('Күнлик есабат'!$F$8:$F$507,'Күнлик есабат'!$C$8:$C$507,A59,'Күнлик есабат'!$L$8:$L$507,0,'Күнлик есабат'!$M$8:$M$507,0)-SUMIFS('Күнлик есабат'!$H$8:$H$507,'Күнлик есабат'!$C$8:$C$507,A59,'Күнлик есабат'!$L$8:$L$507,0,'Күнлик есабат'!$M$8:$M$507,0)</x:f>
        <x:v>0</x:v>
      </x:c>
      <x:c r="L59" s="2" t="n">
        <x:f>SUMIFS('Күнлик есабат'!$G$8:$G$507,'Күнлик есабат'!$C$8:$C$507,A59,'Күнлик есабат'!$L$8:$L$507,0,'Күнлик есабат'!$M$8:$M$507,0)</x:f>
        <x:v>0</x:v>
      </x:c>
      <x:c r="M59" s="2" t="str">
        <x:f>IF(I59="","",MAX(I59-K59,0))</x:f>
      </x:c>
      <x:c r="N59" s="16" t="str">
        <x:f>IF(OR(I59="",I59=0),"",MIN(K59/I59,1))</x:f>
      </x:c>
      <x:c r="O59" s="2" t="n">
        <x:f>24-COUNTIFS('Клиентлер'!$T$8:$T$31,1)</x:f>
        <x:v>24</x:v>
      </x:c>
      <x:c r="P59" s="2" t="n">
        <x:f>IF(AND('Салық календары'!G59=1,ISNUMBER('Салық календары'!F59)),1,0)</x:f>
        <x:v>0</x:v>
      </x:c>
      <x:c r="Q59" s="2" t="str">
        <x:v>Салық</x:v>
      </x:c>
      <x:c r="R59" s="10"/>
      <x:c r="S59" s="2" t="n">
        <x:f>IF(COUNT(I59)=1,1,0)</x:f>
        <x:v>0</x:v>
      </x:c>
    </x:row>
    <x:row r="60" ht="46" customHeight="1">
      <x:c r="A60" s="2" t="n">
        <x:v>53</x:v>
      </x:c>
      <x:c r="B60" s="2" t="n">
        <x:v>53</x:v>
      </x:c>
      <x:c r="C60" s="12" t="n">
        <x:f>'Салық календары'!J60</x:f>
        <x:v>46399</x:v>
      </x:c>
      <x:c r="D60" s="13" t="str">
        <x:v>Социаллық салық төлеми</x:v>
      </x:c>
      <x:c r="E60" s="14" t="n">
        <x:v>46402</x:v>
      </x:c>
      <x:c r="F60" s="14" t="str">
        <x:f>IF('Салық календары'!F60="","",'Салық календары'!F60)</x:f>
      </x:c>
      <x:c r="G60" s="2" t="str">
        <x:v>2026-12</x:v>
      </x:c>
      <x:c r="H60" s="2" t="str">
        <x:v>I</x:v>
      </x:c>
      <x:c r="I60" s="10" t="str">
        <x:f>IF(AND(COUNTIFS('Клиентлер'!$T$8:$T$31,1)=24,COUNT('Клиентлер'!$I$8:$I$31)=24),COUNTIFS('Клиентлер'!$I$8:$I$31,1,'Клиентлер'!$T$8:$T$31,1),"")</x:f>
      </x:c>
      <x:c r="J60" s="10"/>
      <x:c r="K60" s="2" t="n">
        <x:f>SUMIFS('Күнлик есабат'!$F$8:$F$507,'Күнлик есабат'!$C$8:$C$507,A60,'Күнлик есабат'!$L$8:$L$507,0,'Күнлик есабат'!$M$8:$M$507,0)-SUMIFS('Күнлик есабат'!$H$8:$H$507,'Күнлик есабат'!$C$8:$C$507,A60,'Күнлик есабат'!$L$8:$L$507,0,'Күнлик есабат'!$M$8:$M$507,0)</x:f>
        <x:v>0</x:v>
      </x:c>
      <x:c r="L60" s="2" t="n">
        <x:f>SUMIFS('Күнлик есабат'!$G$8:$G$507,'Күнлик есабат'!$C$8:$C$507,A60,'Күнлик есабат'!$L$8:$L$507,0,'Күнлик есабат'!$M$8:$M$507,0)</x:f>
        <x:v>0</x:v>
      </x:c>
      <x:c r="M60" s="2" t="str">
        <x:f>IF(I60="","",MAX(I60-K60,0))</x:f>
      </x:c>
      <x:c r="N60" s="16" t="str">
        <x:f>IF(OR(I60="",I60=0),"",MIN(K60/I60,1))</x:f>
      </x:c>
      <x:c r="O60" s="2" t="n">
        <x:f>24-COUNTIFS('Клиентлер'!$T$8:$T$31,1)</x:f>
        <x:v>24</x:v>
      </x:c>
      <x:c r="P60" s="2" t="n">
        <x:f>IF(AND('Салық календары'!G60=1,ISNUMBER('Салық календары'!F60)),1,0)</x:f>
        <x:v>0</x:v>
      </x:c>
      <x:c r="Q60" s="2" t="str">
        <x:v>Салық</x:v>
      </x:c>
      <x:c r="R60" s="10"/>
      <x:c r="S60" s="2" t="n">
        <x:f>IF(COUNT(I60)=1,1,0)</x:f>
        <x:v>0</x:v>
      </x:c>
    </x:row>
    <x:row r="61" ht="46" customHeight="1">
      <x:c r="A61" s="2" t="n">
        <x:v>54</x:v>
      </x:c>
      <x:c r="B61" s="2" t="n">
        <x:v>54</x:v>
      </x:c>
      <x:c r="C61" s="12" t="n">
        <x:f>'Салық календары'!J61</x:f>
        <x:v>46394</x:v>
      </x:c>
      <x:c r="D61" s="13" t="str">
        <x:v>Акциз есабаты ҳәм төлемин тексериў</x:v>
      </x:c>
      <x:c r="E61" s="14" t="n">
        <x:v>46397</x:v>
      </x:c>
      <x:c r="F61" s="14" t="str">
        <x:f>IF('Салық календары'!F61="","",'Салық календары'!F61)</x:f>
      </x:c>
      <x:c r="G61" s="2" t="str">
        <x:v>2026-12</x:v>
      </x:c>
      <x:c r="H61" s="2" t="str">
        <x:v>N</x:v>
      </x:c>
      <x:c r="I61" s="10" t="str">
        <x:f>IF(AND(COUNTIFS('Клиентлер'!$T$8:$T$31,1)=24,COUNT('Клиентлер'!$N$8:$N$31)=24),COUNTIFS('Клиентлер'!$N$8:$N$31,1,'Клиентлер'!$T$8:$T$31,1),"")</x:f>
      </x:c>
      <x:c r="J61" s="10"/>
      <x:c r="K61" s="2" t="n">
        <x:f>SUMIFS('Күнлик есабат'!$F$8:$F$507,'Күнлик есабат'!$C$8:$C$507,A61,'Күнлик есабат'!$L$8:$L$507,0,'Күнлик есабат'!$M$8:$M$507,0)-SUMIFS('Күнлик есабат'!$H$8:$H$507,'Күнлик есабат'!$C$8:$C$507,A61,'Күнлик есабат'!$L$8:$L$507,0,'Күнлик есабат'!$M$8:$M$507,0)</x:f>
        <x:v>0</x:v>
      </x:c>
      <x:c r="L61" s="2" t="n">
        <x:f>SUMIFS('Күнлик есабат'!$G$8:$G$507,'Күнлик есабат'!$C$8:$C$507,A61,'Күнлик есабат'!$L$8:$L$507,0,'Күнлик есабат'!$M$8:$M$507,0)</x:f>
        <x:v>0</x:v>
      </x:c>
      <x:c r="M61" s="2" t="str">
        <x:f>IF(I61="","",MAX(I61-K61,0))</x:f>
      </x:c>
      <x:c r="N61" s="16" t="str">
        <x:f>IF(OR(I61="",I61=0),"",MIN(K61/I61,1))</x:f>
      </x:c>
      <x:c r="O61" s="2" t="n">
        <x:f>24-COUNTIFS('Клиентлер'!$T$8:$T$31,1)</x:f>
        <x:v>24</x:v>
      </x:c>
      <x:c r="P61" s="2" t="n">
        <x:f>IF(AND('Салық календары'!G61=1,ISNUMBER('Салық календары'!F61)),1,0)</x:f>
        <x:v>0</x:v>
      </x:c>
      <x:c r="Q61" s="2" t="str">
        <x:v>Салық</x:v>
      </x:c>
      <x:c r="R61" s="10"/>
      <x:c r="S61" s="2" t="n">
        <x:f>IF(COUNT(I61)=1,1,0)</x:f>
        <x:v>0</x:v>
      </x:c>
    </x:row>
    <x:row r="62" ht="46" customHeight="1">
      <x:c r="A62" s="2" t="n">
        <x:v>55</x:v>
      </x:c>
      <x:c r="B62" s="2" t="n">
        <x:v>55</x:v>
      </x:c>
      <x:c r="C62" s="12" t="n">
        <x:f>'Салық календары'!J62</x:f>
        <x:v>46404</x:v>
      </x:c>
      <x:c r="D62" s="13" t="str">
        <x:v>Дивиденд ҳәм процент салығы есабаты</x:v>
      </x:c>
      <x:c r="E62" s="14" t="n">
        <x:v>46407</x:v>
      </x:c>
      <x:c r="F62" s="14" t="str">
        <x:f>IF('Салық календары'!F62="","",'Салық календары'!F62)</x:f>
      </x:c>
      <x:c r="G62" s="2" t="str">
        <x:v>2026-12</x:v>
      </x:c>
      <x:c r="H62" s="2" t="str">
        <x:v>O</x:v>
      </x:c>
      <x:c r="I62" s="10" t="str">
        <x:f>IF(AND(COUNTIFS('Клиентлер'!$T$8:$T$31,1)=24,COUNT('Клиентлер'!$O$8:$O$31)=24),COUNTIFS('Клиентлер'!$O$8:$O$31,1,'Клиентлер'!$T$8:$T$31,1),"")</x:f>
      </x:c>
      <x:c r="J62" s="10"/>
      <x:c r="K62" s="2" t="n">
        <x:f>SUMIFS('Күнлик есабат'!$F$8:$F$507,'Күнлик есабат'!$C$8:$C$507,A62,'Күнлик есабат'!$L$8:$L$507,0,'Күнлик есабат'!$M$8:$M$507,0)-SUMIFS('Күнлик есабат'!$H$8:$H$507,'Күнлик есабат'!$C$8:$C$507,A62,'Күнлик есабат'!$L$8:$L$507,0,'Күнлик есабат'!$M$8:$M$507,0)</x:f>
        <x:v>0</x:v>
      </x:c>
      <x:c r="L62" s="2" t="n">
        <x:f>SUMIFS('Күнлик есабат'!$G$8:$G$507,'Күнлик есабат'!$C$8:$C$507,A62,'Күнлик есабат'!$L$8:$L$507,0,'Күнлик есабат'!$M$8:$M$507,0)</x:f>
        <x:v>0</x:v>
      </x:c>
      <x:c r="M62" s="2" t="str">
        <x:f>IF(I62="","",MAX(I62-K62,0))</x:f>
      </x:c>
      <x:c r="N62" s="16" t="str">
        <x:f>IF(OR(I62="",I62=0),"",MIN(K62/I62,1))</x:f>
      </x:c>
      <x:c r="O62" s="2" t="n">
        <x:f>24-COUNTIFS('Клиентлер'!$T$8:$T$31,1)</x:f>
        <x:v>24</x:v>
      </x:c>
      <x:c r="P62" s="2" t="n">
        <x:f>IF(AND('Салық календары'!G62=1,ISNUMBER('Салық календары'!F62)),1,0)</x:f>
        <x:v>0</x:v>
      </x:c>
      <x:c r="Q62" s="2" t="str">
        <x:v>Салық</x:v>
      </x:c>
      <x:c r="R62" s="10"/>
      <x:c r="S62" s="2" t="n">
        <x:f>IF(COUNT(I62)=1,1,0)</x:f>
        <x:v>0</x:v>
      </x:c>
    </x:row>
    <x:row r="63" ht="46" customHeight="1">
      <x:c r="A63" s="2" t="n">
        <x:v>56</x:v>
      </x:c>
      <x:c r="B63" s="2" t="n">
        <x:v>56</x:v>
      </x:c>
      <x:c r="C63" s="12" t="n">
        <x:f>'Салық календары'!J63</x:f>
        <x:v>46404</x:v>
      </x:c>
      <x:c r="D63" s="13" t="str">
        <x:v>Норезидент дәраматы салығы есабаты</x:v>
      </x:c>
      <x:c r="E63" s="14" t="n">
        <x:v>46407</x:v>
      </x:c>
      <x:c r="F63" s="14" t="str">
        <x:f>IF('Салық календары'!F63="","",'Салық календары'!F63)</x:f>
      </x:c>
      <x:c r="G63" s="2" t="str">
        <x:v>2026-12</x:v>
      </x:c>
      <x:c r="H63" s="2" t="str">
        <x:v>P</x:v>
      </x:c>
      <x:c r="I63" s="10" t="str">
        <x:f>IF(AND(COUNTIFS('Клиентлер'!$T$8:$T$31,1)=24,COUNT('Клиентлер'!$P$8:$P$31)=24),COUNTIFS('Клиентлер'!$P$8:$P$31,1,'Клиентлер'!$T$8:$T$31,1),"")</x:f>
      </x:c>
      <x:c r="J63" s="10"/>
      <x:c r="K63" s="2" t="n">
        <x:f>SUMIFS('Күнлик есабат'!$F$8:$F$507,'Күнлик есабат'!$C$8:$C$507,A63,'Күнлик есабат'!$L$8:$L$507,0,'Күнлик есабат'!$M$8:$M$507,0)-SUMIFS('Күнлик есабат'!$H$8:$H$507,'Күнлик есабат'!$C$8:$C$507,A63,'Күнлик есабат'!$L$8:$L$507,0,'Күнлик есабат'!$M$8:$M$507,0)</x:f>
        <x:v>0</x:v>
      </x:c>
      <x:c r="L63" s="2" t="n">
        <x:f>SUMIFS('Күнлик есабат'!$G$8:$G$507,'Күнлик есабат'!$C$8:$C$507,A63,'Күнлик есабат'!$L$8:$L$507,0,'Күнлик есабат'!$M$8:$M$507,0)</x:f>
        <x:v>0</x:v>
      </x:c>
      <x:c r="M63" s="2" t="str">
        <x:f>IF(I63="","",MAX(I63-K63,0))</x:f>
      </x:c>
      <x:c r="N63" s="16" t="str">
        <x:f>IF(OR(I63="",I63=0),"",MIN(K63/I63,1))</x:f>
      </x:c>
      <x:c r="O63" s="2" t="n">
        <x:f>24-COUNTIFS('Клиентлер'!$T$8:$T$31,1)</x:f>
        <x:v>24</x:v>
      </x:c>
      <x:c r="P63" s="2" t="n">
        <x:f>IF(AND('Салық календары'!G63=1,ISNUMBER('Салық календары'!F63)),1,0)</x:f>
        <x:v>0</x:v>
      </x:c>
      <x:c r="Q63" s="2" t="str">
        <x:v>Салық</x:v>
      </x:c>
      <x:c r="R63" s="10"/>
      <x:c r="S63" s="2" t="n">
        <x:f>IF(COUNT(I63)=1,1,0)</x:f>
        <x:v>0</x:v>
      </x:c>
    </x:row>
    <x:row r="64" ht="46" customHeight="1">
      <x:c r="A64" s="2" t="n">
        <x:v>57</x:v>
      </x:c>
      <x:c r="B64" s="2" t="n">
        <x:v>57</x:v>
      </x:c>
      <x:c r="C64" s="12" t="n">
        <x:f>'Салық календары'!J64</x:f>
        <x:v>46404</x:v>
      </x:c>
      <x:c r="D64" s="13" t="str">
        <x:v>Жер қойнаўынан пайдаланыў есабаты</x:v>
      </x:c>
      <x:c r="E64" s="14" t="n">
        <x:v>46407</x:v>
      </x:c>
      <x:c r="F64" s="14" t="str">
        <x:f>IF('Салық календары'!F64="","",'Салық календары'!F64)</x:f>
      </x:c>
      <x:c r="G64" s="2" t="str">
        <x:v>2026-12</x:v>
      </x:c>
      <x:c r="H64" s="2" t="str">
        <x:v>Q</x:v>
      </x:c>
      <x:c r="I64" s="10" t="str">
        <x:f>IF(AND(COUNTIFS('Клиентлер'!$T$8:$T$31,1)=24,COUNT('Клиентлер'!$Q$8:$Q$31)=24),COUNTIFS('Клиентлер'!$Q$8:$Q$31,1,'Клиентлер'!$T$8:$T$31,1),"")</x:f>
      </x:c>
      <x:c r="J64" s="10"/>
      <x:c r="K64" s="2" t="n">
        <x:f>SUMIFS('Күнлик есабат'!$F$8:$F$507,'Күнлик есабат'!$C$8:$C$507,A64,'Күнлик есабат'!$L$8:$L$507,0,'Күнлик есабат'!$M$8:$M$507,0)-SUMIFS('Күнлик есабат'!$H$8:$H$507,'Күнлик есабат'!$C$8:$C$507,A64,'Күнлик есабат'!$L$8:$L$507,0,'Күнлик есабат'!$M$8:$M$507,0)</x:f>
        <x:v>0</x:v>
      </x:c>
      <x:c r="L64" s="2" t="n">
        <x:f>SUMIFS('Күнлик есабат'!$G$8:$G$507,'Күнлик есабат'!$C$8:$C$507,A64,'Күнлик есабат'!$L$8:$L$507,0,'Күнлик есабат'!$M$8:$M$507,0)</x:f>
        <x:v>0</x:v>
      </x:c>
      <x:c r="M64" s="2" t="str">
        <x:f>IF(I64="","",MAX(I64-K64,0))</x:f>
      </x:c>
      <x:c r="N64" s="16" t="str">
        <x:f>IF(OR(I64="",I64=0),"",MIN(K64/I64,1))</x:f>
      </x:c>
      <x:c r="O64" s="2" t="n">
        <x:f>24-COUNTIFS('Клиентлер'!$T$8:$T$31,1)</x:f>
        <x:v>24</x:v>
      </x:c>
      <x:c r="P64" s="2" t="n">
        <x:f>IF(AND('Салық календары'!G64=1,ISNUMBER('Салық календары'!F64)),1,0)</x:f>
        <x:v>0</x:v>
      </x:c>
      <x:c r="Q64" s="2" t="str">
        <x:v>Салық</x:v>
      </x:c>
      <x:c r="R64" s="10"/>
      <x:c r="S64" s="2" t="n">
        <x:f>IF(COUNT(I64)=1,1,0)</x:f>
        <x:v>0</x:v>
      </x:c>
    </x:row>
    <x:row r="65" ht="46" customHeight="1">
      <x:c r="A65" s="2" t="n">
        <x:v>58</x:v>
      </x:c>
      <x:c r="B65" s="2" t="n">
        <x:v>58</x:v>
      </x:c>
      <x:c r="C65" s="12" t="n">
        <x:f>'Салық календары'!J65</x:f>
        <x:v>46407</x:v>
      </x:c>
      <x:c r="D65" s="13" t="str">
        <x:v>Пайда салығы авансы</x:v>
      </x:c>
      <x:c r="E65" s="14" t="n">
        <x:v>46410</x:v>
      </x:c>
      <x:c r="F65" s="14" t="str">
        <x:f>IF('Салық календары'!F65="","",'Салық календары'!F65)</x:f>
      </x:c>
      <x:c r="G65" s="2" t="str">
        <x:v>2027-01</x:v>
      </x:c>
      <x:c r="H65" s="2" t="str">
        <x:v>M</x:v>
      </x:c>
      <x:c r="I65" s="10" t="str">
        <x:f>IF(AND(COUNTIFS('Клиентлер'!$T$8:$T$31,1)=24,COUNT('Клиентлер'!$M$8:$M$31)=24),COUNTIFS('Клиентлер'!$M$8:$M$31,1,'Клиентлер'!$T$8:$T$31,1),"")</x:f>
      </x:c>
      <x:c r="J65" s="10"/>
      <x:c r="K65" s="2" t="n">
        <x:f>SUMIFS('Күнлик есабат'!$F$8:$F$507,'Күнлик есабат'!$C$8:$C$507,A65,'Күнлик есабат'!$L$8:$L$507,0,'Күнлик есабат'!$M$8:$M$507,0)-SUMIFS('Күнлик есабат'!$H$8:$H$507,'Күнлик есабат'!$C$8:$C$507,A65,'Күнлик есабат'!$L$8:$L$507,0,'Күнлик есабат'!$M$8:$M$507,0)</x:f>
        <x:v>0</x:v>
      </x:c>
      <x:c r="L65" s="2" t="n">
        <x:f>SUMIFS('Күнлик есабат'!$G$8:$G$507,'Күнлик есабат'!$C$8:$C$507,A65,'Күнлик есабат'!$L$8:$L$507,0,'Күнлик есабат'!$M$8:$M$507,0)</x:f>
        <x:v>0</x:v>
      </x:c>
      <x:c r="M65" s="2" t="str">
        <x:f>IF(I65="","",MAX(I65-K65,0))</x:f>
      </x:c>
      <x:c r="N65" s="16" t="str">
        <x:f>IF(OR(I65="",I65=0),"",MIN(K65/I65,1))</x:f>
      </x:c>
      <x:c r="O65" s="2" t="n">
        <x:f>24-COUNTIFS('Клиентлер'!$T$8:$T$31,1)</x:f>
        <x:v>24</x:v>
      </x:c>
      <x:c r="P65" s="2" t="n">
        <x:f>IF(AND('Салық календары'!G65=1,ISNUMBER('Салық календары'!F65)),1,0)</x:f>
        <x:v>0</x:v>
      </x:c>
      <x:c r="Q65" s="2" t="str">
        <x:v>Салық</x:v>
      </x:c>
      <x:c r="R65" s="10"/>
      <x:c r="S65" s="2" t="n">
        <x:f>IF(COUNT(I65)=1,1,0)</x:f>
        <x:v>0</x:v>
      </x:c>
    </x:row>
    <x:row r="66" ht="46" customHeight="1">
      <x:c r="A66" s="2" t="n">
        <x:v>59</x:v>
      </x:c>
      <x:c r="B66" s="2" t="n">
        <x:v>59</x:v>
      </x:c>
      <x:c r="C66" s="12" t="n">
        <x:f>'Салық календары'!J66</x:f>
        <x:v>46394</x:v>
      </x:c>
      <x:c r="D66" s="13" t="str">
        <x:v>Мүлк салығы айлық авансы</x:v>
      </x:c>
      <x:c r="E66" s="14" t="n">
        <x:v>46397</x:v>
      </x:c>
      <x:c r="F66" s="14" t="str">
        <x:f>IF('Салық календары'!F66="","",'Салық календары'!F66)</x:f>
      </x:c>
      <x:c r="G66" s="2" t="str">
        <x:v>2027-01</x:v>
      </x:c>
      <x:c r="H66" s="2" t="str">
        <x:v>J</x:v>
      </x:c>
      <x:c r="I66" s="10" t="str">
        <x:f>IF(AND(COUNTIFS('Клиентлер'!$T$8:$T$31,1)=24,COUNT('Клиентлер'!$J$8:$J$31)=24),COUNTIFS('Клиентлер'!$J$8:$J$31,1,'Клиентлер'!$T$8:$T$31,1,'Клиентлер'!$G$8:$G$31,0),"")</x:f>
      </x:c>
      <x:c r="J66" s="10"/>
      <x:c r="K66" s="2" t="n">
        <x:f>SUMIFS('Күнлик есабат'!$F$8:$F$507,'Күнлик есабат'!$C$8:$C$507,A66,'Күнлик есабат'!$L$8:$L$507,0,'Күнлик есабат'!$M$8:$M$507,0)-SUMIFS('Күнлик есабат'!$H$8:$H$507,'Күнлик есабат'!$C$8:$C$507,A66,'Күнлик есабат'!$L$8:$L$507,0,'Күнлик есабат'!$M$8:$M$507,0)</x:f>
        <x:v>0</x:v>
      </x:c>
      <x:c r="L66" s="2" t="n">
        <x:f>SUMIFS('Күнлик есабат'!$G$8:$G$507,'Күнлик есабат'!$C$8:$C$507,A66,'Күнлик есабат'!$L$8:$L$507,0,'Күнлик есабат'!$M$8:$M$507,0)</x:f>
        <x:v>0</x:v>
      </x:c>
      <x:c r="M66" s="2" t="str">
        <x:f>IF(I66="","",MAX(I66-K66,0))</x:f>
      </x:c>
      <x:c r="N66" s="16" t="str">
        <x:f>IF(OR(I66="",I66=0),"",MIN(K66/I66,1))</x:f>
      </x:c>
      <x:c r="O66" s="2" t="n">
        <x:f>24-COUNTIFS('Клиентлер'!$T$8:$T$31,1)</x:f>
        <x:v>24</x:v>
      </x:c>
      <x:c r="P66" s="2" t="n">
        <x:f>IF(AND('Салық календары'!G66=1,ISNUMBER('Салық календары'!F66)),1,0)</x:f>
        <x:v>0</x:v>
      </x:c>
      <x:c r="Q66" s="2" t="str">
        <x:v>Салық</x:v>
      </x:c>
      <x:c r="R66" s="10"/>
      <x:c r="S66" s="2" t="n">
        <x:f>IF(COUNT(I66)=1,1,0)</x:f>
        <x:v>0</x:v>
      </x:c>
    </x:row>
    <x:row r="67" ht="46" customHeight="1">
      <x:c r="A67" s="2" t="n">
        <x:v>60</x:v>
      </x:c>
      <x:c r="B67" s="2" t="n">
        <x:v>60</x:v>
      </x:c>
      <x:c r="C67" s="12" t="n">
        <x:f>'Салық календары'!J67</x:f>
        <x:v>46394</x:v>
      </x:c>
      <x:c r="D67" s="13" t="str">
        <x:v>Жер салығы айлық төлеми</x:v>
      </x:c>
      <x:c r="E67" s="14" t="n">
        <x:v>46397</x:v>
      </x:c>
      <x:c r="F67" s="14" t="str">
        <x:f>IF('Салық календары'!F67="","",'Салық календары'!F67)</x:f>
      </x:c>
      <x:c r="G67" s="2" t="str">
        <x:v>2027-01</x:v>
      </x:c>
      <x:c r="H67" s="2" t="str">
        <x:v>K</x:v>
      </x:c>
      <x:c r="I67" s="10" t="str">
        <x:f>IF(AND(COUNTIFS('Клиентлер'!$T$8:$T$31,1)=24,COUNT('Клиентлер'!$K$8:$K$31)=24),COUNTIFS('Клиентлер'!$K$8:$K$31,1,'Клиентлер'!$T$8:$T$31,1,'Клиентлер'!$G$8:$G$31,0),"")</x:f>
      </x:c>
      <x:c r="J67" s="10"/>
      <x:c r="K67" s="2" t="n">
        <x:f>SUMIFS('Күнлик есабат'!$F$8:$F$507,'Күнлик есабат'!$C$8:$C$507,A67,'Күнлик есабат'!$L$8:$L$507,0,'Күнлик есабат'!$M$8:$M$507,0)-SUMIFS('Күнлик есабат'!$H$8:$H$507,'Күнлик есабат'!$C$8:$C$507,A67,'Күнлик есабат'!$L$8:$L$507,0,'Күнлик есабат'!$M$8:$M$507,0)</x:f>
        <x:v>0</x:v>
      </x:c>
      <x:c r="L67" s="2" t="n">
        <x:f>SUMIFS('Күнлик есабат'!$G$8:$G$507,'Күнлик есабат'!$C$8:$C$507,A67,'Күнлик есабат'!$L$8:$L$507,0,'Күнлик есабат'!$M$8:$M$507,0)</x:f>
        <x:v>0</x:v>
      </x:c>
      <x:c r="M67" s="2" t="str">
        <x:f>IF(I67="","",MAX(I67-K67,0))</x:f>
      </x:c>
      <x:c r="N67" s="16" t="str">
        <x:f>IF(OR(I67="",I67=0),"",MIN(K67/I67,1))</x:f>
      </x:c>
      <x:c r="O67" s="2" t="n">
        <x:f>24-COUNTIFS('Клиентлер'!$T$8:$T$31,1)</x:f>
        <x:v>24</x:v>
      </x:c>
      <x:c r="P67" s="2" t="n">
        <x:f>IF(AND('Салық календары'!G67=1,ISNUMBER('Салық календары'!F67)),1,0)</x:f>
        <x:v>0</x:v>
      </x:c>
      <x:c r="Q67" s="2" t="str">
        <x:v>Салық</x:v>
      </x:c>
      <x:c r="R67" s="10"/>
      <x:c r="S67" s="2" t="n">
        <x:f>IF(COUNT(I67)=1,1,0)</x:f>
        <x:v>0</x:v>
      </x:c>
    </x:row>
    <x:row r="68" ht="46" customHeight="1">
      <x:c r="A68" s="2" t="n">
        <x:v>61</x:v>
      </x:c>
      <x:c r="B68" s="2" t="n">
        <x:v>61</x:v>
      </x:c>
      <x:c r="C68" s="12" t="n">
        <x:f>'Салық календары'!J68</x:f>
        <x:v>46404</x:v>
      </x:c>
      <x:c r="D68" s="13" t="str">
        <x:v>Суў салығы айлық авансы</x:v>
      </x:c>
      <x:c r="E68" s="14" t="n">
        <x:v>46407</x:v>
      </x:c>
      <x:c r="F68" s="14" t="str">
        <x:f>IF('Салық календары'!F68="","",'Салық календары'!F68)</x:f>
      </x:c>
      <x:c r="G68" s="2" t="str">
        <x:v>2027-01</x:v>
      </x:c>
      <x:c r="H68" s="2" t="str">
        <x:v>V</x:v>
      </x:c>
      <x:c r="I68" s="10" t="str">
        <x:f>IF(AND(COUNTIFS('Клиентлер'!$T$8:$T$31,1)=24,COUNT('Клиентлер'!$V$8:$V$31)=24),COUNTIFS('Клиентлер'!$V$8:$V$31,1,'Клиентлер'!$T$8:$T$31,1,'Клиентлер'!$G$8:$G$31,0),"")</x:f>
      </x:c>
      <x:c r="J68" s="10"/>
      <x:c r="K68" s="2" t="n">
        <x:f>SUMIFS('Күнлик есабат'!$F$8:$F$507,'Күнлик есабат'!$C$8:$C$507,A68,'Күнлик есабат'!$L$8:$L$507,0,'Күнлик есабат'!$M$8:$M$507,0)-SUMIFS('Күнлик есабат'!$H$8:$H$507,'Күнлик есабат'!$C$8:$C$507,A68,'Күнлик есабат'!$L$8:$L$507,0,'Күнлик есабат'!$M$8:$M$507,0)</x:f>
        <x:v>0</x:v>
      </x:c>
      <x:c r="L68" s="2" t="n">
        <x:f>SUMIFS('Күнлик есабат'!$G$8:$G$507,'Күнлик есабат'!$C$8:$C$507,A68,'Күнлик есабат'!$L$8:$L$507,0,'Күнлик есабат'!$M$8:$M$507,0)</x:f>
        <x:v>0</x:v>
      </x:c>
      <x:c r="M68" s="2" t="str">
        <x:f>IF(I68="","",MAX(I68-K68,0))</x:f>
      </x:c>
      <x:c r="N68" s="16" t="str">
        <x:f>IF(OR(I68="",I68=0),"",MIN(K68/I68,1))</x:f>
      </x:c>
      <x:c r="O68" s="2" t="n">
        <x:f>24-COUNTIFS('Клиентлер'!$T$8:$T$31,1)</x:f>
        <x:v>24</x:v>
      </x:c>
      <x:c r="P68" s="2" t="n">
        <x:f>IF(AND('Салық календары'!G68=1,ISNUMBER('Салық календары'!F68)),1,0)</x:f>
        <x:v>0</x:v>
      </x:c>
      <x:c r="Q68" s="2" t="str">
        <x:v>Салық</x:v>
      </x:c>
      <x:c r="R68" s="10"/>
      <x:c r="S68" s="2" t="n">
        <x:f>IF(COUNT(I68)=1,1,0)</x:f>
        <x:v>0</x:v>
      </x:c>
    </x:row>
    <x:row r="69" ht="46" customHeight="1">
      <x:c r="A69" s="2" t="n">
        <x:v>62</x:v>
      </x:c>
      <x:c r="B69" s="2" t="n">
        <x:v>62</x:v>
      </x:c>
      <x:c r="C69" s="12" t="n">
        <x:f>'Салық календары'!J69</x:f>
        <x:v>46435</x:v>
      </x:c>
      <x:c r="D69" s="13" t="str">
        <x:v>ҚҚС есабаты</x:v>
      </x:c>
      <x:c r="E69" s="14" t="n">
        <x:v>46438</x:v>
      </x:c>
      <x:c r="F69" s="14" t="str">
        <x:f>IF('Салық календары'!F69="","",'Салық календары'!F69)</x:f>
      </x:c>
      <x:c r="G69" s="2" t="str">
        <x:v>2027-01</x:v>
      </x:c>
      <x:c r="H69" s="2" t="str">
        <x:v>F</x:v>
      </x:c>
      <x:c r="I69" s="10" t="str">
        <x:f>IF(AND(COUNTIFS('Клиентлер'!$T$8:$T$31,1)=24,COUNT('Клиентлер'!$F$8:$F$31)=24),COUNTIFS('Клиентлер'!$F$8:$F$31,1,'Клиентлер'!$T$8:$T$31,1),"")</x:f>
      </x:c>
      <x:c r="J69" s="10"/>
      <x:c r="K69" s="2" t="n">
        <x:f>SUMIFS('Күнлик есабат'!$F$8:$F$507,'Күнлик есабат'!$C$8:$C$507,A69,'Күнлик есабат'!$L$8:$L$507,0,'Күнлик есабат'!$M$8:$M$507,0)-SUMIFS('Күнлик есабат'!$H$8:$H$507,'Күнлик есабат'!$C$8:$C$507,A69,'Күнлик есабат'!$L$8:$L$507,0,'Күнлик есабат'!$M$8:$M$507,0)</x:f>
        <x:v>0</x:v>
      </x:c>
      <x:c r="L69" s="2" t="n">
        <x:f>SUMIFS('Күнлик есабат'!$G$8:$G$507,'Күнлик есабат'!$C$8:$C$507,A69,'Күнлик есабат'!$L$8:$L$507,0,'Күнлик есабат'!$M$8:$M$507,0)</x:f>
        <x:v>0</x:v>
      </x:c>
      <x:c r="M69" s="2" t="str">
        <x:f>IF(I69="","",MAX(I69-K69,0))</x:f>
      </x:c>
      <x:c r="N69" s="16" t="str">
        <x:f>IF(OR(I69="",I69=0),"",MIN(K69/I69,1))</x:f>
      </x:c>
      <x:c r="O69" s="2" t="n">
        <x:f>24-COUNTIFS('Клиентлер'!$T$8:$T$31,1)</x:f>
        <x:v>24</x:v>
      </x:c>
      <x:c r="P69" s="2" t="n">
        <x:f>IF(AND('Салық календары'!G69=1,ISNUMBER('Салық календары'!F69)),1,0)</x:f>
        <x:v>0</x:v>
      </x:c>
      <x:c r="Q69" s="2" t="str">
        <x:v>Салық</x:v>
      </x:c>
      <x:c r="R69" s="10"/>
      <x:c r="S69" s="2" t="n">
        <x:f>IF(COUNT(I69)=1,1,0)</x:f>
        <x:v>0</x:v>
      </x:c>
    </x:row>
    <x:row r="70" ht="46" customHeight="1">
      <x:c r="A70" s="2" t="n">
        <x:v>63</x:v>
      </x:c>
      <x:c r="B70" s="2" t="n">
        <x:v>63</x:v>
      </x:c>
      <x:c r="C70" s="12" t="n">
        <x:f>'Салық календары'!J70</x:f>
        <x:v>46435</x:v>
      </x:c>
      <x:c r="D70" s="13" t="str">
        <x:v>ҚҚС төлеми</x:v>
      </x:c>
      <x:c r="E70" s="14" t="n">
        <x:v>46438</x:v>
      </x:c>
      <x:c r="F70" s="14" t="str">
        <x:f>IF('Салық календары'!F70="","",'Салық календары'!F70)</x:f>
      </x:c>
      <x:c r="G70" s="2" t="str">
        <x:v>2027-01</x:v>
      </x:c>
      <x:c r="H70" s="2" t="str">
        <x:v>F</x:v>
      </x:c>
      <x:c r="I70" s="10" t="str">
        <x:f>IF(AND(COUNTIFS('Клиентлер'!$T$8:$T$31,1)=24,COUNT('Клиентлер'!$F$8:$F$31)=24),COUNTIFS('Клиентлер'!$F$8:$F$31,1,'Клиентлер'!$T$8:$T$31,1),"")</x:f>
      </x:c>
      <x:c r="J70" s="10"/>
      <x:c r="K70" s="2" t="n">
        <x:f>SUMIFS('Күнлик есабат'!$F$8:$F$507,'Күнлик есабат'!$C$8:$C$507,A70,'Күнлик есабат'!$L$8:$L$507,0,'Күнлик есабат'!$M$8:$M$507,0)-SUMIFS('Күнлик есабат'!$H$8:$H$507,'Күнлик есабат'!$C$8:$C$507,A70,'Күнлик есабат'!$L$8:$L$507,0,'Күнлик есабат'!$M$8:$M$507,0)</x:f>
        <x:v>0</x:v>
      </x:c>
      <x:c r="L70" s="2" t="n">
        <x:f>SUMIFS('Күнлик есабат'!$G$8:$G$507,'Күнлик есабат'!$C$8:$C$507,A70,'Күнлик есабат'!$L$8:$L$507,0,'Күнлик есабат'!$M$8:$M$507,0)</x:f>
        <x:v>0</x:v>
      </x:c>
      <x:c r="M70" s="2" t="str">
        <x:f>IF(I70="","",MAX(I70-K70,0))</x:f>
      </x:c>
      <x:c r="N70" s="16" t="str">
        <x:f>IF(OR(I70="",I70=0),"",MIN(K70/I70,1))</x:f>
      </x:c>
      <x:c r="O70" s="2" t="n">
        <x:f>24-COUNTIFS('Клиентлер'!$T$8:$T$31,1)</x:f>
        <x:v>24</x:v>
      </x:c>
      <x:c r="P70" s="2" t="n">
        <x:f>IF(AND('Салық календары'!G70=1,ISNUMBER('Салық календары'!F70)),1,0)</x:f>
        <x:v>0</x:v>
      </x:c>
      <x:c r="Q70" s="2" t="str">
        <x:v>Салық</x:v>
      </x:c>
      <x:c r="R70" s="10"/>
      <x:c r="S70" s="2" t="n">
        <x:f>IF(COUNT(I70)=1,1,0)</x:f>
        <x:v>0</x:v>
      </x:c>
    </x:row>
    <x:row r="71" ht="46" customHeight="1">
      <x:c r="A71" s="2" t="n">
        <x:v>64</x:v>
      </x:c>
      <x:c r="B71" s="2" t="n">
        <x:v>64</x:v>
      </x:c>
      <x:c r="C71" s="12" t="n">
        <x:f>'Салық календары'!J71</x:f>
        <x:v>46430</x:v>
      </x:c>
      <x:c r="D71" s="13" t="str">
        <x:v>Айланба салығы есабаты</x:v>
      </x:c>
      <x:c r="E71" s="14" t="n">
        <x:v>46433</x:v>
      </x:c>
      <x:c r="F71" s="14" t="str">
        <x:f>IF('Салық календары'!F71="","",'Салық календары'!F71)</x:f>
      </x:c>
      <x:c r="G71" s="2" t="str">
        <x:v>2027-01</x:v>
      </x:c>
      <x:c r="H71" s="2" t="str">
        <x:v>G</x:v>
      </x:c>
      <x:c r="I71" s="10" t="str">
        <x:f>IF(AND(COUNTIFS('Клиентлер'!$T$8:$T$31,1)=24,COUNT('Клиентлер'!$G$8:$G$31)=24),COUNTIFS('Клиентлер'!$G$8:$G$31,1,'Клиентлер'!$T$8:$T$31,1),"")</x:f>
      </x:c>
      <x:c r="J71" s="10"/>
      <x:c r="K71" s="2" t="n">
        <x:f>SUMIFS('Күнлик есабат'!$F$8:$F$507,'Күнлик есабат'!$C$8:$C$507,A71,'Күнлик есабат'!$L$8:$L$507,0,'Күнлик есабат'!$M$8:$M$507,0)-SUMIFS('Күнлик есабат'!$H$8:$H$507,'Күнлик есабат'!$C$8:$C$507,A71,'Күнлик есабат'!$L$8:$L$507,0,'Күнлик есабат'!$M$8:$M$507,0)</x:f>
        <x:v>0</x:v>
      </x:c>
      <x:c r="L71" s="2" t="n">
        <x:f>SUMIFS('Күнлик есабат'!$G$8:$G$507,'Күнлик есабат'!$C$8:$C$507,A71,'Күнлик есабат'!$L$8:$L$507,0,'Күнлик есабат'!$M$8:$M$507,0)</x:f>
        <x:v>0</x:v>
      </x:c>
      <x:c r="M71" s="2" t="str">
        <x:f>IF(I71="","",MAX(I71-K71,0))</x:f>
      </x:c>
      <x:c r="N71" s="16" t="str">
        <x:f>IF(OR(I71="",I71=0),"",MIN(K71/I71,1))</x:f>
      </x:c>
      <x:c r="O71" s="2" t="n">
        <x:f>24-COUNTIFS('Клиентлер'!$T$8:$T$31,1)</x:f>
        <x:v>24</x:v>
      </x:c>
      <x:c r="P71" s="2" t="n">
        <x:f>IF(AND('Салық календары'!G71=1,ISNUMBER('Салық календары'!F71)),1,0)</x:f>
        <x:v>0</x:v>
      </x:c>
      <x:c r="Q71" s="2" t="str">
        <x:v>Салық</x:v>
      </x:c>
      <x:c r="R71" s="10"/>
      <x:c r="S71" s="2" t="n">
        <x:f>IF(COUNT(I71)=1,1,0)</x:f>
        <x:v>0</x:v>
      </x:c>
    </x:row>
    <x:row r="72" ht="46" customHeight="1">
      <x:c r="A72" s="2" t="n">
        <x:v>65</x:v>
      </x:c>
      <x:c r="B72" s="2" t="n">
        <x:v>65</x:v>
      </x:c>
      <x:c r="C72" s="12" t="n">
        <x:f>'Салық календары'!J72</x:f>
        <x:v>46430</x:v>
      </x:c>
      <x:c r="D72" s="13" t="str">
        <x:v>Айланба салығы төлеми</x:v>
      </x:c>
      <x:c r="E72" s="14" t="n">
        <x:v>46433</x:v>
      </x:c>
      <x:c r="F72" s="14" t="str">
        <x:f>IF('Салық календары'!F72="","",'Салық календары'!F72)</x:f>
      </x:c>
      <x:c r="G72" s="2" t="str">
        <x:v>2027-01</x:v>
      </x:c>
      <x:c r="H72" s="2" t="str">
        <x:v>G</x:v>
      </x:c>
      <x:c r="I72" s="10" t="str">
        <x:f>IF(AND(COUNTIFS('Клиентлер'!$T$8:$T$31,1)=24,COUNT('Клиентлер'!$G$8:$G$31)=24),COUNTIFS('Клиентлер'!$G$8:$G$31,1,'Клиентлер'!$T$8:$T$31,1),"")</x:f>
      </x:c>
      <x:c r="J72" s="10"/>
      <x:c r="K72" s="2" t="n">
        <x:f>SUMIFS('Күнлик есабат'!$F$8:$F$507,'Күнлик есабат'!$C$8:$C$507,A72,'Күнлик есабат'!$L$8:$L$507,0,'Күнлик есабат'!$M$8:$M$507,0)-SUMIFS('Күнлик есабат'!$H$8:$H$507,'Күнлик есабат'!$C$8:$C$507,A72,'Күнлик есабат'!$L$8:$L$507,0,'Күнлик есабат'!$M$8:$M$507,0)</x:f>
        <x:v>0</x:v>
      </x:c>
      <x:c r="L72" s="2" t="n">
        <x:f>SUMIFS('Күнлик есабат'!$G$8:$G$507,'Күнлик есабат'!$C$8:$C$507,A72,'Күнлик есабат'!$L$8:$L$507,0,'Күнлик есабат'!$M$8:$M$507,0)</x:f>
        <x:v>0</x:v>
      </x:c>
      <x:c r="M72" s="2" t="str">
        <x:f>IF(I72="","",MAX(I72-K72,0))</x:f>
      </x:c>
      <x:c r="N72" s="16" t="str">
        <x:f>IF(OR(I72="",I72=0),"",MIN(K72/I72,1))</x:f>
      </x:c>
      <x:c r="O72" s="2" t="n">
        <x:f>24-COUNTIFS('Клиентлер'!$T$8:$T$31,1)</x:f>
        <x:v>24</x:v>
      </x:c>
      <x:c r="P72" s="2" t="n">
        <x:f>IF(AND('Салық календары'!G72=1,ISNUMBER('Салық календары'!F72)),1,0)</x:f>
        <x:v>0</x:v>
      </x:c>
      <x:c r="Q72" s="2" t="str">
        <x:v>Салық</x:v>
      </x:c>
      <x:c r="R72" s="10"/>
      <x:c r="S72" s="2" t="n">
        <x:f>IF(COUNT(I72)=1,1,0)</x:f>
        <x:v>0</x:v>
      </x:c>
    </x:row>
    <x:row r="73" ht="46" customHeight="1">
      <x:c r="A73" s="2" t="n">
        <x:v>66</x:v>
      </x:c>
      <x:c r="B73" s="2" t="n">
        <x:v>66</x:v>
      </x:c>
      <x:c r="C73" s="12" t="n">
        <x:f>'Салық календары'!J73</x:f>
        <x:v>46430</x:v>
      </x:c>
      <x:c r="D73" s="13" t="str">
        <x:v>Дәрамат салығы есабаты</x:v>
      </x:c>
      <x:c r="E73" s="14" t="n">
        <x:v>46433</x:v>
      </x:c>
      <x:c r="F73" s="14" t="str">
        <x:f>IF('Салық календары'!F73="","",'Салық календары'!F73)</x:f>
      </x:c>
      <x:c r="G73" s="2" t="str">
        <x:v>2027-01</x:v>
      </x:c>
      <x:c r="H73" s="2" t="str">
        <x:v>I</x:v>
      </x:c>
      <x:c r="I73" s="10" t="str">
        <x:f>IF(AND(COUNTIFS('Клиентлер'!$T$8:$T$31,1)=24,COUNT('Клиентлер'!$I$8:$I$31)=24),COUNTIFS('Клиентлер'!$I$8:$I$31,1,'Клиентлер'!$T$8:$T$31,1),"")</x:f>
      </x:c>
      <x:c r="J73" s="10"/>
      <x:c r="K73" s="2" t="n">
        <x:f>SUMIFS('Күнлик есабат'!$F$8:$F$507,'Күнлик есабат'!$C$8:$C$507,A73,'Күнлик есабат'!$L$8:$L$507,0,'Күнлик есабат'!$M$8:$M$507,0)-SUMIFS('Күнлик есабат'!$H$8:$H$507,'Күнлик есабат'!$C$8:$C$507,A73,'Күнлик есабат'!$L$8:$L$507,0,'Күнлик есабат'!$M$8:$M$507,0)</x:f>
        <x:v>0</x:v>
      </x:c>
      <x:c r="L73" s="2" t="n">
        <x:f>SUMIFS('Күнлик есабат'!$G$8:$G$507,'Күнлик есабат'!$C$8:$C$507,A73,'Күнлик есабат'!$L$8:$L$507,0,'Күнлик есабат'!$M$8:$M$507,0)</x:f>
        <x:v>0</x:v>
      </x:c>
      <x:c r="M73" s="2" t="str">
        <x:f>IF(I73="","",MAX(I73-K73,0))</x:f>
      </x:c>
      <x:c r="N73" s="16" t="str">
        <x:f>IF(OR(I73="",I73=0),"",MIN(K73/I73,1))</x:f>
      </x:c>
      <x:c r="O73" s="2" t="n">
        <x:f>24-COUNTIFS('Клиентлер'!$T$8:$T$31,1)</x:f>
        <x:v>24</x:v>
      </x:c>
      <x:c r="P73" s="2" t="n">
        <x:f>IF(AND('Салық календары'!G73=1,ISNUMBER('Салық календары'!F73)),1,0)</x:f>
        <x:v>0</x:v>
      </x:c>
      <x:c r="Q73" s="2" t="str">
        <x:v>Салық</x:v>
      </x:c>
      <x:c r="R73" s="10"/>
      <x:c r="S73" s="2" t="n">
        <x:f>IF(COUNT(I73)=1,1,0)</x:f>
        <x:v>0</x:v>
      </x:c>
    </x:row>
    <x:row r="74" ht="46" customHeight="1">
      <x:c r="A74" s="2" t="n">
        <x:v>67</x:v>
      </x:c>
      <x:c r="B74" s="2" t="n">
        <x:v>67</x:v>
      </x:c>
      <x:c r="C74" s="12" t="n">
        <x:f>'Салық календары'!J74</x:f>
        <x:v>46430</x:v>
      </x:c>
      <x:c r="D74" s="13" t="str">
        <x:v>Социаллық салық есабаты</x:v>
      </x:c>
      <x:c r="E74" s="14" t="n">
        <x:v>46433</x:v>
      </x:c>
      <x:c r="F74" s="14" t="str">
        <x:f>IF('Салық календары'!F74="","",'Салық календары'!F74)</x:f>
      </x:c>
      <x:c r="G74" s="2" t="str">
        <x:v>2027-01</x:v>
      </x:c>
      <x:c r="H74" s="2" t="str">
        <x:v>I</x:v>
      </x:c>
      <x:c r="I74" s="10" t="str">
        <x:f>IF(AND(COUNTIFS('Клиентлер'!$T$8:$T$31,1)=24,COUNT('Клиентлер'!$I$8:$I$31)=24),COUNTIFS('Клиентлер'!$I$8:$I$31,1,'Клиентлер'!$T$8:$T$31,1),"")</x:f>
      </x:c>
      <x:c r="J74" s="10"/>
      <x:c r="K74" s="2" t="n">
        <x:f>SUMIFS('Күнлик есабат'!$F$8:$F$507,'Күнлик есабат'!$C$8:$C$507,A74,'Күнлик есабат'!$L$8:$L$507,0,'Күнлик есабат'!$M$8:$M$507,0)-SUMIFS('Күнлик есабат'!$H$8:$H$507,'Күнлик есабат'!$C$8:$C$507,A74,'Күнлик есабат'!$L$8:$L$507,0,'Күнлик есабат'!$M$8:$M$507,0)</x:f>
        <x:v>0</x:v>
      </x:c>
      <x:c r="L74" s="2" t="n">
        <x:f>SUMIFS('Күнлик есабат'!$G$8:$G$507,'Күнлик есабат'!$C$8:$C$507,A74,'Күнлик есабат'!$L$8:$L$507,0,'Күнлик есабат'!$M$8:$M$507,0)</x:f>
        <x:v>0</x:v>
      </x:c>
      <x:c r="M74" s="2" t="str">
        <x:f>IF(I74="","",MAX(I74-K74,0))</x:f>
      </x:c>
      <x:c r="N74" s="16" t="str">
        <x:f>IF(OR(I74="",I74=0),"",MIN(K74/I74,1))</x:f>
      </x:c>
      <x:c r="O74" s="2" t="n">
        <x:f>24-COUNTIFS('Клиентлер'!$T$8:$T$31,1)</x:f>
        <x:v>24</x:v>
      </x:c>
      <x:c r="P74" s="2" t="n">
        <x:f>IF(AND('Салық календары'!G74=1,ISNUMBER('Салық календары'!F74)),1,0)</x:f>
        <x:v>0</x:v>
      </x:c>
      <x:c r="Q74" s="2" t="str">
        <x:v>Салық</x:v>
      </x:c>
      <x:c r="R74" s="10"/>
      <x:c r="S74" s="2" t="n">
        <x:f>IF(COUNT(I74)=1,1,0)</x:f>
        <x:v>0</x:v>
      </x:c>
    </x:row>
    <x:row r="75" ht="46" customHeight="1">
      <x:c r="A75" s="2" t="n">
        <x:v>68</x:v>
      </x:c>
      <x:c r="B75" s="2" t="n">
        <x:v>68</x:v>
      </x:c>
      <x:c r="C75" s="12" t="n">
        <x:f>'Салық календары'!J75</x:f>
        <x:v>46430</x:v>
      </x:c>
      <x:c r="D75" s="13" t="str">
        <x:v>Социаллық салық төлеми</x:v>
      </x:c>
      <x:c r="E75" s="14" t="n">
        <x:v>46433</x:v>
      </x:c>
      <x:c r="F75" s="14" t="str">
        <x:f>IF('Салық календары'!F75="","",'Салық календары'!F75)</x:f>
      </x:c>
      <x:c r="G75" s="2" t="str">
        <x:v>2027-01</x:v>
      </x:c>
      <x:c r="H75" s="2" t="str">
        <x:v>I</x:v>
      </x:c>
      <x:c r="I75" s="10" t="str">
        <x:f>IF(AND(COUNTIFS('Клиентлер'!$T$8:$T$31,1)=24,COUNT('Клиентлер'!$I$8:$I$31)=24),COUNTIFS('Клиентлер'!$I$8:$I$31,1,'Клиентлер'!$T$8:$T$31,1),"")</x:f>
      </x:c>
      <x:c r="J75" s="10"/>
      <x:c r="K75" s="2" t="n">
        <x:f>SUMIFS('Күнлик есабат'!$F$8:$F$507,'Күнлик есабат'!$C$8:$C$507,A75,'Күнлик есабат'!$L$8:$L$507,0,'Күнлик есабат'!$M$8:$M$507,0)-SUMIFS('Күнлик есабат'!$H$8:$H$507,'Күнлик есабат'!$C$8:$C$507,A75,'Күнлик есабат'!$L$8:$L$507,0,'Күнлик есабат'!$M$8:$M$507,0)</x:f>
        <x:v>0</x:v>
      </x:c>
      <x:c r="L75" s="2" t="n">
        <x:f>SUMIFS('Күнлик есабат'!$G$8:$G$507,'Күнлик есабат'!$C$8:$C$507,A75,'Күнлик есабат'!$L$8:$L$507,0,'Күнлик есабат'!$M$8:$M$507,0)</x:f>
        <x:v>0</x:v>
      </x:c>
      <x:c r="M75" s="2" t="str">
        <x:f>IF(I75="","",MAX(I75-K75,0))</x:f>
      </x:c>
      <x:c r="N75" s="16" t="str">
        <x:f>IF(OR(I75="",I75=0),"",MIN(K75/I75,1))</x:f>
      </x:c>
      <x:c r="O75" s="2" t="n">
        <x:f>24-COUNTIFS('Клиентлер'!$T$8:$T$31,1)</x:f>
        <x:v>24</x:v>
      </x:c>
      <x:c r="P75" s="2" t="n">
        <x:f>IF(AND('Салық календары'!G75=1,ISNUMBER('Салық календары'!F75)),1,0)</x:f>
        <x:v>0</x:v>
      </x:c>
      <x:c r="Q75" s="2" t="str">
        <x:v>Салық</x:v>
      </x:c>
      <x:c r="R75" s="10"/>
      <x:c r="S75" s="2" t="n">
        <x:f>IF(COUNT(I75)=1,1,0)</x:f>
        <x:v>0</x:v>
      </x:c>
    </x:row>
    <x:row r="76" ht="46" customHeight="1">
      <x:c r="A76" s="2" t="n">
        <x:v>69</x:v>
      </x:c>
      <x:c r="B76" s="2" t="n">
        <x:v>69</x:v>
      </x:c>
      <x:c r="C76" s="12" t="n">
        <x:f>'Салық календары'!J76</x:f>
        <x:v>46425</x:v>
      </x:c>
      <x:c r="D76" s="13" t="str">
        <x:v>Акциз есабаты ҳәм төлемин тексериў</x:v>
      </x:c>
      <x:c r="E76" s="14" t="n">
        <x:v>46428</x:v>
      </x:c>
      <x:c r="F76" s="14" t="str">
        <x:f>IF('Салық календары'!F76="","",'Салық календары'!F76)</x:f>
      </x:c>
      <x:c r="G76" s="2" t="str">
        <x:v>2027-01</x:v>
      </x:c>
      <x:c r="H76" s="2" t="str">
        <x:v>N</x:v>
      </x:c>
      <x:c r="I76" s="10" t="str">
        <x:f>IF(AND(COUNTIFS('Клиентлер'!$T$8:$T$31,1)=24,COUNT('Клиентлер'!$N$8:$N$31)=24),COUNTIFS('Клиентлер'!$N$8:$N$31,1,'Клиентлер'!$T$8:$T$31,1),"")</x:f>
      </x:c>
      <x:c r="J76" s="10"/>
      <x:c r="K76" s="2" t="n">
        <x:f>SUMIFS('Күнлик есабат'!$F$8:$F$507,'Күнлик есабат'!$C$8:$C$507,A76,'Күнлик есабат'!$L$8:$L$507,0,'Күнлик есабат'!$M$8:$M$507,0)-SUMIFS('Күнлик есабат'!$H$8:$H$507,'Күнлик есабат'!$C$8:$C$507,A76,'Күнлик есабат'!$L$8:$L$507,0,'Күнлик есабат'!$M$8:$M$507,0)</x:f>
        <x:v>0</x:v>
      </x:c>
      <x:c r="L76" s="2" t="n">
        <x:f>SUMIFS('Күнлик есабат'!$G$8:$G$507,'Күнлик есабат'!$C$8:$C$507,A76,'Күнлик есабат'!$L$8:$L$507,0,'Күнлик есабат'!$M$8:$M$507,0)</x:f>
        <x:v>0</x:v>
      </x:c>
      <x:c r="M76" s="2" t="str">
        <x:f>IF(I76="","",MAX(I76-K76,0))</x:f>
      </x:c>
      <x:c r="N76" s="16" t="str">
        <x:f>IF(OR(I76="",I76=0),"",MIN(K76/I76,1))</x:f>
      </x:c>
      <x:c r="O76" s="2" t="n">
        <x:f>24-COUNTIFS('Клиентлер'!$T$8:$T$31,1)</x:f>
        <x:v>24</x:v>
      </x:c>
      <x:c r="P76" s="2" t="n">
        <x:f>IF(AND('Салық календары'!G76=1,ISNUMBER('Салық календары'!F76)),1,0)</x:f>
        <x:v>0</x:v>
      </x:c>
      <x:c r="Q76" s="2" t="str">
        <x:v>Салық</x:v>
      </x:c>
      <x:c r="R76" s="10"/>
      <x:c r="S76" s="2" t="n">
        <x:f>IF(COUNT(I76)=1,1,0)</x:f>
        <x:v>0</x:v>
      </x:c>
    </x:row>
    <x:row r="77" ht="46" customHeight="1">
      <x:c r="A77" s="2" t="n">
        <x:v>70</x:v>
      </x:c>
      <x:c r="B77" s="2" t="n">
        <x:v>70</x:v>
      </x:c>
      <x:c r="C77" s="12" t="n">
        <x:f>'Салық календары'!J77</x:f>
        <x:v>46435</x:v>
      </x:c>
      <x:c r="D77" s="13" t="str">
        <x:v>Дивиденд ҳәм процент салығы есабаты</x:v>
      </x:c>
      <x:c r="E77" s="14" t="n">
        <x:v>46438</x:v>
      </x:c>
      <x:c r="F77" s="14" t="str">
        <x:f>IF('Салық календары'!F77="","",'Салық календары'!F77)</x:f>
      </x:c>
      <x:c r="G77" s="2" t="str">
        <x:v>2027-01</x:v>
      </x:c>
      <x:c r="H77" s="2" t="str">
        <x:v>O</x:v>
      </x:c>
      <x:c r="I77" s="10" t="str">
        <x:f>IF(AND(COUNTIFS('Клиентлер'!$T$8:$T$31,1)=24,COUNT('Клиентлер'!$O$8:$O$31)=24),COUNTIFS('Клиентлер'!$O$8:$O$31,1,'Клиентлер'!$T$8:$T$31,1),"")</x:f>
      </x:c>
      <x:c r="J77" s="10"/>
      <x:c r="K77" s="2" t="n">
        <x:f>SUMIFS('Күнлик есабат'!$F$8:$F$507,'Күнлик есабат'!$C$8:$C$507,A77,'Күнлик есабат'!$L$8:$L$507,0,'Күнлик есабат'!$M$8:$M$507,0)-SUMIFS('Күнлик есабат'!$H$8:$H$507,'Күнлик есабат'!$C$8:$C$507,A77,'Күнлик есабат'!$L$8:$L$507,0,'Күнлик есабат'!$M$8:$M$507,0)</x:f>
        <x:v>0</x:v>
      </x:c>
      <x:c r="L77" s="2" t="n">
        <x:f>SUMIFS('Күнлик есабат'!$G$8:$G$507,'Күнлик есабат'!$C$8:$C$507,A77,'Күнлик есабат'!$L$8:$L$507,0,'Күнлик есабат'!$M$8:$M$507,0)</x:f>
        <x:v>0</x:v>
      </x:c>
      <x:c r="M77" s="2" t="str">
        <x:f>IF(I77="","",MAX(I77-K77,0))</x:f>
      </x:c>
      <x:c r="N77" s="16" t="str">
        <x:f>IF(OR(I77="",I77=0),"",MIN(K77/I77,1))</x:f>
      </x:c>
      <x:c r="O77" s="2" t="n">
        <x:f>24-COUNTIFS('Клиентлер'!$T$8:$T$31,1)</x:f>
        <x:v>24</x:v>
      </x:c>
      <x:c r="P77" s="2" t="n">
        <x:f>IF(AND('Салық календары'!G77=1,ISNUMBER('Салық календары'!F77)),1,0)</x:f>
        <x:v>0</x:v>
      </x:c>
      <x:c r="Q77" s="2" t="str">
        <x:v>Салық</x:v>
      </x:c>
      <x:c r="R77" s="10"/>
      <x:c r="S77" s="2" t="n">
        <x:f>IF(COUNT(I77)=1,1,0)</x:f>
        <x:v>0</x:v>
      </x:c>
    </x:row>
    <x:row r="78" ht="46" customHeight="1">
      <x:c r="A78" s="2" t="n">
        <x:v>71</x:v>
      </x:c>
      <x:c r="B78" s="2" t="n">
        <x:v>71</x:v>
      </x:c>
      <x:c r="C78" s="12" t="n">
        <x:f>'Салық календары'!J78</x:f>
        <x:v>46435</x:v>
      </x:c>
      <x:c r="D78" s="13" t="str">
        <x:v>Норезидент дәраматы салығы есабаты</x:v>
      </x:c>
      <x:c r="E78" s="14" t="n">
        <x:v>46438</x:v>
      </x:c>
      <x:c r="F78" s="14" t="str">
        <x:f>IF('Салық календары'!F78="","",'Салық календары'!F78)</x:f>
      </x:c>
      <x:c r="G78" s="2" t="str">
        <x:v>2027-01</x:v>
      </x:c>
      <x:c r="H78" s="2" t="str">
        <x:v>P</x:v>
      </x:c>
      <x:c r="I78" s="10" t="str">
        <x:f>IF(AND(COUNTIFS('Клиентлер'!$T$8:$T$31,1)=24,COUNT('Клиентлер'!$P$8:$P$31)=24),COUNTIFS('Клиентлер'!$P$8:$P$31,1,'Клиентлер'!$T$8:$T$31,1),"")</x:f>
      </x:c>
      <x:c r="J78" s="10"/>
      <x:c r="K78" s="2" t="n">
        <x:f>SUMIFS('Күнлик есабат'!$F$8:$F$507,'Күнлик есабат'!$C$8:$C$507,A78,'Күнлик есабат'!$L$8:$L$507,0,'Күнлик есабат'!$M$8:$M$507,0)-SUMIFS('Күнлик есабат'!$H$8:$H$507,'Күнлик есабат'!$C$8:$C$507,A78,'Күнлик есабат'!$L$8:$L$507,0,'Күнлик есабат'!$M$8:$M$507,0)</x:f>
        <x:v>0</x:v>
      </x:c>
      <x:c r="L78" s="2" t="n">
        <x:f>SUMIFS('Күнлик есабат'!$G$8:$G$507,'Күнлик есабат'!$C$8:$C$507,A78,'Күнлик есабат'!$L$8:$L$507,0,'Күнлик есабат'!$M$8:$M$507,0)</x:f>
        <x:v>0</x:v>
      </x:c>
      <x:c r="M78" s="2" t="str">
        <x:f>IF(I78="","",MAX(I78-K78,0))</x:f>
      </x:c>
      <x:c r="N78" s="16" t="str">
        <x:f>IF(OR(I78="",I78=0),"",MIN(K78/I78,1))</x:f>
      </x:c>
      <x:c r="O78" s="2" t="n">
        <x:f>24-COUNTIFS('Клиентлер'!$T$8:$T$31,1)</x:f>
        <x:v>24</x:v>
      </x:c>
      <x:c r="P78" s="2" t="n">
        <x:f>IF(AND('Салық календары'!G78=1,ISNUMBER('Салық календары'!F78)),1,0)</x:f>
        <x:v>0</x:v>
      </x:c>
      <x:c r="Q78" s="2" t="str">
        <x:v>Салық</x:v>
      </x:c>
      <x:c r="R78" s="10"/>
      <x:c r="S78" s="2" t="n">
        <x:f>IF(COUNT(I78)=1,1,0)</x:f>
        <x:v>0</x:v>
      </x:c>
    </x:row>
    <x:row r="79" ht="46" customHeight="1">
      <x:c r="A79" s="2" t="n">
        <x:v>72</x:v>
      </x:c>
      <x:c r="B79" s="2" t="n">
        <x:v>72</x:v>
      </x:c>
      <x:c r="C79" s="12" t="n">
        <x:f>'Салық календары'!J79</x:f>
        <x:v>46435</x:v>
      </x:c>
      <x:c r="D79" s="13" t="str">
        <x:v>Жер қойнаўынан пайдаланыў есабаты</x:v>
      </x:c>
      <x:c r="E79" s="14" t="n">
        <x:v>46438</x:v>
      </x:c>
      <x:c r="F79" s="14" t="str">
        <x:f>IF('Салық календары'!F79="","",'Салық календары'!F79)</x:f>
      </x:c>
      <x:c r="G79" s="2" t="str">
        <x:v>2027-01</x:v>
      </x:c>
      <x:c r="H79" s="2" t="str">
        <x:v>Q</x:v>
      </x:c>
      <x:c r="I79" s="10" t="str">
        <x:f>IF(AND(COUNTIFS('Клиентлер'!$T$8:$T$31,1)=24,COUNT('Клиентлер'!$Q$8:$Q$31)=24),COUNTIFS('Клиентлер'!$Q$8:$Q$31,1,'Клиентлер'!$T$8:$T$31,1),"")</x:f>
      </x:c>
      <x:c r="J79" s="10"/>
      <x:c r="K79" s="2" t="n">
        <x:f>SUMIFS('Күнлик есабат'!$F$8:$F$507,'Күнлик есабат'!$C$8:$C$507,A79,'Күнлик есабат'!$L$8:$L$507,0,'Күнлик есабат'!$M$8:$M$507,0)-SUMIFS('Күнлик есабат'!$H$8:$H$507,'Күнлик есабат'!$C$8:$C$507,A79,'Күнлик есабат'!$L$8:$L$507,0,'Күнлик есабат'!$M$8:$M$507,0)</x:f>
        <x:v>0</x:v>
      </x:c>
      <x:c r="L79" s="2" t="n">
        <x:f>SUMIFS('Күнлик есабат'!$G$8:$G$507,'Күнлик есабат'!$C$8:$C$507,A79,'Күнлик есабат'!$L$8:$L$507,0,'Күнлик есабат'!$M$8:$M$507,0)</x:f>
        <x:v>0</x:v>
      </x:c>
      <x:c r="M79" s="2" t="str">
        <x:f>IF(I79="","",MAX(I79-K79,0))</x:f>
      </x:c>
      <x:c r="N79" s="16" t="str">
        <x:f>IF(OR(I79="",I79=0),"",MIN(K79/I79,1))</x:f>
      </x:c>
      <x:c r="O79" s="2" t="n">
        <x:f>24-COUNTIFS('Клиентлер'!$T$8:$T$31,1)</x:f>
        <x:v>24</x:v>
      </x:c>
      <x:c r="P79" s="2" t="n">
        <x:f>IF(AND('Салық календары'!G79=1,ISNUMBER('Салық календары'!F79)),1,0)</x:f>
        <x:v>0</x:v>
      </x:c>
      <x:c r="Q79" s="2" t="str">
        <x:v>Салық</x:v>
      </x:c>
      <x:c r="R79" s="10"/>
      <x:c r="S79" s="2" t="n">
        <x:f>IF(COUNT(I79)=1,1,0)</x:f>
        <x:v>0</x:v>
      </x:c>
    </x:row>
    <x:row r="80" ht="46" customHeight="1">
      <x:c r="A80" s="2" t="n">
        <x:v>73</x:v>
      </x:c>
      <x:c r="B80" s="2" t="n">
        <x:v>73</x:v>
      </x:c>
      <x:c r="C80" s="12" t="n">
        <x:f>'Салық календары'!J80</x:f>
        <x:v>46438</x:v>
      </x:c>
      <x:c r="D80" s="13" t="str">
        <x:v>Пайда салығы авансы</x:v>
      </x:c>
      <x:c r="E80" s="14" t="n">
        <x:v>46441</x:v>
      </x:c>
      <x:c r="F80" s="14" t="str">
        <x:f>IF('Салық календары'!F80="","",'Салық календары'!F80)</x:f>
      </x:c>
      <x:c r="G80" s="2" t="str">
        <x:v>2027-02</x:v>
      </x:c>
      <x:c r="H80" s="2" t="str">
        <x:v>M</x:v>
      </x:c>
      <x:c r="I80" s="10" t="str">
        <x:f>IF(AND(COUNTIFS('Клиентлер'!$T$8:$T$31,1)=24,COUNT('Клиентлер'!$M$8:$M$31)=24),COUNTIFS('Клиентлер'!$M$8:$M$31,1,'Клиентлер'!$T$8:$T$31,1),"")</x:f>
      </x:c>
      <x:c r="J80" s="10"/>
      <x:c r="K80" s="2" t="n">
        <x:f>SUMIFS('Күнлик есабат'!$F$8:$F$507,'Күнлик есабат'!$C$8:$C$507,A80,'Күнлик есабат'!$L$8:$L$507,0,'Күнлик есабат'!$M$8:$M$507,0)-SUMIFS('Күнлик есабат'!$H$8:$H$507,'Күнлик есабат'!$C$8:$C$507,A80,'Күнлик есабат'!$L$8:$L$507,0,'Күнлик есабат'!$M$8:$M$507,0)</x:f>
        <x:v>0</x:v>
      </x:c>
      <x:c r="L80" s="2" t="n">
        <x:f>SUMIFS('Күнлик есабат'!$G$8:$G$507,'Күнлик есабат'!$C$8:$C$507,A80,'Күнлик есабат'!$L$8:$L$507,0,'Күнлик есабат'!$M$8:$M$507,0)</x:f>
        <x:v>0</x:v>
      </x:c>
      <x:c r="M80" s="2" t="str">
        <x:f>IF(I80="","",MAX(I80-K80,0))</x:f>
      </x:c>
      <x:c r="N80" s="16" t="str">
        <x:f>IF(OR(I80="",I80=0),"",MIN(K80/I80,1))</x:f>
      </x:c>
      <x:c r="O80" s="2" t="n">
        <x:f>24-COUNTIFS('Клиентлер'!$T$8:$T$31,1)</x:f>
        <x:v>24</x:v>
      </x:c>
      <x:c r="P80" s="2" t="n">
        <x:f>IF(AND('Салық календары'!G80=1,ISNUMBER('Салық календары'!F80)),1,0)</x:f>
        <x:v>0</x:v>
      </x:c>
      <x:c r="Q80" s="2" t="str">
        <x:v>Салық</x:v>
      </x:c>
      <x:c r="R80" s="10"/>
      <x:c r="S80" s="2" t="n">
        <x:f>IF(COUNT(I80)=1,1,0)</x:f>
        <x:v>0</x:v>
      </x:c>
    </x:row>
    <x:row r="81" ht="46" customHeight="1">
      <x:c r="A81" s="2" t="n">
        <x:v>74</x:v>
      </x:c>
      <x:c r="B81" s="2" t="n">
        <x:v>74</x:v>
      </x:c>
      <x:c r="C81" s="12" t="n">
        <x:f>'Салық календары'!J81</x:f>
        <x:v>46425</x:v>
      </x:c>
      <x:c r="D81" s="13" t="str">
        <x:v>Мүлк салығы айлық авансы</x:v>
      </x:c>
      <x:c r="E81" s="14" t="n">
        <x:v>46428</x:v>
      </x:c>
      <x:c r="F81" s="14" t="str">
        <x:f>IF('Салық календары'!F81="","",'Салық календары'!F81)</x:f>
      </x:c>
      <x:c r="G81" s="2" t="str">
        <x:v>2027-02</x:v>
      </x:c>
      <x:c r="H81" s="2" t="str">
        <x:v>J</x:v>
      </x:c>
      <x:c r="I81" s="10" t="str">
        <x:f>IF(AND(COUNTIFS('Клиентлер'!$T$8:$T$31,1)=24,COUNT('Клиентлер'!$J$8:$J$31)=24),COUNTIFS('Клиентлер'!$J$8:$J$31,1,'Клиентлер'!$T$8:$T$31,1,'Клиентлер'!$G$8:$G$31,0),"")</x:f>
      </x:c>
      <x:c r="J81" s="10"/>
      <x:c r="K81" s="2" t="n">
        <x:f>SUMIFS('Күнлик есабат'!$F$8:$F$507,'Күнлик есабат'!$C$8:$C$507,A81,'Күнлик есабат'!$L$8:$L$507,0,'Күнлик есабат'!$M$8:$M$507,0)-SUMIFS('Күнлик есабат'!$H$8:$H$507,'Күнлик есабат'!$C$8:$C$507,A81,'Күнлик есабат'!$L$8:$L$507,0,'Күнлик есабат'!$M$8:$M$507,0)</x:f>
        <x:v>0</x:v>
      </x:c>
      <x:c r="L81" s="2" t="n">
        <x:f>SUMIFS('Күнлик есабат'!$G$8:$G$507,'Күнлик есабат'!$C$8:$C$507,A81,'Күнлик есабат'!$L$8:$L$507,0,'Күнлик есабат'!$M$8:$M$507,0)</x:f>
        <x:v>0</x:v>
      </x:c>
      <x:c r="M81" s="2" t="str">
        <x:f>IF(I81="","",MAX(I81-K81,0))</x:f>
      </x:c>
      <x:c r="N81" s="16" t="str">
        <x:f>IF(OR(I81="",I81=0),"",MIN(K81/I81,1))</x:f>
      </x:c>
      <x:c r="O81" s="2" t="n">
        <x:f>24-COUNTIFS('Клиентлер'!$T$8:$T$31,1)</x:f>
        <x:v>24</x:v>
      </x:c>
      <x:c r="P81" s="2" t="n">
        <x:f>IF(AND('Салық календары'!G81=1,ISNUMBER('Салық календары'!F81)),1,0)</x:f>
        <x:v>0</x:v>
      </x:c>
      <x:c r="Q81" s="2" t="str">
        <x:v>Салық</x:v>
      </x:c>
      <x:c r="R81" s="10"/>
      <x:c r="S81" s="2" t="n">
        <x:f>IF(COUNT(I81)=1,1,0)</x:f>
        <x:v>0</x:v>
      </x:c>
    </x:row>
    <x:row r="82" ht="46" customHeight="1">
      <x:c r="A82" s="2" t="n">
        <x:v>75</x:v>
      </x:c>
      <x:c r="B82" s="2" t="n">
        <x:v>75</x:v>
      </x:c>
      <x:c r="C82" s="12" t="n">
        <x:f>'Салық календары'!J82</x:f>
        <x:v>46425</x:v>
      </x:c>
      <x:c r="D82" s="13" t="str">
        <x:v>Жер салығы айлық төлеми</x:v>
      </x:c>
      <x:c r="E82" s="14" t="n">
        <x:v>46428</x:v>
      </x:c>
      <x:c r="F82" s="14" t="str">
        <x:f>IF('Салық календары'!F82="","",'Салық календары'!F82)</x:f>
      </x:c>
      <x:c r="G82" s="2" t="str">
        <x:v>2027-02</x:v>
      </x:c>
      <x:c r="H82" s="2" t="str">
        <x:v>K</x:v>
      </x:c>
      <x:c r="I82" s="10" t="str">
        <x:f>IF(AND(COUNTIFS('Клиентлер'!$T$8:$T$31,1)=24,COUNT('Клиентлер'!$K$8:$K$31)=24),COUNTIFS('Клиентлер'!$K$8:$K$31,1,'Клиентлер'!$T$8:$T$31,1,'Клиентлер'!$G$8:$G$31,0),"")</x:f>
      </x:c>
      <x:c r="J82" s="10"/>
      <x:c r="K82" s="2" t="n">
        <x:f>SUMIFS('Күнлик есабат'!$F$8:$F$507,'Күнлик есабат'!$C$8:$C$507,A82,'Күнлик есабат'!$L$8:$L$507,0,'Күнлик есабат'!$M$8:$M$507,0)-SUMIFS('Күнлик есабат'!$H$8:$H$507,'Күнлик есабат'!$C$8:$C$507,A82,'Күнлик есабат'!$L$8:$L$507,0,'Күнлик есабат'!$M$8:$M$507,0)</x:f>
        <x:v>0</x:v>
      </x:c>
      <x:c r="L82" s="2" t="n">
        <x:f>SUMIFS('Күнлик есабат'!$G$8:$G$507,'Күнлик есабат'!$C$8:$C$507,A82,'Күнлик есабат'!$L$8:$L$507,0,'Күнлик есабат'!$M$8:$M$507,0)</x:f>
        <x:v>0</x:v>
      </x:c>
      <x:c r="M82" s="2" t="str">
        <x:f>IF(I82="","",MAX(I82-K82,0))</x:f>
      </x:c>
      <x:c r="N82" s="16" t="str">
        <x:f>IF(OR(I82="",I82=0),"",MIN(K82/I82,1))</x:f>
      </x:c>
      <x:c r="O82" s="2" t="n">
        <x:f>24-COUNTIFS('Клиентлер'!$T$8:$T$31,1)</x:f>
        <x:v>24</x:v>
      </x:c>
      <x:c r="P82" s="2" t="n">
        <x:f>IF(AND('Салық календары'!G82=1,ISNUMBER('Салық календары'!F82)),1,0)</x:f>
        <x:v>0</x:v>
      </x:c>
      <x:c r="Q82" s="2" t="str">
        <x:v>Салық</x:v>
      </x:c>
      <x:c r="R82" s="10"/>
      <x:c r="S82" s="2" t="n">
        <x:f>IF(COUNT(I82)=1,1,0)</x:f>
        <x:v>0</x:v>
      </x:c>
    </x:row>
    <x:row r="83" ht="46" customHeight="1">
      <x:c r="A83" s="2" t="n">
        <x:v>76</x:v>
      </x:c>
      <x:c r="B83" s="2" t="n">
        <x:v>76</x:v>
      </x:c>
      <x:c r="C83" s="12" t="n">
        <x:f>'Салық календары'!J83</x:f>
        <x:v>46435</x:v>
      </x:c>
      <x:c r="D83" s="13" t="str">
        <x:v>Суў салығы айлық авансы</x:v>
      </x:c>
      <x:c r="E83" s="14" t="n">
        <x:v>46438</x:v>
      </x:c>
      <x:c r="F83" s="14" t="str">
        <x:f>IF('Салық календары'!F83="","",'Салық календары'!F83)</x:f>
      </x:c>
      <x:c r="G83" s="2" t="str">
        <x:v>2027-02</x:v>
      </x:c>
      <x:c r="H83" s="2" t="str">
        <x:v>V</x:v>
      </x:c>
      <x:c r="I83" s="10" t="str">
        <x:f>IF(AND(COUNTIFS('Клиентлер'!$T$8:$T$31,1)=24,COUNT('Клиентлер'!$V$8:$V$31)=24),COUNTIFS('Клиентлер'!$V$8:$V$31,1,'Клиентлер'!$T$8:$T$31,1,'Клиентлер'!$G$8:$G$31,0),"")</x:f>
      </x:c>
      <x:c r="J83" s="10"/>
      <x:c r="K83" s="2" t="n">
        <x:f>SUMIFS('Күнлик есабат'!$F$8:$F$507,'Күнлик есабат'!$C$8:$C$507,A83,'Күнлик есабат'!$L$8:$L$507,0,'Күнлик есабат'!$M$8:$M$507,0)-SUMIFS('Күнлик есабат'!$H$8:$H$507,'Күнлик есабат'!$C$8:$C$507,A83,'Күнлик есабат'!$L$8:$L$507,0,'Күнлик есабат'!$M$8:$M$507,0)</x:f>
        <x:v>0</x:v>
      </x:c>
      <x:c r="L83" s="2" t="n">
        <x:f>SUMIFS('Күнлик есабат'!$G$8:$G$507,'Күнлик есабат'!$C$8:$C$507,A83,'Күнлик есабат'!$L$8:$L$507,0,'Күнлик есабат'!$M$8:$M$507,0)</x:f>
        <x:v>0</x:v>
      </x:c>
      <x:c r="M83" s="2" t="str">
        <x:f>IF(I83="","",MAX(I83-K83,0))</x:f>
      </x:c>
      <x:c r="N83" s="16" t="str">
        <x:f>IF(OR(I83="",I83=0),"",MIN(K83/I83,1))</x:f>
      </x:c>
      <x:c r="O83" s="2" t="n">
        <x:f>24-COUNTIFS('Клиентлер'!$T$8:$T$31,1)</x:f>
        <x:v>24</x:v>
      </x:c>
      <x:c r="P83" s="2" t="n">
        <x:f>IF(AND('Салық календары'!G83=1,ISNUMBER('Салық календары'!F83)),1,0)</x:f>
        <x:v>0</x:v>
      </x:c>
      <x:c r="Q83" s="2" t="str">
        <x:v>Салық</x:v>
      </x:c>
      <x:c r="R83" s="10"/>
      <x:c r="S83" s="2" t="n">
        <x:f>IF(COUNT(I83)=1,1,0)</x:f>
        <x:v>0</x:v>
      </x:c>
    </x:row>
    <x:row r="84" ht="46" customHeight="1">
      <x:c r="A84" s="2" t="n">
        <x:v>77</x:v>
      </x:c>
      <x:c r="B84" s="2" t="n">
        <x:v>77</x:v>
      </x:c>
      <x:c r="C84" s="12" t="n">
        <x:f>'Салық календары'!J84</x:f>
        <x:v>46463</x:v>
      </x:c>
      <x:c r="D84" s="13" t="str">
        <x:v>ҚҚС есабаты</x:v>
      </x:c>
      <x:c r="E84" s="14" t="n">
        <x:v>46466</x:v>
      </x:c>
      <x:c r="F84" s="14" t="str">
        <x:f>IF('Салық календары'!F84="","",'Салық календары'!F84)</x:f>
      </x:c>
      <x:c r="G84" s="2" t="str">
        <x:v>2027-02</x:v>
      </x:c>
      <x:c r="H84" s="2" t="str">
        <x:v>F</x:v>
      </x:c>
      <x:c r="I84" s="10" t="str">
        <x:f>IF(AND(COUNTIFS('Клиентлер'!$T$8:$T$31,1)=24,COUNT('Клиентлер'!$F$8:$F$31)=24),COUNTIFS('Клиентлер'!$F$8:$F$31,1,'Клиентлер'!$T$8:$T$31,1),"")</x:f>
      </x:c>
      <x:c r="J84" s="10"/>
      <x:c r="K84" s="2" t="n">
        <x:f>SUMIFS('Күнлик есабат'!$F$8:$F$507,'Күнлик есабат'!$C$8:$C$507,A84,'Күнлик есабат'!$L$8:$L$507,0,'Күнлик есабат'!$M$8:$M$507,0)-SUMIFS('Күнлик есабат'!$H$8:$H$507,'Күнлик есабат'!$C$8:$C$507,A84,'Күнлик есабат'!$L$8:$L$507,0,'Күнлик есабат'!$M$8:$M$507,0)</x:f>
        <x:v>0</x:v>
      </x:c>
      <x:c r="L84" s="2" t="n">
        <x:f>SUMIFS('Күнлик есабат'!$G$8:$G$507,'Күнлик есабат'!$C$8:$C$507,A84,'Күнлик есабат'!$L$8:$L$507,0,'Күнлик есабат'!$M$8:$M$507,0)</x:f>
        <x:v>0</x:v>
      </x:c>
      <x:c r="M84" s="2" t="str">
        <x:f>IF(I84="","",MAX(I84-K84,0))</x:f>
      </x:c>
      <x:c r="N84" s="16" t="str">
        <x:f>IF(OR(I84="",I84=0),"",MIN(K84/I84,1))</x:f>
      </x:c>
      <x:c r="O84" s="2" t="n">
        <x:f>24-COUNTIFS('Клиентлер'!$T$8:$T$31,1)</x:f>
        <x:v>24</x:v>
      </x:c>
      <x:c r="P84" s="2" t="n">
        <x:f>IF(AND('Салық календары'!G84=1,ISNUMBER('Салық календары'!F84)),1,0)</x:f>
        <x:v>0</x:v>
      </x:c>
      <x:c r="Q84" s="2" t="str">
        <x:v>Салық</x:v>
      </x:c>
      <x:c r="R84" s="10"/>
      <x:c r="S84" s="2" t="n">
        <x:f>IF(COUNT(I84)=1,1,0)</x:f>
        <x:v>0</x:v>
      </x:c>
    </x:row>
    <x:row r="85" ht="46" customHeight="1">
      <x:c r="A85" s="2" t="n">
        <x:v>78</x:v>
      </x:c>
      <x:c r="B85" s="2" t="n">
        <x:v>78</x:v>
      </x:c>
      <x:c r="C85" s="12" t="n">
        <x:f>'Салық календары'!J85</x:f>
        <x:v>46463</x:v>
      </x:c>
      <x:c r="D85" s="13" t="str">
        <x:v>ҚҚС төлеми</x:v>
      </x:c>
      <x:c r="E85" s="14" t="n">
        <x:v>46466</x:v>
      </x:c>
      <x:c r="F85" s="14" t="str">
        <x:f>IF('Салық календары'!F85="","",'Салық календары'!F85)</x:f>
      </x:c>
      <x:c r="G85" s="2" t="str">
        <x:v>2027-02</x:v>
      </x:c>
      <x:c r="H85" s="2" t="str">
        <x:v>F</x:v>
      </x:c>
      <x:c r="I85" s="10" t="str">
        <x:f>IF(AND(COUNTIFS('Клиентлер'!$T$8:$T$31,1)=24,COUNT('Клиентлер'!$F$8:$F$31)=24),COUNTIFS('Клиентлер'!$F$8:$F$31,1,'Клиентлер'!$T$8:$T$31,1),"")</x:f>
      </x:c>
      <x:c r="J85" s="10"/>
      <x:c r="K85" s="2" t="n">
        <x:f>SUMIFS('Күнлик есабат'!$F$8:$F$507,'Күнлик есабат'!$C$8:$C$507,A85,'Күнлик есабат'!$L$8:$L$507,0,'Күнлик есабат'!$M$8:$M$507,0)-SUMIFS('Күнлик есабат'!$H$8:$H$507,'Күнлик есабат'!$C$8:$C$507,A85,'Күнлик есабат'!$L$8:$L$507,0,'Күнлик есабат'!$M$8:$M$507,0)</x:f>
        <x:v>0</x:v>
      </x:c>
      <x:c r="L85" s="2" t="n">
        <x:f>SUMIFS('Күнлик есабат'!$G$8:$G$507,'Күнлик есабат'!$C$8:$C$507,A85,'Күнлик есабат'!$L$8:$L$507,0,'Күнлик есабат'!$M$8:$M$507,0)</x:f>
        <x:v>0</x:v>
      </x:c>
      <x:c r="M85" s="2" t="str">
        <x:f>IF(I85="","",MAX(I85-K85,0))</x:f>
      </x:c>
      <x:c r="N85" s="16" t="str">
        <x:f>IF(OR(I85="",I85=0),"",MIN(K85/I85,1))</x:f>
      </x:c>
      <x:c r="O85" s="2" t="n">
        <x:f>24-COUNTIFS('Клиентлер'!$T$8:$T$31,1)</x:f>
        <x:v>24</x:v>
      </x:c>
      <x:c r="P85" s="2" t="n">
        <x:f>IF(AND('Салық календары'!G85=1,ISNUMBER('Салық календары'!F85)),1,0)</x:f>
        <x:v>0</x:v>
      </x:c>
      <x:c r="Q85" s="2" t="str">
        <x:v>Салық</x:v>
      </x:c>
      <x:c r="R85" s="10"/>
      <x:c r="S85" s="2" t="n">
        <x:f>IF(COUNT(I85)=1,1,0)</x:f>
        <x:v>0</x:v>
      </x:c>
    </x:row>
    <x:row r="86" ht="46" customHeight="1">
      <x:c r="A86" s="2" t="n">
        <x:v>79</x:v>
      </x:c>
      <x:c r="B86" s="2" t="n">
        <x:v>79</x:v>
      </x:c>
      <x:c r="C86" s="12" t="n">
        <x:f>'Салық календары'!J86</x:f>
        <x:v>46458</x:v>
      </x:c>
      <x:c r="D86" s="13" t="str">
        <x:v>Айланба салығы есабаты</x:v>
      </x:c>
      <x:c r="E86" s="14" t="n">
        <x:v>46461</x:v>
      </x:c>
      <x:c r="F86" s="14" t="str">
        <x:f>IF('Салық календары'!F86="","",'Салық календары'!F86)</x:f>
      </x:c>
      <x:c r="G86" s="2" t="str">
        <x:v>2027-02</x:v>
      </x:c>
      <x:c r="H86" s="2" t="str">
        <x:v>G</x:v>
      </x:c>
      <x:c r="I86" s="10" t="str">
        <x:f>IF(AND(COUNTIFS('Клиентлер'!$T$8:$T$31,1)=24,COUNT('Клиентлер'!$G$8:$G$31)=24),COUNTIFS('Клиентлер'!$G$8:$G$31,1,'Клиентлер'!$T$8:$T$31,1),"")</x:f>
      </x:c>
      <x:c r="J86" s="10"/>
      <x:c r="K86" s="2" t="n">
        <x:f>SUMIFS('Күнлик есабат'!$F$8:$F$507,'Күнлик есабат'!$C$8:$C$507,A86,'Күнлик есабат'!$L$8:$L$507,0,'Күнлик есабат'!$M$8:$M$507,0)-SUMIFS('Күнлик есабат'!$H$8:$H$507,'Күнлик есабат'!$C$8:$C$507,A86,'Күнлик есабат'!$L$8:$L$507,0,'Күнлик есабат'!$M$8:$M$507,0)</x:f>
        <x:v>0</x:v>
      </x:c>
      <x:c r="L86" s="2" t="n">
        <x:f>SUMIFS('Күнлик есабат'!$G$8:$G$507,'Күнлик есабат'!$C$8:$C$507,A86,'Күнлик есабат'!$L$8:$L$507,0,'Күнлик есабат'!$M$8:$M$507,0)</x:f>
        <x:v>0</x:v>
      </x:c>
      <x:c r="M86" s="2" t="str">
        <x:f>IF(I86="","",MAX(I86-K86,0))</x:f>
      </x:c>
      <x:c r="N86" s="16" t="str">
        <x:f>IF(OR(I86="",I86=0),"",MIN(K86/I86,1))</x:f>
      </x:c>
      <x:c r="O86" s="2" t="n">
        <x:f>24-COUNTIFS('Клиентлер'!$T$8:$T$31,1)</x:f>
        <x:v>24</x:v>
      </x:c>
      <x:c r="P86" s="2" t="n">
        <x:f>IF(AND('Салық календары'!G86=1,ISNUMBER('Салық календары'!F86)),1,0)</x:f>
        <x:v>0</x:v>
      </x:c>
      <x:c r="Q86" s="2" t="str">
        <x:v>Салық</x:v>
      </x:c>
      <x:c r="R86" s="10"/>
      <x:c r="S86" s="2" t="n">
        <x:f>IF(COUNT(I86)=1,1,0)</x:f>
        <x:v>0</x:v>
      </x:c>
    </x:row>
    <x:row r="87" ht="46" customHeight="1">
      <x:c r="A87" s="2" t="n">
        <x:v>80</x:v>
      </x:c>
      <x:c r="B87" s="2" t="n">
        <x:v>80</x:v>
      </x:c>
      <x:c r="C87" s="12" t="n">
        <x:f>'Салық календары'!J87</x:f>
        <x:v>46458</x:v>
      </x:c>
      <x:c r="D87" s="13" t="str">
        <x:v>Айланба салығы төлеми</x:v>
      </x:c>
      <x:c r="E87" s="14" t="n">
        <x:v>46461</x:v>
      </x:c>
      <x:c r="F87" s="14" t="str">
        <x:f>IF('Салық календары'!F87="","",'Салық календары'!F87)</x:f>
      </x:c>
      <x:c r="G87" s="2" t="str">
        <x:v>2027-02</x:v>
      </x:c>
      <x:c r="H87" s="2" t="str">
        <x:v>G</x:v>
      </x:c>
      <x:c r="I87" s="10" t="str">
        <x:f>IF(AND(COUNTIFS('Клиентлер'!$T$8:$T$31,1)=24,COUNT('Клиентлер'!$G$8:$G$31)=24),COUNTIFS('Клиентлер'!$G$8:$G$31,1,'Клиентлер'!$T$8:$T$31,1),"")</x:f>
      </x:c>
      <x:c r="J87" s="10"/>
      <x:c r="K87" s="2" t="n">
        <x:f>SUMIFS('Күнлик есабат'!$F$8:$F$507,'Күнлик есабат'!$C$8:$C$507,A87,'Күнлик есабат'!$L$8:$L$507,0,'Күнлик есабат'!$M$8:$M$507,0)-SUMIFS('Күнлик есабат'!$H$8:$H$507,'Күнлик есабат'!$C$8:$C$507,A87,'Күнлик есабат'!$L$8:$L$507,0,'Күнлик есабат'!$M$8:$M$507,0)</x:f>
        <x:v>0</x:v>
      </x:c>
      <x:c r="L87" s="2" t="n">
        <x:f>SUMIFS('Күнлик есабат'!$G$8:$G$507,'Күнлик есабат'!$C$8:$C$507,A87,'Күнлик есабат'!$L$8:$L$507,0,'Күнлик есабат'!$M$8:$M$507,0)</x:f>
        <x:v>0</x:v>
      </x:c>
      <x:c r="M87" s="2" t="str">
        <x:f>IF(I87="","",MAX(I87-K87,0))</x:f>
      </x:c>
      <x:c r="N87" s="16" t="str">
        <x:f>IF(OR(I87="",I87=0),"",MIN(K87/I87,1))</x:f>
      </x:c>
      <x:c r="O87" s="2" t="n">
        <x:f>24-COUNTIFS('Клиентлер'!$T$8:$T$31,1)</x:f>
        <x:v>24</x:v>
      </x:c>
      <x:c r="P87" s="2" t="n">
        <x:f>IF(AND('Салық календары'!G87=1,ISNUMBER('Салық календары'!F87)),1,0)</x:f>
        <x:v>0</x:v>
      </x:c>
      <x:c r="Q87" s="2" t="str">
        <x:v>Салық</x:v>
      </x:c>
      <x:c r="R87" s="10"/>
      <x:c r="S87" s="2" t="n">
        <x:f>IF(COUNT(I87)=1,1,0)</x:f>
        <x:v>0</x:v>
      </x:c>
    </x:row>
    <x:row r="88" ht="46" customHeight="1">
      <x:c r="A88" s="2" t="n">
        <x:v>81</x:v>
      </x:c>
      <x:c r="B88" s="2" t="n">
        <x:v>81</x:v>
      </x:c>
      <x:c r="C88" s="12" t="n">
        <x:f>'Салық календары'!J88</x:f>
        <x:v>46458</x:v>
      </x:c>
      <x:c r="D88" s="13" t="str">
        <x:v>Дәрамат салығы есабаты</x:v>
      </x:c>
      <x:c r="E88" s="14" t="n">
        <x:v>46461</x:v>
      </x:c>
      <x:c r="F88" s="14" t="str">
        <x:f>IF('Салық календары'!F88="","",'Салық календары'!F88)</x:f>
      </x:c>
      <x:c r="G88" s="2" t="str">
        <x:v>2027-02</x:v>
      </x:c>
      <x:c r="H88" s="2" t="str">
        <x:v>I</x:v>
      </x:c>
      <x:c r="I88" s="10" t="str">
        <x:f>IF(AND(COUNTIFS('Клиентлер'!$T$8:$T$31,1)=24,COUNT('Клиентлер'!$I$8:$I$31)=24),COUNTIFS('Клиентлер'!$I$8:$I$31,1,'Клиентлер'!$T$8:$T$31,1),"")</x:f>
      </x:c>
      <x:c r="J88" s="10"/>
      <x:c r="K88" s="2" t="n">
        <x:f>SUMIFS('Күнлик есабат'!$F$8:$F$507,'Күнлик есабат'!$C$8:$C$507,A88,'Күнлик есабат'!$L$8:$L$507,0,'Күнлик есабат'!$M$8:$M$507,0)-SUMIFS('Күнлик есабат'!$H$8:$H$507,'Күнлик есабат'!$C$8:$C$507,A88,'Күнлик есабат'!$L$8:$L$507,0,'Күнлик есабат'!$M$8:$M$507,0)</x:f>
        <x:v>0</x:v>
      </x:c>
      <x:c r="L88" s="2" t="n">
        <x:f>SUMIFS('Күнлик есабат'!$G$8:$G$507,'Күнлик есабат'!$C$8:$C$507,A88,'Күнлик есабат'!$L$8:$L$507,0,'Күнлик есабат'!$M$8:$M$507,0)</x:f>
        <x:v>0</x:v>
      </x:c>
      <x:c r="M88" s="2" t="str">
        <x:f>IF(I88="","",MAX(I88-K88,0))</x:f>
      </x:c>
      <x:c r="N88" s="16" t="str">
        <x:f>IF(OR(I88="",I88=0),"",MIN(K88/I88,1))</x:f>
      </x:c>
      <x:c r="O88" s="2" t="n">
        <x:f>24-COUNTIFS('Клиентлер'!$T$8:$T$31,1)</x:f>
        <x:v>24</x:v>
      </x:c>
      <x:c r="P88" s="2" t="n">
        <x:f>IF(AND('Салық календары'!G88=1,ISNUMBER('Салық календары'!F88)),1,0)</x:f>
        <x:v>0</x:v>
      </x:c>
      <x:c r="Q88" s="2" t="str">
        <x:v>Салық</x:v>
      </x:c>
      <x:c r="R88" s="10"/>
      <x:c r="S88" s="2" t="n">
        <x:f>IF(COUNT(I88)=1,1,0)</x:f>
        <x:v>0</x:v>
      </x:c>
    </x:row>
    <x:row r="89" ht="46" customHeight="1">
      <x:c r="A89" s="2" t="n">
        <x:v>82</x:v>
      </x:c>
      <x:c r="B89" s="2" t="n">
        <x:v>82</x:v>
      </x:c>
      <x:c r="C89" s="12" t="n">
        <x:f>'Салық календары'!J89</x:f>
        <x:v>46458</x:v>
      </x:c>
      <x:c r="D89" s="13" t="str">
        <x:v>Социаллық салық есабаты</x:v>
      </x:c>
      <x:c r="E89" s="14" t="n">
        <x:v>46461</x:v>
      </x:c>
      <x:c r="F89" s="14" t="str">
        <x:f>IF('Салық календары'!F89="","",'Салық календары'!F89)</x:f>
      </x:c>
      <x:c r="G89" s="2" t="str">
        <x:v>2027-02</x:v>
      </x:c>
      <x:c r="H89" s="2" t="str">
        <x:v>I</x:v>
      </x:c>
      <x:c r="I89" s="10" t="str">
        <x:f>IF(AND(COUNTIFS('Клиентлер'!$T$8:$T$31,1)=24,COUNT('Клиентлер'!$I$8:$I$31)=24),COUNTIFS('Клиентлер'!$I$8:$I$31,1,'Клиентлер'!$T$8:$T$31,1),"")</x:f>
      </x:c>
      <x:c r="J89" s="10"/>
      <x:c r="K89" s="2" t="n">
        <x:f>SUMIFS('Күнлик есабат'!$F$8:$F$507,'Күнлик есабат'!$C$8:$C$507,A89,'Күнлик есабат'!$L$8:$L$507,0,'Күнлик есабат'!$M$8:$M$507,0)-SUMIFS('Күнлик есабат'!$H$8:$H$507,'Күнлик есабат'!$C$8:$C$507,A89,'Күнлик есабат'!$L$8:$L$507,0,'Күнлик есабат'!$M$8:$M$507,0)</x:f>
        <x:v>0</x:v>
      </x:c>
      <x:c r="L89" s="2" t="n">
        <x:f>SUMIFS('Күнлик есабат'!$G$8:$G$507,'Күнлик есабат'!$C$8:$C$507,A89,'Күнлик есабат'!$L$8:$L$507,0,'Күнлик есабат'!$M$8:$M$507,0)</x:f>
        <x:v>0</x:v>
      </x:c>
      <x:c r="M89" s="2" t="str">
        <x:f>IF(I89="","",MAX(I89-K89,0))</x:f>
      </x:c>
      <x:c r="N89" s="16" t="str">
        <x:f>IF(OR(I89="",I89=0),"",MIN(K89/I89,1))</x:f>
      </x:c>
      <x:c r="O89" s="2" t="n">
        <x:f>24-COUNTIFS('Клиентлер'!$T$8:$T$31,1)</x:f>
        <x:v>24</x:v>
      </x:c>
      <x:c r="P89" s="2" t="n">
        <x:f>IF(AND('Салық календары'!G89=1,ISNUMBER('Салық календары'!F89)),1,0)</x:f>
        <x:v>0</x:v>
      </x:c>
      <x:c r="Q89" s="2" t="str">
        <x:v>Салық</x:v>
      </x:c>
      <x:c r="R89" s="10"/>
      <x:c r="S89" s="2" t="n">
        <x:f>IF(COUNT(I89)=1,1,0)</x:f>
        <x:v>0</x:v>
      </x:c>
    </x:row>
    <x:row r="90" ht="46" customHeight="1">
      <x:c r="A90" s="2" t="n">
        <x:v>83</x:v>
      </x:c>
      <x:c r="B90" s="2" t="n">
        <x:v>83</x:v>
      </x:c>
      <x:c r="C90" s="12" t="n">
        <x:f>'Салық календары'!J90</x:f>
        <x:v>46458</x:v>
      </x:c>
      <x:c r="D90" s="13" t="str">
        <x:v>Социаллық салық төлеми</x:v>
      </x:c>
      <x:c r="E90" s="14" t="n">
        <x:v>46461</x:v>
      </x:c>
      <x:c r="F90" s="14" t="str">
        <x:f>IF('Салық календары'!F90="","",'Салық календары'!F90)</x:f>
      </x:c>
      <x:c r="G90" s="2" t="str">
        <x:v>2027-02</x:v>
      </x:c>
      <x:c r="H90" s="2" t="str">
        <x:v>I</x:v>
      </x:c>
      <x:c r="I90" s="10" t="str">
        <x:f>IF(AND(COUNTIFS('Клиентлер'!$T$8:$T$31,1)=24,COUNT('Клиентлер'!$I$8:$I$31)=24),COUNTIFS('Клиентлер'!$I$8:$I$31,1,'Клиентлер'!$T$8:$T$31,1),"")</x:f>
      </x:c>
      <x:c r="J90" s="10"/>
      <x:c r="K90" s="2" t="n">
        <x:f>SUMIFS('Күнлик есабат'!$F$8:$F$507,'Күнлик есабат'!$C$8:$C$507,A90,'Күнлик есабат'!$L$8:$L$507,0,'Күнлик есабат'!$M$8:$M$507,0)-SUMIFS('Күнлик есабат'!$H$8:$H$507,'Күнлик есабат'!$C$8:$C$507,A90,'Күнлик есабат'!$L$8:$L$507,0,'Күнлик есабат'!$M$8:$M$507,0)</x:f>
        <x:v>0</x:v>
      </x:c>
      <x:c r="L90" s="2" t="n">
        <x:f>SUMIFS('Күнлик есабат'!$G$8:$G$507,'Күнлик есабат'!$C$8:$C$507,A90,'Күнлик есабат'!$L$8:$L$507,0,'Күнлик есабат'!$M$8:$M$507,0)</x:f>
        <x:v>0</x:v>
      </x:c>
      <x:c r="M90" s="2" t="str">
        <x:f>IF(I90="","",MAX(I90-K90,0))</x:f>
      </x:c>
      <x:c r="N90" s="16" t="str">
        <x:f>IF(OR(I90="",I90=0),"",MIN(K90/I90,1))</x:f>
      </x:c>
      <x:c r="O90" s="2" t="n">
        <x:f>24-COUNTIFS('Клиентлер'!$T$8:$T$31,1)</x:f>
        <x:v>24</x:v>
      </x:c>
      <x:c r="P90" s="2" t="n">
        <x:f>IF(AND('Салық календары'!G90=1,ISNUMBER('Салық календары'!F90)),1,0)</x:f>
        <x:v>0</x:v>
      </x:c>
      <x:c r="Q90" s="2" t="str">
        <x:v>Салық</x:v>
      </x:c>
      <x:c r="R90" s="10"/>
      <x:c r="S90" s="2" t="n">
        <x:f>IF(COUNT(I90)=1,1,0)</x:f>
        <x:v>0</x:v>
      </x:c>
    </x:row>
    <x:row r="91" ht="46" customHeight="1">
      <x:c r="A91" s="2" t="n">
        <x:v>84</x:v>
      </x:c>
      <x:c r="B91" s="2" t="n">
        <x:v>84</x:v>
      </x:c>
      <x:c r="C91" s="12" t="n">
        <x:f>'Салық календары'!J91</x:f>
        <x:v>46453</x:v>
      </x:c>
      <x:c r="D91" s="13" t="str">
        <x:v>Акциз есабаты ҳәм төлемин тексериў</x:v>
      </x:c>
      <x:c r="E91" s="14" t="n">
        <x:v>46456</x:v>
      </x:c>
      <x:c r="F91" s="14" t="str">
        <x:f>IF('Салық календары'!F91="","",'Салық календары'!F91)</x:f>
      </x:c>
      <x:c r="G91" s="2" t="str">
        <x:v>2027-02</x:v>
      </x:c>
      <x:c r="H91" s="2" t="str">
        <x:v>N</x:v>
      </x:c>
      <x:c r="I91" s="10" t="str">
        <x:f>IF(AND(COUNTIFS('Клиентлер'!$T$8:$T$31,1)=24,COUNT('Клиентлер'!$N$8:$N$31)=24),COUNTIFS('Клиентлер'!$N$8:$N$31,1,'Клиентлер'!$T$8:$T$31,1),"")</x:f>
      </x:c>
      <x:c r="J91" s="10"/>
      <x:c r="K91" s="2" t="n">
        <x:f>SUMIFS('Күнлик есабат'!$F$8:$F$507,'Күнлик есабат'!$C$8:$C$507,A91,'Күнлик есабат'!$L$8:$L$507,0,'Күнлик есабат'!$M$8:$M$507,0)-SUMIFS('Күнлик есабат'!$H$8:$H$507,'Күнлик есабат'!$C$8:$C$507,A91,'Күнлик есабат'!$L$8:$L$507,0,'Күнлик есабат'!$M$8:$M$507,0)</x:f>
        <x:v>0</x:v>
      </x:c>
      <x:c r="L91" s="2" t="n">
        <x:f>SUMIFS('Күнлик есабат'!$G$8:$G$507,'Күнлик есабат'!$C$8:$C$507,A91,'Күнлик есабат'!$L$8:$L$507,0,'Күнлик есабат'!$M$8:$M$507,0)</x:f>
        <x:v>0</x:v>
      </x:c>
      <x:c r="M91" s="2" t="str">
        <x:f>IF(I91="","",MAX(I91-K91,0))</x:f>
      </x:c>
      <x:c r="N91" s="16" t="str">
        <x:f>IF(OR(I91="",I91=0),"",MIN(K91/I91,1))</x:f>
      </x:c>
      <x:c r="O91" s="2" t="n">
        <x:f>24-COUNTIFS('Клиентлер'!$T$8:$T$31,1)</x:f>
        <x:v>24</x:v>
      </x:c>
      <x:c r="P91" s="2" t="n">
        <x:f>IF(AND('Салық календары'!G91=1,ISNUMBER('Салық календары'!F91)),1,0)</x:f>
        <x:v>0</x:v>
      </x:c>
      <x:c r="Q91" s="2" t="str">
        <x:v>Салық</x:v>
      </x:c>
      <x:c r="R91" s="10"/>
      <x:c r="S91" s="2" t="n">
        <x:f>IF(COUNT(I91)=1,1,0)</x:f>
        <x:v>0</x:v>
      </x:c>
    </x:row>
    <x:row r="92" ht="46" customHeight="1">
      <x:c r="A92" s="2" t="n">
        <x:v>85</x:v>
      </x:c>
      <x:c r="B92" s="2" t="n">
        <x:v>85</x:v>
      </x:c>
      <x:c r="C92" s="12" t="n">
        <x:f>'Салық календары'!J92</x:f>
        <x:v>46463</x:v>
      </x:c>
      <x:c r="D92" s="13" t="str">
        <x:v>Дивиденд ҳәм процент салығы есабаты</x:v>
      </x:c>
      <x:c r="E92" s="14" t="n">
        <x:v>46466</x:v>
      </x:c>
      <x:c r="F92" s="14" t="str">
        <x:f>IF('Салық календары'!F92="","",'Салық календары'!F92)</x:f>
      </x:c>
      <x:c r="G92" s="2" t="str">
        <x:v>2027-02</x:v>
      </x:c>
      <x:c r="H92" s="2" t="str">
        <x:v>O</x:v>
      </x:c>
      <x:c r="I92" s="10" t="str">
        <x:f>IF(AND(COUNTIFS('Клиентлер'!$T$8:$T$31,1)=24,COUNT('Клиентлер'!$O$8:$O$31)=24),COUNTIFS('Клиентлер'!$O$8:$O$31,1,'Клиентлер'!$T$8:$T$31,1),"")</x:f>
      </x:c>
      <x:c r="J92" s="10"/>
      <x:c r="K92" s="2" t="n">
        <x:f>SUMIFS('Күнлик есабат'!$F$8:$F$507,'Күнлик есабат'!$C$8:$C$507,A92,'Күнлик есабат'!$L$8:$L$507,0,'Күнлик есабат'!$M$8:$M$507,0)-SUMIFS('Күнлик есабат'!$H$8:$H$507,'Күнлик есабат'!$C$8:$C$507,A92,'Күнлик есабат'!$L$8:$L$507,0,'Күнлик есабат'!$M$8:$M$507,0)</x:f>
        <x:v>0</x:v>
      </x:c>
      <x:c r="L92" s="2" t="n">
        <x:f>SUMIFS('Күнлик есабат'!$G$8:$G$507,'Күнлик есабат'!$C$8:$C$507,A92,'Күнлик есабат'!$L$8:$L$507,0,'Күнлик есабат'!$M$8:$M$507,0)</x:f>
        <x:v>0</x:v>
      </x:c>
      <x:c r="M92" s="2" t="str">
        <x:f>IF(I92="","",MAX(I92-K92,0))</x:f>
      </x:c>
      <x:c r="N92" s="16" t="str">
        <x:f>IF(OR(I92="",I92=0),"",MIN(K92/I92,1))</x:f>
      </x:c>
      <x:c r="O92" s="2" t="n">
        <x:f>24-COUNTIFS('Клиентлер'!$T$8:$T$31,1)</x:f>
        <x:v>24</x:v>
      </x:c>
      <x:c r="P92" s="2" t="n">
        <x:f>IF(AND('Салық календары'!G92=1,ISNUMBER('Салық календары'!F92)),1,0)</x:f>
        <x:v>0</x:v>
      </x:c>
      <x:c r="Q92" s="2" t="str">
        <x:v>Салық</x:v>
      </x:c>
      <x:c r="R92" s="10"/>
      <x:c r="S92" s="2" t="n">
        <x:f>IF(COUNT(I92)=1,1,0)</x:f>
        <x:v>0</x:v>
      </x:c>
    </x:row>
    <x:row r="93" ht="46" customHeight="1">
      <x:c r="A93" s="2" t="n">
        <x:v>86</x:v>
      </x:c>
      <x:c r="B93" s="2" t="n">
        <x:v>86</x:v>
      </x:c>
      <x:c r="C93" s="12" t="n">
        <x:f>'Салық календары'!J93</x:f>
        <x:v>46463</x:v>
      </x:c>
      <x:c r="D93" s="13" t="str">
        <x:v>Норезидент дәраматы салығы есабаты</x:v>
      </x:c>
      <x:c r="E93" s="14" t="n">
        <x:v>46466</x:v>
      </x:c>
      <x:c r="F93" s="14" t="str">
        <x:f>IF('Салық календары'!F93="","",'Салық календары'!F93)</x:f>
      </x:c>
      <x:c r="G93" s="2" t="str">
        <x:v>2027-02</x:v>
      </x:c>
      <x:c r="H93" s="2" t="str">
        <x:v>P</x:v>
      </x:c>
      <x:c r="I93" s="10" t="str">
        <x:f>IF(AND(COUNTIFS('Клиентлер'!$T$8:$T$31,1)=24,COUNT('Клиентлер'!$P$8:$P$31)=24),COUNTIFS('Клиентлер'!$P$8:$P$31,1,'Клиентлер'!$T$8:$T$31,1),"")</x:f>
      </x:c>
      <x:c r="J93" s="10"/>
      <x:c r="K93" s="2" t="n">
        <x:f>SUMIFS('Күнлик есабат'!$F$8:$F$507,'Күнлик есабат'!$C$8:$C$507,A93,'Күнлик есабат'!$L$8:$L$507,0,'Күнлик есабат'!$M$8:$M$507,0)-SUMIFS('Күнлик есабат'!$H$8:$H$507,'Күнлик есабат'!$C$8:$C$507,A93,'Күнлик есабат'!$L$8:$L$507,0,'Күнлик есабат'!$M$8:$M$507,0)</x:f>
        <x:v>0</x:v>
      </x:c>
      <x:c r="L93" s="2" t="n">
        <x:f>SUMIFS('Күнлик есабат'!$G$8:$G$507,'Күнлик есабат'!$C$8:$C$507,A93,'Күнлик есабат'!$L$8:$L$507,0,'Күнлик есабат'!$M$8:$M$507,0)</x:f>
        <x:v>0</x:v>
      </x:c>
      <x:c r="M93" s="2" t="str">
        <x:f>IF(I93="","",MAX(I93-K93,0))</x:f>
      </x:c>
      <x:c r="N93" s="16" t="str">
        <x:f>IF(OR(I93="",I93=0),"",MIN(K93/I93,1))</x:f>
      </x:c>
      <x:c r="O93" s="2" t="n">
        <x:f>24-COUNTIFS('Клиентлер'!$T$8:$T$31,1)</x:f>
        <x:v>24</x:v>
      </x:c>
      <x:c r="P93" s="2" t="n">
        <x:f>IF(AND('Салық календары'!G93=1,ISNUMBER('Салық календары'!F93)),1,0)</x:f>
        <x:v>0</x:v>
      </x:c>
      <x:c r="Q93" s="2" t="str">
        <x:v>Салық</x:v>
      </x:c>
      <x:c r="R93" s="10"/>
      <x:c r="S93" s="2" t="n">
        <x:f>IF(COUNT(I93)=1,1,0)</x:f>
        <x:v>0</x:v>
      </x:c>
    </x:row>
    <x:row r="94" ht="46" customHeight="1">
      <x:c r="A94" s="2" t="n">
        <x:v>87</x:v>
      </x:c>
      <x:c r="B94" s="2" t="n">
        <x:v>87</x:v>
      </x:c>
      <x:c r="C94" s="12" t="n">
        <x:f>'Салық календары'!J94</x:f>
        <x:v>46463</x:v>
      </x:c>
      <x:c r="D94" s="13" t="str">
        <x:v>Жер қойнаўынан пайдаланыў есабаты</x:v>
      </x:c>
      <x:c r="E94" s="14" t="n">
        <x:v>46466</x:v>
      </x:c>
      <x:c r="F94" s="14" t="str">
        <x:f>IF('Салық календары'!F94="","",'Салық календары'!F94)</x:f>
      </x:c>
      <x:c r="G94" s="2" t="str">
        <x:v>2027-02</x:v>
      </x:c>
      <x:c r="H94" s="2" t="str">
        <x:v>Q</x:v>
      </x:c>
      <x:c r="I94" s="10" t="str">
        <x:f>IF(AND(COUNTIFS('Клиентлер'!$T$8:$T$31,1)=24,COUNT('Клиентлер'!$Q$8:$Q$31)=24),COUNTIFS('Клиентлер'!$Q$8:$Q$31,1,'Клиентлер'!$T$8:$T$31,1),"")</x:f>
      </x:c>
      <x:c r="J94" s="10"/>
      <x:c r="K94" s="2" t="n">
        <x:f>SUMIFS('Күнлик есабат'!$F$8:$F$507,'Күнлик есабат'!$C$8:$C$507,A94,'Күнлик есабат'!$L$8:$L$507,0,'Күнлик есабат'!$M$8:$M$507,0)-SUMIFS('Күнлик есабат'!$H$8:$H$507,'Күнлик есабат'!$C$8:$C$507,A94,'Күнлик есабат'!$L$8:$L$507,0,'Күнлик есабат'!$M$8:$M$507,0)</x:f>
        <x:v>0</x:v>
      </x:c>
      <x:c r="L94" s="2" t="n">
        <x:f>SUMIFS('Күнлик есабат'!$G$8:$G$507,'Күнлик есабат'!$C$8:$C$507,A94,'Күнлик есабат'!$L$8:$L$507,0,'Күнлик есабат'!$M$8:$M$507,0)</x:f>
        <x:v>0</x:v>
      </x:c>
      <x:c r="M94" s="2" t="str">
        <x:f>IF(I94="","",MAX(I94-K94,0))</x:f>
      </x:c>
      <x:c r="N94" s="16" t="str">
        <x:f>IF(OR(I94="",I94=0),"",MIN(K94/I94,1))</x:f>
      </x:c>
      <x:c r="O94" s="2" t="n">
        <x:f>24-COUNTIFS('Клиентлер'!$T$8:$T$31,1)</x:f>
        <x:v>24</x:v>
      </x:c>
      <x:c r="P94" s="2" t="n">
        <x:f>IF(AND('Салық календары'!G94=1,ISNUMBER('Салық календары'!F94)),1,0)</x:f>
        <x:v>0</x:v>
      </x:c>
      <x:c r="Q94" s="2" t="str">
        <x:v>Салық</x:v>
      </x:c>
      <x:c r="R94" s="10"/>
      <x:c r="S94" s="2" t="n">
        <x:f>IF(COUNT(I94)=1,1,0)</x:f>
        <x:v>0</x:v>
      </x:c>
    </x:row>
    <x:row r="95" ht="46" customHeight="1">
      <x:c r="A95" s="2" t="n">
        <x:v>88</x:v>
      </x:c>
      <x:c r="B95" s="2" t="n">
        <x:v>88</x:v>
      </x:c>
      <x:c r="C95" s="12" t="n">
        <x:f>'Салық календары'!J95</x:f>
        <x:v>46466</x:v>
      </x:c>
      <x:c r="D95" s="13" t="str">
        <x:v>Пайда салығы авансы</x:v>
      </x:c>
      <x:c r="E95" s="14" t="n">
        <x:v>46469</x:v>
      </x:c>
      <x:c r="F95" s="14" t="str">
        <x:f>IF('Салық календары'!F95="","",'Салық календары'!F95)</x:f>
      </x:c>
      <x:c r="G95" s="2" t="str">
        <x:v>2027-03</x:v>
      </x:c>
      <x:c r="H95" s="2" t="str">
        <x:v>M</x:v>
      </x:c>
      <x:c r="I95" s="10" t="str">
        <x:f>IF(AND(COUNTIFS('Клиентлер'!$T$8:$T$31,1)=24,COUNT('Клиентлер'!$M$8:$M$31)=24),COUNTIFS('Клиентлер'!$M$8:$M$31,1,'Клиентлер'!$T$8:$T$31,1),"")</x:f>
      </x:c>
      <x:c r="J95" s="10"/>
      <x:c r="K95" s="2" t="n">
        <x:f>SUMIFS('Күнлик есабат'!$F$8:$F$507,'Күнлик есабат'!$C$8:$C$507,A95,'Күнлик есабат'!$L$8:$L$507,0,'Күнлик есабат'!$M$8:$M$507,0)-SUMIFS('Күнлик есабат'!$H$8:$H$507,'Күнлик есабат'!$C$8:$C$507,A95,'Күнлик есабат'!$L$8:$L$507,0,'Күнлик есабат'!$M$8:$M$507,0)</x:f>
        <x:v>0</x:v>
      </x:c>
      <x:c r="L95" s="2" t="n">
        <x:f>SUMIFS('Күнлик есабат'!$G$8:$G$507,'Күнлик есабат'!$C$8:$C$507,A95,'Күнлик есабат'!$L$8:$L$507,0,'Күнлик есабат'!$M$8:$M$507,0)</x:f>
        <x:v>0</x:v>
      </x:c>
      <x:c r="M95" s="2" t="str">
        <x:f>IF(I95="","",MAX(I95-K95,0))</x:f>
      </x:c>
      <x:c r="N95" s="16" t="str">
        <x:f>IF(OR(I95="",I95=0),"",MIN(K95/I95,1))</x:f>
      </x:c>
      <x:c r="O95" s="2" t="n">
        <x:f>24-COUNTIFS('Клиентлер'!$T$8:$T$31,1)</x:f>
        <x:v>24</x:v>
      </x:c>
      <x:c r="P95" s="2" t="n">
        <x:f>IF(AND('Салық календары'!G95=1,ISNUMBER('Салық календары'!F95)),1,0)</x:f>
        <x:v>0</x:v>
      </x:c>
      <x:c r="Q95" s="2" t="str">
        <x:v>Салық</x:v>
      </x:c>
      <x:c r="R95" s="10"/>
      <x:c r="S95" s="2" t="n">
        <x:f>IF(COUNT(I95)=1,1,0)</x:f>
        <x:v>0</x:v>
      </x:c>
    </x:row>
    <x:row r="96" ht="46" customHeight="1">
      <x:c r="A96" s="2" t="n">
        <x:v>89</x:v>
      </x:c>
      <x:c r="B96" s="2" t="n">
        <x:v>89</x:v>
      </x:c>
      <x:c r="C96" s="12" t="n">
        <x:f>'Салық календары'!J96</x:f>
        <x:v>46453</x:v>
      </x:c>
      <x:c r="D96" s="13" t="str">
        <x:v>Мүлк салығы айлық авансы</x:v>
      </x:c>
      <x:c r="E96" s="14" t="n">
        <x:v>46456</x:v>
      </x:c>
      <x:c r="F96" s="14" t="str">
        <x:f>IF('Салық календары'!F96="","",'Салық календары'!F96)</x:f>
      </x:c>
      <x:c r="G96" s="2" t="str">
        <x:v>2027-03</x:v>
      </x:c>
      <x:c r="H96" s="2" t="str">
        <x:v>J</x:v>
      </x:c>
      <x:c r="I96" s="10" t="str">
        <x:f>IF(AND(COUNTIFS('Клиентлер'!$T$8:$T$31,1)=24,COUNT('Клиентлер'!$J$8:$J$31)=24),COUNTIFS('Клиентлер'!$J$8:$J$31,1,'Клиентлер'!$T$8:$T$31,1,'Клиентлер'!$G$8:$G$31,0),"")</x:f>
      </x:c>
      <x:c r="J96" s="10"/>
      <x:c r="K96" s="2" t="n">
        <x:f>SUMIFS('Күнлик есабат'!$F$8:$F$507,'Күнлик есабат'!$C$8:$C$507,A96,'Күнлик есабат'!$L$8:$L$507,0,'Күнлик есабат'!$M$8:$M$507,0)-SUMIFS('Күнлик есабат'!$H$8:$H$507,'Күнлик есабат'!$C$8:$C$507,A96,'Күнлик есабат'!$L$8:$L$507,0,'Күнлик есабат'!$M$8:$M$507,0)</x:f>
        <x:v>0</x:v>
      </x:c>
      <x:c r="L96" s="2" t="n">
        <x:f>SUMIFS('Күнлик есабат'!$G$8:$G$507,'Күнлик есабат'!$C$8:$C$507,A96,'Күнлик есабат'!$L$8:$L$507,0,'Күнлик есабат'!$M$8:$M$507,0)</x:f>
        <x:v>0</x:v>
      </x:c>
      <x:c r="M96" s="2" t="str">
        <x:f>IF(I96="","",MAX(I96-K96,0))</x:f>
      </x:c>
      <x:c r="N96" s="16" t="str">
        <x:f>IF(OR(I96="",I96=0),"",MIN(K96/I96,1))</x:f>
      </x:c>
      <x:c r="O96" s="2" t="n">
        <x:f>24-COUNTIFS('Клиентлер'!$T$8:$T$31,1)</x:f>
        <x:v>24</x:v>
      </x:c>
      <x:c r="P96" s="2" t="n">
        <x:f>IF(AND('Салық календары'!G96=1,ISNUMBER('Салық календары'!F96)),1,0)</x:f>
        <x:v>0</x:v>
      </x:c>
      <x:c r="Q96" s="2" t="str">
        <x:v>Салық</x:v>
      </x:c>
      <x:c r="R96" s="10"/>
      <x:c r="S96" s="2" t="n">
        <x:f>IF(COUNT(I96)=1,1,0)</x:f>
        <x:v>0</x:v>
      </x:c>
    </x:row>
    <x:row r="97" ht="46" customHeight="1">
      <x:c r="A97" s="2" t="n">
        <x:v>90</x:v>
      </x:c>
      <x:c r="B97" s="2" t="n">
        <x:v>90</x:v>
      </x:c>
      <x:c r="C97" s="12" t="n">
        <x:f>'Салық календары'!J97</x:f>
        <x:v>46453</x:v>
      </x:c>
      <x:c r="D97" s="13" t="str">
        <x:v>Жер салығы айлық төлеми</x:v>
      </x:c>
      <x:c r="E97" s="14" t="n">
        <x:v>46456</x:v>
      </x:c>
      <x:c r="F97" s="14" t="str">
        <x:f>IF('Салық календары'!F97="","",'Салық календары'!F97)</x:f>
      </x:c>
      <x:c r="G97" s="2" t="str">
        <x:v>2027-03</x:v>
      </x:c>
      <x:c r="H97" s="2" t="str">
        <x:v>K</x:v>
      </x:c>
      <x:c r="I97" s="10" t="str">
        <x:f>IF(AND(COUNTIFS('Клиентлер'!$T$8:$T$31,1)=24,COUNT('Клиентлер'!$K$8:$K$31)=24),COUNTIFS('Клиентлер'!$K$8:$K$31,1,'Клиентлер'!$T$8:$T$31,1,'Клиентлер'!$G$8:$G$31,0),"")</x:f>
      </x:c>
      <x:c r="J97" s="10"/>
      <x:c r="K97" s="2" t="n">
        <x:f>SUMIFS('Күнлик есабат'!$F$8:$F$507,'Күнлик есабат'!$C$8:$C$507,A97,'Күнлик есабат'!$L$8:$L$507,0,'Күнлик есабат'!$M$8:$M$507,0)-SUMIFS('Күнлик есабат'!$H$8:$H$507,'Күнлик есабат'!$C$8:$C$507,A97,'Күнлик есабат'!$L$8:$L$507,0,'Күнлик есабат'!$M$8:$M$507,0)</x:f>
        <x:v>0</x:v>
      </x:c>
      <x:c r="L97" s="2" t="n">
        <x:f>SUMIFS('Күнлик есабат'!$G$8:$G$507,'Күнлик есабат'!$C$8:$C$507,A97,'Күнлик есабат'!$L$8:$L$507,0,'Күнлик есабат'!$M$8:$M$507,0)</x:f>
        <x:v>0</x:v>
      </x:c>
      <x:c r="M97" s="2" t="str">
        <x:f>IF(I97="","",MAX(I97-K97,0))</x:f>
      </x:c>
      <x:c r="N97" s="16" t="str">
        <x:f>IF(OR(I97="",I97=0),"",MIN(K97/I97,1))</x:f>
      </x:c>
      <x:c r="O97" s="2" t="n">
        <x:f>24-COUNTIFS('Клиентлер'!$T$8:$T$31,1)</x:f>
        <x:v>24</x:v>
      </x:c>
      <x:c r="P97" s="2" t="n">
        <x:f>IF(AND('Салық календары'!G97=1,ISNUMBER('Салық календары'!F97)),1,0)</x:f>
        <x:v>0</x:v>
      </x:c>
      <x:c r="Q97" s="2" t="str">
        <x:v>Салық</x:v>
      </x:c>
      <x:c r="R97" s="10"/>
      <x:c r="S97" s="2" t="n">
        <x:f>IF(COUNT(I97)=1,1,0)</x:f>
        <x:v>0</x:v>
      </x:c>
    </x:row>
    <x:row r="98" ht="46" customHeight="1">
      <x:c r="A98" s="2" t="n">
        <x:v>91</x:v>
      </x:c>
      <x:c r="B98" s="2" t="n">
        <x:v>91</x:v>
      </x:c>
      <x:c r="C98" s="12" t="n">
        <x:f>'Салық календары'!J98</x:f>
        <x:v>46463</x:v>
      </x:c>
      <x:c r="D98" s="13" t="str">
        <x:v>Суў салығы айлық авансы</x:v>
      </x:c>
      <x:c r="E98" s="14" t="n">
        <x:v>46466</x:v>
      </x:c>
      <x:c r="F98" s="14" t="str">
        <x:f>IF('Салық календары'!F98="","",'Салық календары'!F98)</x:f>
      </x:c>
      <x:c r="G98" s="2" t="str">
        <x:v>2027-03</x:v>
      </x:c>
      <x:c r="H98" s="2" t="str">
        <x:v>V</x:v>
      </x:c>
      <x:c r="I98" s="10" t="str">
        <x:f>IF(AND(COUNTIFS('Клиентлер'!$T$8:$T$31,1)=24,COUNT('Клиентлер'!$V$8:$V$31)=24),COUNTIFS('Клиентлер'!$V$8:$V$31,1,'Клиентлер'!$T$8:$T$31,1,'Клиентлер'!$G$8:$G$31,0),"")</x:f>
      </x:c>
      <x:c r="J98" s="10"/>
      <x:c r="K98" s="2" t="n">
        <x:f>SUMIFS('Күнлик есабат'!$F$8:$F$507,'Күнлик есабат'!$C$8:$C$507,A98,'Күнлик есабат'!$L$8:$L$507,0,'Күнлик есабат'!$M$8:$M$507,0)-SUMIFS('Күнлик есабат'!$H$8:$H$507,'Күнлик есабат'!$C$8:$C$507,A98,'Күнлик есабат'!$L$8:$L$507,0,'Күнлик есабат'!$M$8:$M$507,0)</x:f>
        <x:v>0</x:v>
      </x:c>
      <x:c r="L98" s="2" t="n">
        <x:f>SUMIFS('Күнлик есабат'!$G$8:$G$507,'Күнлик есабат'!$C$8:$C$507,A98,'Күнлик есабат'!$L$8:$L$507,0,'Күнлик есабат'!$M$8:$M$507,0)</x:f>
        <x:v>0</x:v>
      </x:c>
      <x:c r="M98" s="2" t="str">
        <x:f>IF(I98="","",MAX(I98-K98,0))</x:f>
      </x:c>
      <x:c r="N98" s="16" t="str">
        <x:f>IF(OR(I98="",I98=0),"",MIN(K98/I98,1))</x:f>
      </x:c>
      <x:c r="O98" s="2" t="n">
        <x:f>24-COUNTIFS('Клиентлер'!$T$8:$T$31,1)</x:f>
        <x:v>24</x:v>
      </x:c>
      <x:c r="P98" s="2" t="n">
        <x:f>IF(AND('Салық календары'!G98=1,ISNUMBER('Салық календары'!F98)),1,0)</x:f>
        <x:v>0</x:v>
      </x:c>
      <x:c r="Q98" s="2" t="str">
        <x:v>Салық</x:v>
      </x:c>
      <x:c r="R98" s="10"/>
      <x:c r="S98" s="2" t="n">
        <x:f>IF(COUNT(I98)=1,1,0)</x:f>
        <x:v>0</x:v>
      </x:c>
    </x:row>
    <x:row r="99" ht="46" customHeight="1">
      <x:c r="A99" s="2" t="n">
        <x:v>92</x:v>
      </x:c>
      <x:c r="B99" s="2" t="n">
        <x:v>92</x:v>
      </x:c>
      <x:c r="C99" s="12" t="n">
        <x:f>'Салық календары'!J99</x:f>
        <x:v>46494</x:v>
      </x:c>
      <x:c r="D99" s="13" t="str">
        <x:v>ҚҚС есабаты</x:v>
      </x:c>
      <x:c r="E99" s="14" t="n">
        <x:v>46497</x:v>
      </x:c>
      <x:c r="F99" s="14" t="str">
        <x:f>IF('Салық календары'!F99="","",'Салық календары'!F99)</x:f>
      </x:c>
      <x:c r="G99" s="2" t="str">
        <x:v>2027-03</x:v>
      </x:c>
      <x:c r="H99" s="2" t="str">
        <x:v>F</x:v>
      </x:c>
      <x:c r="I99" s="10" t="str">
        <x:f>IF(AND(COUNTIFS('Клиентлер'!$T$8:$T$31,1)=24,COUNT('Клиентлер'!$F$8:$F$31)=24),COUNTIFS('Клиентлер'!$F$8:$F$31,1,'Клиентлер'!$T$8:$T$31,1),"")</x:f>
      </x:c>
      <x:c r="J99" s="10"/>
      <x:c r="K99" s="2" t="n">
        <x:f>SUMIFS('Күнлик есабат'!$F$8:$F$507,'Күнлик есабат'!$C$8:$C$507,A99,'Күнлик есабат'!$L$8:$L$507,0,'Күнлик есабат'!$M$8:$M$507,0)-SUMIFS('Күнлик есабат'!$H$8:$H$507,'Күнлик есабат'!$C$8:$C$507,A99,'Күнлик есабат'!$L$8:$L$507,0,'Күнлик есабат'!$M$8:$M$507,0)</x:f>
        <x:v>0</x:v>
      </x:c>
      <x:c r="L99" s="2" t="n">
        <x:f>SUMIFS('Күнлик есабат'!$G$8:$G$507,'Күнлик есабат'!$C$8:$C$507,A99,'Күнлик есабат'!$L$8:$L$507,0,'Күнлик есабат'!$M$8:$M$507,0)</x:f>
        <x:v>0</x:v>
      </x:c>
      <x:c r="M99" s="2" t="str">
        <x:f>IF(I99="","",MAX(I99-K99,0))</x:f>
      </x:c>
      <x:c r="N99" s="16" t="str">
        <x:f>IF(OR(I99="",I99=0),"",MIN(K99/I99,1))</x:f>
      </x:c>
      <x:c r="O99" s="2" t="n">
        <x:f>24-COUNTIFS('Клиентлер'!$T$8:$T$31,1)</x:f>
        <x:v>24</x:v>
      </x:c>
      <x:c r="P99" s="2" t="n">
        <x:f>IF(AND('Салық календары'!G99=1,ISNUMBER('Салық календары'!F99)),1,0)</x:f>
        <x:v>0</x:v>
      </x:c>
      <x:c r="Q99" s="2" t="str">
        <x:v>Салық</x:v>
      </x:c>
      <x:c r="R99" s="10"/>
      <x:c r="S99" s="2" t="n">
        <x:f>IF(COUNT(I99)=1,1,0)</x:f>
        <x:v>0</x:v>
      </x:c>
    </x:row>
    <x:row r="100" ht="46" customHeight="1">
      <x:c r="A100" s="2" t="n">
        <x:v>93</x:v>
      </x:c>
      <x:c r="B100" s="2" t="n">
        <x:v>93</x:v>
      </x:c>
      <x:c r="C100" s="12" t="n">
        <x:f>'Салық календары'!J100</x:f>
        <x:v>46494</x:v>
      </x:c>
      <x:c r="D100" s="13" t="str">
        <x:v>ҚҚС төлеми</x:v>
      </x:c>
      <x:c r="E100" s="14" t="n">
        <x:v>46497</x:v>
      </x:c>
      <x:c r="F100" s="14" t="str">
        <x:f>IF('Салық календары'!F100="","",'Салық календары'!F100)</x:f>
      </x:c>
      <x:c r="G100" s="2" t="str">
        <x:v>2027-03</x:v>
      </x:c>
      <x:c r="H100" s="2" t="str">
        <x:v>F</x:v>
      </x:c>
      <x:c r="I100" s="10" t="str">
        <x:f>IF(AND(COUNTIFS('Клиентлер'!$T$8:$T$31,1)=24,COUNT('Клиентлер'!$F$8:$F$31)=24),COUNTIFS('Клиентлер'!$F$8:$F$31,1,'Клиентлер'!$T$8:$T$31,1),"")</x:f>
      </x:c>
      <x:c r="J100" s="10"/>
      <x:c r="K100" s="2" t="n">
        <x:f>SUMIFS('Күнлик есабат'!$F$8:$F$507,'Күнлик есабат'!$C$8:$C$507,A100,'Күнлик есабат'!$L$8:$L$507,0,'Күнлик есабат'!$M$8:$M$507,0)-SUMIFS('Күнлик есабат'!$H$8:$H$507,'Күнлик есабат'!$C$8:$C$507,A100,'Күнлик есабат'!$L$8:$L$507,0,'Күнлик есабат'!$M$8:$M$507,0)</x:f>
        <x:v>0</x:v>
      </x:c>
      <x:c r="L100" s="2" t="n">
        <x:f>SUMIFS('Күнлик есабат'!$G$8:$G$507,'Күнлик есабат'!$C$8:$C$507,A100,'Күнлик есабат'!$L$8:$L$507,0,'Күнлик есабат'!$M$8:$M$507,0)</x:f>
        <x:v>0</x:v>
      </x:c>
      <x:c r="M100" s="2" t="str">
        <x:f>IF(I100="","",MAX(I100-K100,0))</x:f>
      </x:c>
      <x:c r="N100" s="16" t="str">
        <x:f>IF(OR(I100="",I100=0),"",MIN(K100/I100,1))</x:f>
      </x:c>
      <x:c r="O100" s="2" t="n">
        <x:f>24-COUNTIFS('Клиентлер'!$T$8:$T$31,1)</x:f>
        <x:v>24</x:v>
      </x:c>
      <x:c r="P100" s="2" t="n">
        <x:f>IF(AND('Салық календары'!G100=1,ISNUMBER('Салық календары'!F100)),1,0)</x:f>
        <x:v>0</x:v>
      </x:c>
      <x:c r="Q100" s="2" t="str">
        <x:v>Салық</x:v>
      </x:c>
      <x:c r="R100" s="10"/>
      <x:c r="S100" s="2" t="n">
        <x:f>IF(COUNT(I100)=1,1,0)</x:f>
        <x:v>0</x:v>
      </x:c>
    </x:row>
    <x:row r="101" ht="46" customHeight="1">
      <x:c r="A101" s="2" t="n">
        <x:v>94</x:v>
      </x:c>
      <x:c r="B101" s="2" t="n">
        <x:v>94</x:v>
      </x:c>
      <x:c r="C101" s="12" t="n">
        <x:f>'Салық календары'!J101</x:f>
        <x:v>46489</x:v>
      </x:c>
      <x:c r="D101" s="13" t="str">
        <x:v>Айланба салығы есабаты</x:v>
      </x:c>
      <x:c r="E101" s="14" t="n">
        <x:v>46492</x:v>
      </x:c>
      <x:c r="F101" s="14" t="str">
        <x:f>IF('Салық календары'!F101="","",'Салық календары'!F101)</x:f>
      </x:c>
      <x:c r="G101" s="2" t="str">
        <x:v>2027-03</x:v>
      </x:c>
      <x:c r="H101" s="2" t="str">
        <x:v>G</x:v>
      </x:c>
      <x:c r="I101" s="10" t="str">
        <x:f>IF(AND(COUNTIFS('Клиентлер'!$T$8:$T$31,1)=24,COUNT('Клиентлер'!$G$8:$G$31)=24),COUNTIFS('Клиентлер'!$G$8:$G$31,1,'Клиентлер'!$T$8:$T$31,1),"")</x:f>
      </x:c>
      <x:c r="J101" s="10"/>
      <x:c r="K101" s="2" t="n">
        <x:f>SUMIFS('Күнлик есабат'!$F$8:$F$507,'Күнлик есабат'!$C$8:$C$507,A101,'Күнлик есабат'!$L$8:$L$507,0,'Күнлик есабат'!$M$8:$M$507,0)-SUMIFS('Күнлик есабат'!$H$8:$H$507,'Күнлик есабат'!$C$8:$C$507,A101,'Күнлик есабат'!$L$8:$L$507,0,'Күнлик есабат'!$M$8:$M$507,0)</x:f>
        <x:v>0</x:v>
      </x:c>
      <x:c r="L101" s="2" t="n">
        <x:f>SUMIFS('Күнлик есабат'!$G$8:$G$507,'Күнлик есабат'!$C$8:$C$507,A101,'Күнлик есабат'!$L$8:$L$507,0,'Күнлик есабат'!$M$8:$M$507,0)</x:f>
        <x:v>0</x:v>
      </x:c>
      <x:c r="M101" s="2" t="str">
        <x:f>IF(I101="","",MAX(I101-K101,0))</x:f>
      </x:c>
      <x:c r="N101" s="16" t="str">
        <x:f>IF(OR(I101="",I101=0),"",MIN(K101/I101,1))</x:f>
      </x:c>
      <x:c r="O101" s="2" t="n">
        <x:f>24-COUNTIFS('Клиентлер'!$T$8:$T$31,1)</x:f>
        <x:v>24</x:v>
      </x:c>
      <x:c r="P101" s="2" t="n">
        <x:f>IF(AND('Салық календары'!G101=1,ISNUMBER('Салық календары'!F101)),1,0)</x:f>
        <x:v>0</x:v>
      </x:c>
      <x:c r="Q101" s="2" t="str">
        <x:v>Салық</x:v>
      </x:c>
      <x:c r="R101" s="10"/>
      <x:c r="S101" s="2" t="n">
        <x:f>IF(COUNT(I101)=1,1,0)</x:f>
        <x:v>0</x:v>
      </x:c>
    </x:row>
    <x:row r="102" ht="46" customHeight="1">
      <x:c r="A102" s="2" t="n">
        <x:v>95</x:v>
      </x:c>
      <x:c r="B102" s="2" t="n">
        <x:v>95</x:v>
      </x:c>
      <x:c r="C102" s="12" t="n">
        <x:f>'Салық календары'!J102</x:f>
        <x:v>46489</x:v>
      </x:c>
      <x:c r="D102" s="13" t="str">
        <x:v>Айланба салығы төлеми</x:v>
      </x:c>
      <x:c r="E102" s="14" t="n">
        <x:v>46492</x:v>
      </x:c>
      <x:c r="F102" s="14" t="str">
        <x:f>IF('Салық календары'!F102="","",'Салық календары'!F102)</x:f>
      </x:c>
      <x:c r="G102" s="2" t="str">
        <x:v>2027-03</x:v>
      </x:c>
      <x:c r="H102" s="2" t="str">
        <x:v>G</x:v>
      </x:c>
      <x:c r="I102" s="10" t="str">
        <x:f>IF(AND(COUNTIFS('Клиентлер'!$T$8:$T$31,1)=24,COUNT('Клиентлер'!$G$8:$G$31)=24),COUNTIFS('Клиентлер'!$G$8:$G$31,1,'Клиентлер'!$T$8:$T$31,1),"")</x:f>
      </x:c>
      <x:c r="J102" s="10"/>
      <x:c r="K102" s="2" t="n">
        <x:f>SUMIFS('Күнлик есабат'!$F$8:$F$507,'Күнлик есабат'!$C$8:$C$507,A102,'Күнлик есабат'!$L$8:$L$507,0,'Күнлик есабат'!$M$8:$M$507,0)-SUMIFS('Күнлик есабат'!$H$8:$H$507,'Күнлик есабат'!$C$8:$C$507,A102,'Күнлик есабат'!$L$8:$L$507,0,'Күнлик есабат'!$M$8:$M$507,0)</x:f>
        <x:v>0</x:v>
      </x:c>
      <x:c r="L102" s="2" t="n">
        <x:f>SUMIFS('Күнлик есабат'!$G$8:$G$507,'Күнлик есабат'!$C$8:$C$507,A102,'Күнлик есабат'!$L$8:$L$507,0,'Күнлик есабат'!$M$8:$M$507,0)</x:f>
        <x:v>0</x:v>
      </x:c>
      <x:c r="M102" s="2" t="str">
        <x:f>IF(I102="","",MAX(I102-K102,0))</x:f>
      </x:c>
      <x:c r="N102" s="16" t="str">
        <x:f>IF(OR(I102="",I102=0),"",MIN(K102/I102,1))</x:f>
      </x:c>
      <x:c r="O102" s="2" t="n">
        <x:f>24-COUNTIFS('Клиентлер'!$T$8:$T$31,1)</x:f>
        <x:v>24</x:v>
      </x:c>
      <x:c r="P102" s="2" t="n">
        <x:f>IF(AND('Салық календары'!G102=1,ISNUMBER('Салық календары'!F102)),1,0)</x:f>
        <x:v>0</x:v>
      </x:c>
      <x:c r="Q102" s="2" t="str">
        <x:v>Салық</x:v>
      </x:c>
      <x:c r="R102" s="10"/>
      <x:c r="S102" s="2" t="n">
        <x:f>IF(COUNT(I102)=1,1,0)</x:f>
        <x:v>0</x:v>
      </x:c>
    </x:row>
    <x:row r="103" ht="46" customHeight="1">
      <x:c r="A103" s="2" t="n">
        <x:v>96</x:v>
      </x:c>
      <x:c r="B103" s="2" t="n">
        <x:v>96</x:v>
      </x:c>
      <x:c r="C103" s="12" t="n">
        <x:f>'Салық календары'!J103</x:f>
        <x:v>46489</x:v>
      </x:c>
      <x:c r="D103" s="13" t="str">
        <x:v>Дәрамат салығы есабаты</x:v>
      </x:c>
      <x:c r="E103" s="14" t="n">
        <x:v>46492</x:v>
      </x:c>
      <x:c r="F103" s="14" t="str">
        <x:f>IF('Салық календары'!F103="","",'Салық календары'!F103)</x:f>
      </x:c>
      <x:c r="G103" s="2" t="str">
        <x:v>2027-03</x:v>
      </x:c>
      <x:c r="H103" s="2" t="str">
        <x:v>I</x:v>
      </x:c>
      <x:c r="I103" s="10" t="str">
        <x:f>IF(AND(COUNTIFS('Клиентлер'!$T$8:$T$31,1)=24,COUNT('Клиентлер'!$I$8:$I$31)=24),COUNTIFS('Клиентлер'!$I$8:$I$31,1,'Клиентлер'!$T$8:$T$31,1),"")</x:f>
      </x:c>
      <x:c r="J103" s="10"/>
      <x:c r="K103" s="2" t="n">
        <x:f>SUMIFS('Күнлик есабат'!$F$8:$F$507,'Күнлик есабат'!$C$8:$C$507,A103,'Күнлик есабат'!$L$8:$L$507,0,'Күнлик есабат'!$M$8:$M$507,0)-SUMIFS('Күнлик есабат'!$H$8:$H$507,'Күнлик есабат'!$C$8:$C$507,A103,'Күнлик есабат'!$L$8:$L$507,0,'Күнлик есабат'!$M$8:$M$507,0)</x:f>
        <x:v>0</x:v>
      </x:c>
      <x:c r="L103" s="2" t="n">
        <x:f>SUMIFS('Күнлик есабат'!$G$8:$G$507,'Күнлик есабат'!$C$8:$C$507,A103,'Күнлик есабат'!$L$8:$L$507,0,'Күнлик есабат'!$M$8:$M$507,0)</x:f>
        <x:v>0</x:v>
      </x:c>
      <x:c r="M103" s="2" t="str">
        <x:f>IF(I103="","",MAX(I103-K103,0))</x:f>
      </x:c>
      <x:c r="N103" s="16" t="str">
        <x:f>IF(OR(I103="",I103=0),"",MIN(K103/I103,1))</x:f>
      </x:c>
      <x:c r="O103" s="2" t="n">
        <x:f>24-COUNTIFS('Клиентлер'!$T$8:$T$31,1)</x:f>
        <x:v>24</x:v>
      </x:c>
      <x:c r="P103" s="2" t="n">
        <x:f>IF(AND('Салық календары'!G103=1,ISNUMBER('Салық календары'!F103)),1,0)</x:f>
        <x:v>0</x:v>
      </x:c>
      <x:c r="Q103" s="2" t="str">
        <x:v>Салық</x:v>
      </x:c>
      <x:c r="R103" s="10"/>
      <x:c r="S103" s="2" t="n">
        <x:f>IF(COUNT(I103)=1,1,0)</x:f>
        <x:v>0</x:v>
      </x:c>
    </x:row>
    <x:row r="104" ht="46" customHeight="1">
      <x:c r="A104" s="2" t="n">
        <x:v>97</x:v>
      </x:c>
      <x:c r="B104" s="2" t="n">
        <x:v>97</x:v>
      </x:c>
      <x:c r="C104" s="12" t="n">
        <x:f>'Салық календары'!J104</x:f>
        <x:v>46489</x:v>
      </x:c>
      <x:c r="D104" s="13" t="str">
        <x:v>Социаллық салық есабаты</x:v>
      </x:c>
      <x:c r="E104" s="14" t="n">
        <x:v>46492</x:v>
      </x:c>
      <x:c r="F104" s="14" t="str">
        <x:f>IF('Салық календары'!F104="","",'Салық календары'!F104)</x:f>
      </x:c>
      <x:c r="G104" s="2" t="str">
        <x:v>2027-03</x:v>
      </x:c>
      <x:c r="H104" s="2" t="str">
        <x:v>I</x:v>
      </x:c>
      <x:c r="I104" s="10" t="str">
        <x:f>IF(AND(COUNTIFS('Клиентлер'!$T$8:$T$31,1)=24,COUNT('Клиентлер'!$I$8:$I$31)=24),COUNTIFS('Клиентлер'!$I$8:$I$31,1,'Клиентлер'!$T$8:$T$31,1),"")</x:f>
      </x:c>
      <x:c r="J104" s="10"/>
      <x:c r="K104" s="2" t="n">
        <x:f>SUMIFS('Күнлик есабат'!$F$8:$F$507,'Күнлик есабат'!$C$8:$C$507,A104,'Күнлик есабат'!$L$8:$L$507,0,'Күнлик есабат'!$M$8:$M$507,0)-SUMIFS('Күнлик есабат'!$H$8:$H$507,'Күнлик есабат'!$C$8:$C$507,A104,'Күнлик есабат'!$L$8:$L$507,0,'Күнлик есабат'!$M$8:$M$507,0)</x:f>
        <x:v>0</x:v>
      </x:c>
      <x:c r="L104" s="2" t="n">
        <x:f>SUMIFS('Күнлик есабат'!$G$8:$G$507,'Күнлик есабат'!$C$8:$C$507,A104,'Күнлик есабат'!$L$8:$L$507,0,'Күнлик есабат'!$M$8:$M$507,0)</x:f>
        <x:v>0</x:v>
      </x:c>
      <x:c r="M104" s="2" t="str">
        <x:f>IF(I104="","",MAX(I104-K104,0))</x:f>
      </x:c>
      <x:c r="N104" s="16" t="str">
        <x:f>IF(OR(I104="",I104=0),"",MIN(K104/I104,1))</x:f>
      </x:c>
      <x:c r="O104" s="2" t="n">
        <x:f>24-COUNTIFS('Клиентлер'!$T$8:$T$31,1)</x:f>
        <x:v>24</x:v>
      </x:c>
      <x:c r="P104" s="2" t="n">
        <x:f>IF(AND('Салық календары'!G104=1,ISNUMBER('Салық календары'!F104)),1,0)</x:f>
        <x:v>0</x:v>
      </x:c>
      <x:c r="Q104" s="2" t="str">
        <x:v>Салық</x:v>
      </x:c>
      <x:c r="R104" s="10"/>
      <x:c r="S104" s="2" t="n">
        <x:f>IF(COUNT(I104)=1,1,0)</x:f>
        <x:v>0</x:v>
      </x:c>
    </x:row>
    <x:row r="105" ht="46" customHeight="1">
      <x:c r="A105" s="2" t="n">
        <x:v>98</x:v>
      </x:c>
      <x:c r="B105" s="2" t="n">
        <x:v>98</x:v>
      </x:c>
      <x:c r="C105" s="12" t="n">
        <x:f>'Салық календары'!J105</x:f>
        <x:v>46489</x:v>
      </x:c>
      <x:c r="D105" s="13" t="str">
        <x:v>Социаллық салық төлеми</x:v>
      </x:c>
      <x:c r="E105" s="14" t="n">
        <x:v>46492</x:v>
      </x:c>
      <x:c r="F105" s="14" t="str">
        <x:f>IF('Салық календары'!F105="","",'Салық календары'!F105)</x:f>
      </x:c>
      <x:c r="G105" s="2" t="str">
        <x:v>2027-03</x:v>
      </x:c>
      <x:c r="H105" s="2" t="str">
        <x:v>I</x:v>
      </x:c>
      <x:c r="I105" s="10" t="str">
        <x:f>IF(AND(COUNTIFS('Клиентлер'!$T$8:$T$31,1)=24,COUNT('Клиентлер'!$I$8:$I$31)=24),COUNTIFS('Клиентлер'!$I$8:$I$31,1,'Клиентлер'!$T$8:$T$31,1),"")</x:f>
      </x:c>
      <x:c r="J105" s="10"/>
      <x:c r="K105" s="2" t="n">
        <x:f>SUMIFS('Күнлик есабат'!$F$8:$F$507,'Күнлик есабат'!$C$8:$C$507,A105,'Күнлик есабат'!$L$8:$L$507,0,'Күнлик есабат'!$M$8:$M$507,0)-SUMIFS('Күнлик есабат'!$H$8:$H$507,'Күнлик есабат'!$C$8:$C$507,A105,'Күнлик есабат'!$L$8:$L$507,0,'Күнлик есабат'!$M$8:$M$507,0)</x:f>
        <x:v>0</x:v>
      </x:c>
      <x:c r="L105" s="2" t="n">
        <x:f>SUMIFS('Күнлик есабат'!$G$8:$G$507,'Күнлик есабат'!$C$8:$C$507,A105,'Күнлик есабат'!$L$8:$L$507,0,'Күнлик есабат'!$M$8:$M$507,0)</x:f>
        <x:v>0</x:v>
      </x:c>
      <x:c r="M105" s="2" t="str">
        <x:f>IF(I105="","",MAX(I105-K105,0))</x:f>
      </x:c>
      <x:c r="N105" s="16" t="str">
        <x:f>IF(OR(I105="",I105=0),"",MIN(K105/I105,1))</x:f>
      </x:c>
      <x:c r="O105" s="2" t="n">
        <x:f>24-COUNTIFS('Клиентлер'!$T$8:$T$31,1)</x:f>
        <x:v>24</x:v>
      </x:c>
      <x:c r="P105" s="2" t="n">
        <x:f>IF(AND('Салық календары'!G105=1,ISNUMBER('Салық календары'!F105)),1,0)</x:f>
        <x:v>0</x:v>
      </x:c>
      <x:c r="Q105" s="2" t="str">
        <x:v>Салық</x:v>
      </x:c>
      <x:c r="R105" s="10"/>
      <x:c r="S105" s="2" t="n">
        <x:f>IF(COUNT(I105)=1,1,0)</x:f>
        <x:v>0</x:v>
      </x:c>
    </x:row>
    <x:row r="106" ht="46" customHeight="1">
      <x:c r="A106" s="2" t="n">
        <x:v>99</x:v>
      </x:c>
      <x:c r="B106" s="2" t="n">
        <x:v>99</x:v>
      </x:c>
      <x:c r="C106" s="12" t="n">
        <x:f>'Салық календары'!J106</x:f>
        <x:v>46484</x:v>
      </x:c>
      <x:c r="D106" s="13" t="str">
        <x:v>Акциз есабаты ҳәм төлемин тексериў</x:v>
      </x:c>
      <x:c r="E106" s="14" t="n">
        <x:v>46487</x:v>
      </x:c>
      <x:c r="F106" s="14" t="str">
        <x:f>IF('Салық календары'!F106="","",'Салық календары'!F106)</x:f>
      </x:c>
      <x:c r="G106" s="2" t="str">
        <x:v>2027-03</x:v>
      </x:c>
      <x:c r="H106" s="2" t="str">
        <x:v>N</x:v>
      </x:c>
      <x:c r="I106" s="10" t="str">
        <x:f>IF(AND(COUNTIFS('Клиентлер'!$T$8:$T$31,1)=24,COUNT('Клиентлер'!$N$8:$N$31)=24),COUNTIFS('Клиентлер'!$N$8:$N$31,1,'Клиентлер'!$T$8:$T$31,1),"")</x:f>
      </x:c>
      <x:c r="J106" s="10"/>
      <x:c r="K106" s="2" t="n">
        <x:f>SUMIFS('Күнлик есабат'!$F$8:$F$507,'Күнлик есабат'!$C$8:$C$507,A106,'Күнлик есабат'!$L$8:$L$507,0,'Күнлик есабат'!$M$8:$M$507,0)-SUMIFS('Күнлик есабат'!$H$8:$H$507,'Күнлик есабат'!$C$8:$C$507,A106,'Күнлик есабат'!$L$8:$L$507,0,'Күнлик есабат'!$M$8:$M$507,0)</x:f>
        <x:v>0</x:v>
      </x:c>
      <x:c r="L106" s="2" t="n">
        <x:f>SUMIFS('Күнлик есабат'!$G$8:$G$507,'Күнлик есабат'!$C$8:$C$507,A106,'Күнлик есабат'!$L$8:$L$507,0,'Күнлик есабат'!$M$8:$M$507,0)</x:f>
        <x:v>0</x:v>
      </x:c>
      <x:c r="M106" s="2" t="str">
        <x:f>IF(I106="","",MAX(I106-K106,0))</x:f>
      </x:c>
      <x:c r="N106" s="16" t="str">
        <x:f>IF(OR(I106="",I106=0),"",MIN(K106/I106,1))</x:f>
      </x:c>
      <x:c r="O106" s="2" t="n">
        <x:f>24-COUNTIFS('Клиентлер'!$T$8:$T$31,1)</x:f>
        <x:v>24</x:v>
      </x:c>
      <x:c r="P106" s="2" t="n">
        <x:f>IF(AND('Салық календары'!G106=1,ISNUMBER('Салық календары'!F106)),1,0)</x:f>
        <x:v>0</x:v>
      </x:c>
      <x:c r="Q106" s="2" t="str">
        <x:v>Салық</x:v>
      </x:c>
      <x:c r="R106" s="10"/>
      <x:c r="S106" s="2" t="n">
        <x:f>IF(COUNT(I106)=1,1,0)</x:f>
        <x:v>0</x:v>
      </x:c>
    </x:row>
    <x:row r="107" ht="46" customHeight="1">
      <x:c r="A107" s="2" t="n">
        <x:v>100</x:v>
      </x:c>
      <x:c r="B107" s="2" t="n">
        <x:v>100</x:v>
      </x:c>
      <x:c r="C107" s="12" t="n">
        <x:f>'Салық календары'!J107</x:f>
        <x:v>46494</x:v>
      </x:c>
      <x:c r="D107" s="13" t="str">
        <x:v>Дивиденд ҳәм процент салығы есабаты</x:v>
      </x:c>
      <x:c r="E107" s="14" t="n">
        <x:v>46497</x:v>
      </x:c>
      <x:c r="F107" s="14" t="str">
        <x:f>IF('Салық календары'!F107="","",'Салық календары'!F107)</x:f>
      </x:c>
      <x:c r="G107" s="2" t="str">
        <x:v>2027-03</x:v>
      </x:c>
      <x:c r="H107" s="2" t="str">
        <x:v>O</x:v>
      </x:c>
      <x:c r="I107" s="10" t="str">
        <x:f>IF(AND(COUNTIFS('Клиентлер'!$T$8:$T$31,1)=24,COUNT('Клиентлер'!$O$8:$O$31)=24),COUNTIFS('Клиентлер'!$O$8:$O$31,1,'Клиентлер'!$T$8:$T$31,1),"")</x:f>
      </x:c>
      <x:c r="J107" s="10"/>
      <x:c r="K107" s="2" t="n">
        <x:f>SUMIFS('Күнлик есабат'!$F$8:$F$507,'Күнлик есабат'!$C$8:$C$507,A107,'Күнлик есабат'!$L$8:$L$507,0,'Күнлик есабат'!$M$8:$M$507,0)-SUMIFS('Күнлик есабат'!$H$8:$H$507,'Күнлик есабат'!$C$8:$C$507,A107,'Күнлик есабат'!$L$8:$L$507,0,'Күнлик есабат'!$M$8:$M$507,0)</x:f>
        <x:v>0</x:v>
      </x:c>
      <x:c r="L107" s="2" t="n">
        <x:f>SUMIFS('Күнлик есабат'!$G$8:$G$507,'Күнлик есабат'!$C$8:$C$507,A107,'Күнлик есабат'!$L$8:$L$507,0,'Күнлик есабат'!$M$8:$M$507,0)</x:f>
        <x:v>0</x:v>
      </x:c>
      <x:c r="M107" s="2" t="str">
        <x:f>IF(I107="","",MAX(I107-K107,0))</x:f>
      </x:c>
      <x:c r="N107" s="16" t="str">
        <x:f>IF(OR(I107="",I107=0),"",MIN(K107/I107,1))</x:f>
      </x:c>
      <x:c r="O107" s="2" t="n">
        <x:f>24-COUNTIFS('Клиентлер'!$T$8:$T$31,1)</x:f>
        <x:v>24</x:v>
      </x:c>
      <x:c r="P107" s="2" t="n">
        <x:f>IF(AND('Салық календары'!G107=1,ISNUMBER('Салық календары'!F107)),1,0)</x:f>
        <x:v>0</x:v>
      </x:c>
      <x:c r="Q107" s="2" t="str">
        <x:v>Салық</x:v>
      </x:c>
      <x:c r="R107" s="10"/>
      <x:c r="S107" s="2" t="n">
        <x:f>IF(COUNT(I107)=1,1,0)</x:f>
        <x:v>0</x:v>
      </x:c>
    </x:row>
    <x:row r="108" ht="46" customHeight="1">
      <x:c r="A108" s="2" t="n">
        <x:v>101</x:v>
      </x:c>
      <x:c r="B108" s="2" t="n">
        <x:v>101</x:v>
      </x:c>
      <x:c r="C108" s="12" t="n">
        <x:f>'Салық календары'!J108</x:f>
        <x:v>46494</x:v>
      </x:c>
      <x:c r="D108" s="13" t="str">
        <x:v>Норезидент дәраматы салығы есабаты</x:v>
      </x:c>
      <x:c r="E108" s="14" t="n">
        <x:v>46497</x:v>
      </x:c>
      <x:c r="F108" s="14" t="str">
        <x:f>IF('Салық календары'!F108="","",'Салық календары'!F108)</x:f>
      </x:c>
      <x:c r="G108" s="2" t="str">
        <x:v>2027-03</x:v>
      </x:c>
      <x:c r="H108" s="2" t="str">
        <x:v>P</x:v>
      </x:c>
      <x:c r="I108" s="10" t="str">
        <x:f>IF(AND(COUNTIFS('Клиентлер'!$T$8:$T$31,1)=24,COUNT('Клиентлер'!$P$8:$P$31)=24),COUNTIFS('Клиентлер'!$P$8:$P$31,1,'Клиентлер'!$T$8:$T$31,1),"")</x:f>
      </x:c>
      <x:c r="J108" s="10"/>
      <x:c r="K108" s="2" t="n">
        <x:f>SUMIFS('Күнлик есабат'!$F$8:$F$507,'Күнлик есабат'!$C$8:$C$507,A108,'Күнлик есабат'!$L$8:$L$507,0,'Күнлик есабат'!$M$8:$M$507,0)-SUMIFS('Күнлик есабат'!$H$8:$H$507,'Күнлик есабат'!$C$8:$C$507,A108,'Күнлик есабат'!$L$8:$L$507,0,'Күнлик есабат'!$M$8:$M$507,0)</x:f>
        <x:v>0</x:v>
      </x:c>
      <x:c r="L108" s="2" t="n">
        <x:f>SUMIFS('Күнлик есабат'!$G$8:$G$507,'Күнлик есабат'!$C$8:$C$507,A108,'Күнлик есабат'!$L$8:$L$507,0,'Күнлик есабат'!$M$8:$M$507,0)</x:f>
        <x:v>0</x:v>
      </x:c>
      <x:c r="M108" s="2" t="str">
        <x:f>IF(I108="","",MAX(I108-K108,0))</x:f>
      </x:c>
      <x:c r="N108" s="16" t="str">
        <x:f>IF(OR(I108="",I108=0),"",MIN(K108/I108,1))</x:f>
      </x:c>
      <x:c r="O108" s="2" t="n">
        <x:f>24-COUNTIFS('Клиентлер'!$T$8:$T$31,1)</x:f>
        <x:v>24</x:v>
      </x:c>
      <x:c r="P108" s="2" t="n">
        <x:f>IF(AND('Салық календары'!G108=1,ISNUMBER('Салық календары'!F108)),1,0)</x:f>
        <x:v>0</x:v>
      </x:c>
      <x:c r="Q108" s="2" t="str">
        <x:v>Салық</x:v>
      </x:c>
      <x:c r="R108" s="10"/>
      <x:c r="S108" s="2" t="n">
        <x:f>IF(COUNT(I108)=1,1,0)</x:f>
        <x:v>0</x:v>
      </x:c>
    </x:row>
    <x:row r="109" ht="46" customHeight="1">
      <x:c r="A109" s="2" t="n">
        <x:v>102</x:v>
      </x:c>
      <x:c r="B109" s="2" t="n">
        <x:v>102</x:v>
      </x:c>
      <x:c r="C109" s="12" t="n">
        <x:f>'Салық календары'!J109</x:f>
        <x:v>46494</x:v>
      </x:c>
      <x:c r="D109" s="13" t="str">
        <x:v>Жер қойнаўынан пайдаланыў есабаты</x:v>
      </x:c>
      <x:c r="E109" s="14" t="n">
        <x:v>46497</x:v>
      </x:c>
      <x:c r="F109" s="14" t="str">
        <x:f>IF('Салық календары'!F109="","",'Салық календары'!F109)</x:f>
      </x:c>
      <x:c r="G109" s="2" t="str">
        <x:v>2027-03</x:v>
      </x:c>
      <x:c r="H109" s="2" t="str">
        <x:v>Q</x:v>
      </x:c>
      <x:c r="I109" s="10" t="str">
        <x:f>IF(AND(COUNTIFS('Клиентлер'!$T$8:$T$31,1)=24,COUNT('Клиентлер'!$Q$8:$Q$31)=24),COUNTIFS('Клиентлер'!$Q$8:$Q$31,1,'Клиентлер'!$T$8:$T$31,1),"")</x:f>
      </x:c>
      <x:c r="J109" s="10"/>
      <x:c r="K109" s="2" t="n">
        <x:f>SUMIFS('Күнлик есабат'!$F$8:$F$507,'Күнлик есабат'!$C$8:$C$507,A109,'Күнлик есабат'!$L$8:$L$507,0,'Күнлик есабат'!$M$8:$M$507,0)-SUMIFS('Күнлик есабат'!$H$8:$H$507,'Күнлик есабат'!$C$8:$C$507,A109,'Күнлик есабат'!$L$8:$L$507,0,'Күнлик есабат'!$M$8:$M$507,0)</x:f>
        <x:v>0</x:v>
      </x:c>
      <x:c r="L109" s="2" t="n">
        <x:f>SUMIFS('Күнлик есабат'!$G$8:$G$507,'Күнлик есабат'!$C$8:$C$507,A109,'Күнлик есабат'!$L$8:$L$507,0,'Күнлик есабат'!$M$8:$M$507,0)</x:f>
        <x:v>0</x:v>
      </x:c>
      <x:c r="M109" s="2" t="str">
        <x:f>IF(I109="","",MAX(I109-K109,0))</x:f>
      </x:c>
      <x:c r="N109" s="16" t="str">
        <x:f>IF(OR(I109="",I109=0),"",MIN(K109/I109,1))</x:f>
      </x:c>
      <x:c r="O109" s="2" t="n">
        <x:f>24-COUNTIFS('Клиентлер'!$T$8:$T$31,1)</x:f>
        <x:v>24</x:v>
      </x:c>
      <x:c r="P109" s="2" t="n">
        <x:f>IF(AND('Салық календары'!G109=1,ISNUMBER('Салық календары'!F109)),1,0)</x:f>
        <x:v>0</x:v>
      </x:c>
      <x:c r="Q109" s="2" t="str">
        <x:v>Салық</x:v>
      </x:c>
      <x:c r="R109" s="10"/>
      <x:c r="S109" s="2" t="n">
        <x:f>IF(COUNT(I109)=1,1,0)</x:f>
        <x:v>0</x:v>
      </x:c>
    </x:row>
    <x:row r="110" ht="46" customHeight="1">
      <x:c r="A110" s="2" t="n">
        <x:v>103</x:v>
      </x:c>
      <x:c r="B110" s="2" t="n">
        <x:v>103</x:v>
      </x:c>
      <x:c r="C110" s="12" t="n">
        <x:f>'Салық календары'!J110</x:f>
        <x:v>46497</x:v>
      </x:c>
      <x:c r="D110" s="13" t="str">
        <x:v>Пайда салығы авансы</x:v>
      </x:c>
      <x:c r="E110" s="14" t="n">
        <x:v>46500</x:v>
      </x:c>
      <x:c r="F110" s="14" t="str">
        <x:f>IF('Салық календары'!F110="","",'Салық календары'!F110)</x:f>
      </x:c>
      <x:c r="G110" s="2" t="str">
        <x:v>2027-04</x:v>
      </x:c>
      <x:c r="H110" s="2" t="str">
        <x:v>M</x:v>
      </x:c>
      <x:c r="I110" s="10" t="str">
        <x:f>IF(AND(COUNTIFS('Клиентлер'!$T$8:$T$31,1)=24,COUNT('Клиентлер'!$M$8:$M$31)=24),COUNTIFS('Клиентлер'!$M$8:$M$31,1,'Клиентлер'!$T$8:$T$31,1),"")</x:f>
      </x:c>
      <x:c r="J110" s="10"/>
      <x:c r="K110" s="2" t="n">
        <x:f>SUMIFS('Күнлик есабат'!$F$8:$F$507,'Күнлик есабат'!$C$8:$C$507,A110,'Күнлик есабат'!$L$8:$L$507,0,'Күнлик есабат'!$M$8:$M$507,0)-SUMIFS('Күнлик есабат'!$H$8:$H$507,'Күнлик есабат'!$C$8:$C$507,A110,'Күнлик есабат'!$L$8:$L$507,0,'Күнлик есабат'!$M$8:$M$507,0)</x:f>
        <x:v>0</x:v>
      </x:c>
      <x:c r="L110" s="2" t="n">
        <x:f>SUMIFS('Күнлик есабат'!$G$8:$G$507,'Күнлик есабат'!$C$8:$C$507,A110,'Күнлик есабат'!$L$8:$L$507,0,'Күнлик есабат'!$M$8:$M$507,0)</x:f>
        <x:v>0</x:v>
      </x:c>
      <x:c r="M110" s="2" t="str">
        <x:f>IF(I110="","",MAX(I110-K110,0))</x:f>
      </x:c>
      <x:c r="N110" s="16" t="str">
        <x:f>IF(OR(I110="",I110=0),"",MIN(K110/I110,1))</x:f>
      </x:c>
      <x:c r="O110" s="2" t="n">
        <x:f>24-COUNTIFS('Клиентлер'!$T$8:$T$31,1)</x:f>
        <x:v>24</x:v>
      </x:c>
      <x:c r="P110" s="2" t="n">
        <x:f>IF(AND('Салық календары'!G110=1,ISNUMBER('Салық календары'!F110)),1,0)</x:f>
        <x:v>0</x:v>
      </x:c>
      <x:c r="Q110" s="2" t="str">
        <x:v>Салық</x:v>
      </x:c>
      <x:c r="R110" s="10"/>
      <x:c r="S110" s="2" t="n">
        <x:f>IF(COUNT(I110)=1,1,0)</x:f>
        <x:v>0</x:v>
      </x:c>
    </x:row>
    <x:row r="111" ht="46" customHeight="1">
      <x:c r="A111" s="2" t="n">
        <x:v>104</x:v>
      </x:c>
      <x:c r="B111" s="2" t="n">
        <x:v>104</x:v>
      </x:c>
      <x:c r="C111" s="12" t="n">
        <x:f>'Салық календары'!J111</x:f>
        <x:v>46484</x:v>
      </x:c>
      <x:c r="D111" s="13" t="str">
        <x:v>Мүлк салығы айлық авансы</x:v>
      </x:c>
      <x:c r="E111" s="14" t="n">
        <x:v>46487</x:v>
      </x:c>
      <x:c r="F111" s="14" t="str">
        <x:f>IF('Салық календары'!F111="","",'Салық календары'!F111)</x:f>
      </x:c>
      <x:c r="G111" s="2" t="str">
        <x:v>2027-04</x:v>
      </x:c>
      <x:c r="H111" s="2" t="str">
        <x:v>J</x:v>
      </x:c>
      <x:c r="I111" s="10" t="str">
        <x:f>IF(AND(COUNTIFS('Клиентлер'!$T$8:$T$31,1)=24,COUNT('Клиентлер'!$J$8:$J$31)=24),COUNTIFS('Клиентлер'!$J$8:$J$31,1,'Клиентлер'!$T$8:$T$31,1,'Клиентлер'!$G$8:$G$31,0),"")</x:f>
      </x:c>
      <x:c r="J111" s="10"/>
      <x:c r="K111" s="2" t="n">
        <x:f>SUMIFS('Күнлик есабат'!$F$8:$F$507,'Күнлик есабат'!$C$8:$C$507,A111,'Күнлик есабат'!$L$8:$L$507,0,'Күнлик есабат'!$M$8:$M$507,0)-SUMIFS('Күнлик есабат'!$H$8:$H$507,'Күнлик есабат'!$C$8:$C$507,A111,'Күнлик есабат'!$L$8:$L$507,0,'Күнлик есабат'!$M$8:$M$507,0)</x:f>
        <x:v>0</x:v>
      </x:c>
      <x:c r="L111" s="2" t="n">
        <x:f>SUMIFS('Күнлик есабат'!$G$8:$G$507,'Күнлик есабат'!$C$8:$C$507,A111,'Күнлик есабат'!$L$8:$L$507,0,'Күнлик есабат'!$M$8:$M$507,0)</x:f>
        <x:v>0</x:v>
      </x:c>
      <x:c r="M111" s="2" t="str">
        <x:f>IF(I111="","",MAX(I111-K111,0))</x:f>
      </x:c>
      <x:c r="N111" s="16" t="str">
        <x:f>IF(OR(I111="",I111=0),"",MIN(K111/I111,1))</x:f>
      </x:c>
      <x:c r="O111" s="2" t="n">
        <x:f>24-COUNTIFS('Клиентлер'!$T$8:$T$31,1)</x:f>
        <x:v>24</x:v>
      </x:c>
      <x:c r="P111" s="2" t="n">
        <x:f>IF(AND('Салық календары'!G111=1,ISNUMBER('Салық календары'!F111)),1,0)</x:f>
        <x:v>0</x:v>
      </x:c>
      <x:c r="Q111" s="2" t="str">
        <x:v>Салық</x:v>
      </x:c>
      <x:c r="R111" s="10"/>
      <x:c r="S111" s="2" t="n">
        <x:f>IF(COUNT(I111)=1,1,0)</x:f>
        <x:v>0</x:v>
      </x:c>
    </x:row>
    <x:row r="112" ht="46" customHeight="1">
      <x:c r="A112" s="2" t="n">
        <x:v>105</x:v>
      </x:c>
      <x:c r="B112" s="2" t="n">
        <x:v>105</x:v>
      </x:c>
      <x:c r="C112" s="12" t="n">
        <x:f>'Салық календары'!J112</x:f>
        <x:v>46484</x:v>
      </x:c>
      <x:c r="D112" s="13" t="str">
        <x:v>Жер салығы айлық төлеми</x:v>
      </x:c>
      <x:c r="E112" s="14" t="n">
        <x:v>46487</x:v>
      </x:c>
      <x:c r="F112" s="14" t="str">
        <x:f>IF('Салық календары'!F112="","",'Салық календары'!F112)</x:f>
      </x:c>
      <x:c r="G112" s="2" t="str">
        <x:v>2027-04</x:v>
      </x:c>
      <x:c r="H112" s="2" t="str">
        <x:v>K</x:v>
      </x:c>
      <x:c r="I112" s="10" t="str">
        <x:f>IF(AND(COUNTIFS('Клиентлер'!$T$8:$T$31,1)=24,COUNT('Клиентлер'!$K$8:$K$31)=24),COUNTIFS('Клиентлер'!$K$8:$K$31,1,'Клиентлер'!$T$8:$T$31,1,'Клиентлер'!$G$8:$G$31,0),"")</x:f>
      </x:c>
      <x:c r="J112" s="10"/>
      <x:c r="K112" s="2" t="n">
        <x:f>SUMIFS('Күнлик есабат'!$F$8:$F$507,'Күнлик есабат'!$C$8:$C$507,A112,'Күнлик есабат'!$L$8:$L$507,0,'Күнлик есабат'!$M$8:$M$507,0)-SUMIFS('Күнлик есабат'!$H$8:$H$507,'Күнлик есабат'!$C$8:$C$507,A112,'Күнлик есабат'!$L$8:$L$507,0,'Күнлик есабат'!$M$8:$M$507,0)</x:f>
        <x:v>0</x:v>
      </x:c>
      <x:c r="L112" s="2" t="n">
        <x:f>SUMIFS('Күнлик есабат'!$G$8:$G$507,'Күнлик есабат'!$C$8:$C$507,A112,'Күнлик есабат'!$L$8:$L$507,0,'Күнлик есабат'!$M$8:$M$507,0)</x:f>
        <x:v>0</x:v>
      </x:c>
      <x:c r="M112" s="2" t="str">
        <x:f>IF(I112="","",MAX(I112-K112,0))</x:f>
      </x:c>
      <x:c r="N112" s="16" t="str">
        <x:f>IF(OR(I112="",I112=0),"",MIN(K112/I112,1))</x:f>
      </x:c>
      <x:c r="O112" s="2" t="n">
        <x:f>24-COUNTIFS('Клиентлер'!$T$8:$T$31,1)</x:f>
        <x:v>24</x:v>
      </x:c>
      <x:c r="P112" s="2" t="n">
        <x:f>IF(AND('Салық календары'!G112=1,ISNUMBER('Салық календары'!F112)),1,0)</x:f>
        <x:v>0</x:v>
      </x:c>
      <x:c r="Q112" s="2" t="str">
        <x:v>Салық</x:v>
      </x:c>
      <x:c r="R112" s="10"/>
      <x:c r="S112" s="2" t="n">
        <x:f>IF(COUNT(I112)=1,1,0)</x:f>
        <x:v>0</x:v>
      </x:c>
    </x:row>
    <x:row r="113" ht="46" customHeight="1">
      <x:c r="A113" s="2" t="n">
        <x:v>106</x:v>
      </x:c>
      <x:c r="B113" s="2" t="n">
        <x:v>106</x:v>
      </x:c>
      <x:c r="C113" s="12" t="n">
        <x:f>'Салық календары'!J113</x:f>
        <x:v>46494</x:v>
      </x:c>
      <x:c r="D113" s="13" t="str">
        <x:v>Суў салығы айлық авансы</x:v>
      </x:c>
      <x:c r="E113" s="14" t="n">
        <x:v>46497</x:v>
      </x:c>
      <x:c r="F113" s="14" t="str">
        <x:f>IF('Салық календары'!F113="","",'Салық календары'!F113)</x:f>
      </x:c>
      <x:c r="G113" s="2" t="str">
        <x:v>2027-04</x:v>
      </x:c>
      <x:c r="H113" s="2" t="str">
        <x:v>V</x:v>
      </x:c>
      <x:c r="I113" s="10" t="str">
        <x:f>IF(AND(COUNTIFS('Клиентлер'!$T$8:$T$31,1)=24,COUNT('Клиентлер'!$V$8:$V$31)=24),COUNTIFS('Клиентлер'!$V$8:$V$31,1,'Клиентлер'!$T$8:$T$31,1,'Клиентлер'!$G$8:$G$31,0),"")</x:f>
      </x:c>
      <x:c r="J113" s="10"/>
      <x:c r="K113" s="2" t="n">
        <x:f>SUMIFS('Күнлик есабат'!$F$8:$F$507,'Күнлик есабат'!$C$8:$C$507,A113,'Күнлик есабат'!$L$8:$L$507,0,'Күнлик есабат'!$M$8:$M$507,0)-SUMIFS('Күнлик есабат'!$H$8:$H$507,'Күнлик есабат'!$C$8:$C$507,A113,'Күнлик есабат'!$L$8:$L$507,0,'Күнлик есабат'!$M$8:$M$507,0)</x:f>
        <x:v>0</x:v>
      </x:c>
      <x:c r="L113" s="2" t="n">
        <x:f>SUMIFS('Күнлик есабат'!$G$8:$G$507,'Күнлик есабат'!$C$8:$C$507,A113,'Күнлик есабат'!$L$8:$L$507,0,'Күнлик есабат'!$M$8:$M$507,0)</x:f>
        <x:v>0</x:v>
      </x:c>
      <x:c r="M113" s="2" t="str">
        <x:f>IF(I113="","",MAX(I113-K113,0))</x:f>
      </x:c>
      <x:c r="N113" s="16" t="str">
        <x:f>IF(OR(I113="",I113=0),"",MIN(K113/I113,1))</x:f>
      </x:c>
      <x:c r="O113" s="2" t="n">
        <x:f>24-COUNTIFS('Клиентлер'!$T$8:$T$31,1)</x:f>
        <x:v>24</x:v>
      </x:c>
      <x:c r="P113" s="2" t="n">
        <x:f>IF(AND('Салық календары'!G113=1,ISNUMBER('Салық календары'!F113)),1,0)</x:f>
        <x:v>0</x:v>
      </x:c>
      <x:c r="Q113" s="2" t="str">
        <x:v>Салық</x:v>
      </x:c>
      <x:c r="R113" s="10"/>
      <x:c r="S113" s="2" t="n">
        <x:f>IF(COUNT(I113)=1,1,0)</x:f>
        <x:v>0</x:v>
      </x:c>
    </x:row>
    <x:row r="114" ht="46" customHeight="1">
      <x:c r="A114" s="2" t="n">
        <x:v>107</x:v>
      </x:c>
      <x:c r="B114" s="2" t="n">
        <x:v>107</x:v>
      </x:c>
      <x:c r="C114" s="12" t="n">
        <x:f>'Салық календары'!J114</x:f>
        <x:v>46494</x:v>
      </x:c>
      <x:c r="D114" s="13" t="str">
        <x:v>Пайда салығы квартал есабаты</x:v>
      </x:c>
      <x:c r="E114" s="14" t="n">
        <x:v>46497</x:v>
      </x:c>
      <x:c r="F114" s="14" t="str">
        <x:f>IF('Салық календары'!F114="","",'Салық календары'!F114)</x:f>
      </x:c>
      <x:c r="G114" s="2" t="str">
        <x:v>2027 / 0.33333333333333326-квартал</x:v>
      </x:c>
      <x:c r="H114" s="2" t="str">
        <x:v>H</x:v>
      </x:c>
      <x:c r="I114" s="10" t="str">
        <x:f>IF(AND(COUNTIFS('Клиентлер'!$T$8:$T$31,1)=24,COUNT('Клиентлер'!$H$8:$H$31)=24),COUNTIFS('Клиентлер'!$H$8:$H$31,1,'Клиентлер'!$T$8:$T$31,1),"")</x:f>
      </x:c>
      <x:c r="J114" s="10"/>
      <x:c r="K114" s="2" t="n">
        <x:f>SUMIFS('Күнлик есабат'!$F$8:$F$507,'Күнлик есабат'!$C$8:$C$507,A114,'Күнлик есабат'!$L$8:$L$507,0,'Күнлик есабат'!$M$8:$M$507,0)-SUMIFS('Күнлик есабат'!$H$8:$H$507,'Күнлик есабат'!$C$8:$C$507,A114,'Күнлик есабат'!$L$8:$L$507,0,'Күнлик есабат'!$M$8:$M$507,0)</x:f>
        <x:v>0</x:v>
      </x:c>
      <x:c r="L114" s="2" t="n">
        <x:f>SUMIFS('Күнлик есабат'!$G$8:$G$507,'Күнлик есабат'!$C$8:$C$507,A114,'Күнлик есабат'!$L$8:$L$507,0,'Күнлик есабат'!$M$8:$M$507,0)</x:f>
        <x:v>0</x:v>
      </x:c>
      <x:c r="M114" s="2" t="str">
        <x:f>IF(I114="","",MAX(I114-K114,0))</x:f>
      </x:c>
      <x:c r="N114" s="16" t="str">
        <x:f>IF(OR(I114="",I114=0),"",MIN(K114/I114,1))</x:f>
      </x:c>
      <x:c r="O114" s="2" t="n">
        <x:f>24-COUNTIFS('Клиентлер'!$T$8:$T$31,1)</x:f>
        <x:v>24</x:v>
      </x:c>
      <x:c r="P114" s="2" t="n">
        <x:f>IF(AND('Салық календары'!G114=1,ISNUMBER('Салық календары'!F114)),1,0)</x:f>
        <x:v>0</x:v>
      </x:c>
      <x:c r="Q114" s="2" t="str">
        <x:v>Салық</x:v>
      </x:c>
      <x:c r="R114" s="10"/>
      <x:c r="S114" s="2" t="n">
        <x:f>IF(COUNT(I114)=1,1,0)</x:f>
        <x:v>0</x:v>
      </x:c>
    </x:row>
    <x:row r="115" ht="46" customHeight="1">
      <x:c r="A115" s="2" t="n">
        <x:v>108</x:v>
      </x:c>
      <x:c r="B115" s="2" t="n">
        <x:v>108</x:v>
      </x:c>
      <x:c r="C115" s="12" t="n">
        <x:f>'Салық календары'!J115</x:f>
        <x:v>46524</x:v>
      </x:c>
      <x:c r="D115" s="13" t="str">
        <x:v>ҚҚС есабаты</x:v>
      </x:c>
      <x:c r="E115" s="14" t="n">
        <x:v>46527</x:v>
      </x:c>
      <x:c r="F115" s="14" t="str">
        <x:f>IF('Салық календары'!F115="","",'Салық календары'!F115)</x:f>
      </x:c>
      <x:c r="G115" s="2" t="str">
        <x:v>2027-04</x:v>
      </x:c>
      <x:c r="H115" s="2" t="str">
        <x:v>F</x:v>
      </x:c>
      <x:c r="I115" s="10" t="str">
        <x:f>IF(AND(COUNTIFS('Клиентлер'!$T$8:$T$31,1)=24,COUNT('Клиентлер'!$F$8:$F$31)=24),COUNTIFS('Клиентлер'!$F$8:$F$31,1,'Клиентлер'!$T$8:$T$31,1),"")</x:f>
      </x:c>
      <x:c r="J115" s="10"/>
      <x:c r="K115" s="2" t="n">
        <x:f>SUMIFS('Күнлик есабат'!$F$8:$F$507,'Күнлик есабат'!$C$8:$C$507,A115,'Күнлик есабат'!$L$8:$L$507,0,'Күнлик есабат'!$M$8:$M$507,0)-SUMIFS('Күнлик есабат'!$H$8:$H$507,'Күнлик есабат'!$C$8:$C$507,A115,'Күнлик есабат'!$L$8:$L$507,0,'Күнлик есабат'!$M$8:$M$507,0)</x:f>
        <x:v>0</x:v>
      </x:c>
      <x:c r="L115" s="2" t="n">
        <x:f>SUMIFS('Күнлик есабат'!$G$8:$G$507,'Күнлик есабат'!$C$8:$C$507,A115,'Күнлик есабат'!$L$8:$L$507,0,'Күнлик есабат'!$M$8:$M$507,0)</x:f>
        <x:v>0</x:v>
      </x:c>
      <x:c r="M115" s="2" t="str">
        <x:f>IF(I115="","",MAX(I115-K115,0))</x:f>
      </x:c>
      <x:c r="N115" s="16" t="str">
        <x:f>IF(OR(I115="",I115=0),"",MIN(K115/I115,1))</x:f>
      </x:c>
      <x:c r="O115" s="2" t="n">
        <x:f>24-COUNTIFS('Клиентлер'!$T$8:$T$31,1)</x:f>
        <x:v>24</x:v>
      </x:c>
      <x:c r="P115" s="2" t="n">
        <x:f>IF(AND('Салық календары'!G115=1,ISNUMBER('Салық календары'!F115)),1,0)</x:f>
        <x:v>0</x:v>
      </x:c>
      <x:c r="Q115" s="2" t="str">
        <x:v>Салық</x:v>
      </x:c>
      <x:c r="R115" s="10"/>
      <x:c r="S115" s="2" t="n">
        <x:f>IF(COUNT(I115)=1,1,0)</x:f>
        <x:v>0</x:v>
      </x:c>
    </x:row>
    <x:row r="116" ht="46" customHeight="1">
      <x:c r="A116" s="2" t="n">
        <x:v>109</x:v>
      </x:c>
      <x:c r="B116" s="2" t="n">
        <x:v>109</x:v>
      </x:c>
      <x:c r="C116" s="12" t="n">
        <x:f>'Салық календары'!J116</x:f>
        <x:v>46524</x:v>
      </x:c>
      <x:c r="D116" s="13" t="str">
        <x:v>ҚҚС төлеми</x:v>
      </x:c>
      <x:c r="E116" s="14" t="n">
        <x:v>46527</x:v>
      </x:c>
      <x:c r="F116" s="14" t="str">
        <x:f>IF('Салық календары'!F116="","",'Салық календары'!F116)</x:f>
      </x:c>
      <x:c r="G116" s="2" t="str">
        <x:v>2027-04</x:v>
      </x:c>
      <x:c r="H116" s="2" t="str">
        <x:v>F</x:v>
      </x:c>
      <x:c r="I116" s="10" t="str">
        <x:f>IF(AND(COUNTIFS('Клиентлер'!$T$8:$T$31,1)=24,COUNT('Клиентлер'!$F$8:$F$31)=24),COUNTIFS('Клиентлер'!$F$8:$F$31,1,'Клиентлер'!$T$8:$T$31,1),"")</x:f>
      </x:c>
      <x:c r="J116" s="10"/>
      <x:c r="K116" s="2" t="n">
        <x:f>SUMIFS('Күнлик есабат'!$F$8:$F$507,'Күнлик есабат'!$C$8:$C$507,A116,'Күнлик есабат'!$L$8:$L$507,0,'Күнлик есабат'!$M$8:$M$507,0)-SUMIFS('Күнлик есабат'!$H$8:$H$507,'Күнлик есабат'!$C$8:$C$507,A116,'Күнлик есабат'!$L$8:$L$507,0,'Күнлик есабат'!$M$8:$M$507,0)</x:f>
        <x:v>0</x:v>
      </x:c>
      <x:c r="L116" s="2" t="n">
        <x:f>SUMIFS('Күнлик есабат'!$G$8:$G$507,'Күнлик есабат'!$C$8:$C$507,A116,'Күнлик есабат'!$L$8:$L$507,0,'Күнлик есабат'!$M$8:$M$507,0)</x:f>
        <x:v>0</x:v>
      </x:c>
      <x:c r="M116" s="2" t="str">
        <x:f>IF(I116="","",MAX(I116-K116,0))</x:f>
      </x:c>
      <x:c r="N116" s="16" t="str">
        <x:f>IF(OR(I116="",I116=0),"",MIN(K116/I116,1))</x:f>
      </x:c>
      <x:c r="O116" s="2" t="n">
        <x:f>24-COUNTIFS('Клиентлер'!$T$8:$T$31,1)</x:f>
        <x:v>24</x:v>
      </x:c>
      <x:c r="P116" s="2" t="n">
        <x:f>IF(AND('Салық календары'!G116=1,ISNUMBER('Салық календары'!F116)),1,0)</x:f>
        <x:v>0</x:v>
      </x:c>
      <x:c r="Q116" s="2" t="str">
        <x:v>Салық</x:v>
      </x:c>
      <x:c r="R116" s="10"/>
      <x:c r="S116" s="2" t="n">
        <x:f>IF(COUNT(I116)=1,1,0)</x:f>
        <x:v>0</x:v>
      </x:c>
    </x:row>
    <x:row r="117" ht="46" customHeight="1">
      <x:c r="A117" s="2" t="n">
        <x:v>110</x:v>
      </x:c>
      <x:c r="B117" s="2" t="n">
        <x:v>110</x:v>
      </x:c>
      <x:c r="C117" s="12" t="n">
        <x:f>'Салық календары'!J117</x:f>
        <x:v>46519</x:v>
      </x:c>
      <x:c r="D117" s="13" t="str">
        <x:v>Айланба салығы есабаты</x:v>
      </x:c>
      <x:c r="E117" s="14" t="n">
        <x:v>46522</x:v>
      </x:c>
      <x:c r="F117" s="14" t="str">
        <x:f>IF('Салық календары'!F117="","",'Салық календары'!F117)</x:f>
      </x:c>
      <x:c r="G117" s="2" t="str">
        <x:v>2027-04</x:v>
      </x:c>
      <x:c r="H117" s="2" t="str">
        <x:v>G</x:v>
      </x:c>
      <x:c r="I117" s="10" t="str">
        <x:f>IF(AND(COUNTIFS('Клиентлер'!$T$8:$T$31,1)=24,COUNT('Клиентлер'!$G$8:$G$31)=24),COUNTIFS('Клиентлер'!$G$8:$G$31,1,'Клиентлер'!$T$8:$T$31,1),"")</x:f>
      </x:c>
      <x:c r="J117" s="10"/>
      <x:c r="K117" s="2" t="n">
        <x:f>SUMIFS('Күнлик есабат'!$F$8:$F$507,'Күнлик есабат'!$C$8:$C$507,A117,'Күнлик есабат'!$L$8:$L$507,0,'Күнлик есабат'!$M$8:$M$507,0)-SUMIFS('Күнлик есабат'!$H$8:$H$507,'Күнлик есабат'!$C$8:$C$507,A117,'Күнлик есабат'!$L$8:$L$507,0,'Күнлик есабат'!$M$8:$M$507,0)</x:f>
        <x:v>0</x:v>
      </x:c>
      <x:c r="L117" s="2" t="n">
        <x:f>SUMIFS('Күнлик есабат'!$G$8:$G$507,'Күнлик есабат'!$C$8:$C$507,A117,'Күнлик есабат'!$L$8:$L$507,0,'Күнлик есабат'!$M$8:$M$507,0)</x:f>
        <x:v>0</x:v>
      </x:c>
      <x:c r="M117" s="2" t="str">
        <x:f>IF(I117="","",MAX(I117-K117,0))</x:f>
      </x:c>
      <x:c r="N117" s="16" t="str">
        <x:f>IF(OR(I117="",I117=0),"",MIN(K117/I117,1))</x:f>
      </x:c>
      <x:c r="O117" s="2" t="n">
        <x:f>24-COUNTIFS('Клиентлер'!$T$8:$T$31,1)</x:f>
        <x:v>24</x:v>
      </x:c>
      <x:c r="P117" s="2" t="n">
        <x:f>IF(AND('Салық календары'!G117=1,ISNUMBER('Салық календары'!F117)),1,0)</x:f>
        <x:v>0</x:v>
      </x:c>
      <x:c r="Q117" s="2" t="str">
        <x:v>Салық</x:v>
      </x:c>
      <x:c r="R117" s="10"/>
      <x:c r="S117" s="2" t="n">
        <x:f>IF(COUNT(I117)=1,1,0)</x:f>
        <x:v>0</x:v>
      </x:c>
    </x:row>
    <x:row r="118" ht="46" customHeight="1">
      <x:c r="A118" s="2" t="n">
        <x:v>111</x:v>
      </x:c>
      <x:c r="B118" s="2" t="n">
        <x:v>111</x:v>
      </x:c>
      <x:c r="C118" s="12" t="n">
        <x:f>'Салық календары'!J118</x:f>
        <x:v>46519</x:v>
      </x:c>
      <x:c r="D118" s="13" t="str">
        <x:v>Айланба салығы төлеми</x:v>
      </x:c>
      <x:c r="E118" s="14" t="n">
        <x:v>46522</x:v>
      </x:c>
      <x:c r="F118" s="14" t="str">
        <x:f>IF('Салық календары'!F118="","",'Салық календары'!F118)</x:f>
      </x:c>
      <x:c r="G118" s="2" t="str">
        <x:v>2027-04</x:v>
      </x:c>
      <x:c r="H118" s="2" t="str">
        <x:v>G</x:v>
      </x:c>
      <x:c r="I118" s="10" t="str">
        <x:f>IF(AND(COUNTIFS('Клиентлер'!$T$8:$T$31,1)=24,COUNT('Клиентлер'!$G$8:$G$31)=24),COUNTIFS('Клиентлер'!$G$8:$G$31,1,'Клиентлер'!$T$8:$T$31,1),"")</x:f>
      </x:c>
      <x:c r="J118" s="10"/>
      <x:c r="K118" s="2" t="n">
        <x:f>SUMIFS('Күнлик есабат'!$F$8:$F$507,'Күнлик есабат'!$C$8:$C$507,A118,'Күнлик есабат'!$L$8:$L$507,0,'Күнлик есабат'!$M$8:$M$507,0)-SUMIFS('Күнлик есабат'!$H$8:$H$507,'Күнлик есабат'!$C$8:$C$507,A118,'Күнлик есабат'!$L$8:$L$507,0,'Күнлик есабат'!$M$8:$M$507,0)</x:f>
        <x:v>0</x:v>
      </x:c>
      <x:c r="L118" s="2" t="n">
        <x:f>SUMIFS('Күнлик есабат'!$G$8:$G$507,'Күнлик есабат'!$C$8:$C$507,A118,'Күнлик есабат'!$L$8:$L$507,0,'Күнлик есабат'!$M$8:$M$507,0)</x:f>
        <x:v>0</x:v>
      </x:c>
      <x:c r="M118" s="2" t="str">
        <x:f>IF(I118="","",MAX(I118-K118,0))</x:f>
      </x:c>
      <x:c r="N118" s="16" t="str">
        <x:f>IF(OR(I118="",I118=0),"",MIN(K118/I118,1))</x:f>
      </x:c>
      <x:c r="O118" s="2" t="n">
        <x:f>24-COUNTIFS('Клиентлер'!$T$8:$T$31,1)</x:f>
        <x:v>24</x:v>
      </x:c>
      <x:c r="P118" s="2" t="n">
        <x:f>IF(AND('Салық календары'!G118=1,ISNUMBER('Салық календары'!F118)),1,0)</x:f>
        <x:v>0</x:v>
      </x:c>
      <x:c r="Q118" s="2" t="str">
        <x:v>Салық</x:v>
      </x:c>
      <x:c r="R118" s="10"/>
      <x:c r="S118" s="2" t="n">
        <x:f>IF(COUNT(I118)=1,1,0)</x:f>
        <x:v>0</x:v>
      </x:c>
    </x:row>
    <x:row r="119" ht="46" customHeight="1">
      <x:c r="A119" s="2" t="n">
        <x:v>112</x:v>
      </x:c>
      <x:c r="B119" s="2" t="n">
        <x:v>112</x:v>
      </x:c>
      <x:c r="C119" s="12" t="n">
        <x:f>'Салық календары'!J119</x:f>
        <x:v>46519</x:v>
      </x:c>
      <x:c r="D119" s="13" t="str">
        <x:v>Дәрамат салығы есабаты</x:v>
      </x:c>
      <x:c r="E119" s="14" t="n">
        <x:v>46522</x:v>
      </x:c>
      <x:c r="F119" s="14" t="str">
        <x:f>IF('Салық календары'!F119="","",'Салық календары'!F119)</x:f>
      </x:c>
      <x:c r="G119" s="2" t="str">
        <x:v>2027-04</x:v>
      </x:c>
      <x:c r="H119" s="2" t="str">
        <x:v>I</x:v>
      </x:c>
      <x:c r="I119" s="10" t="str">
        <x:f>IF(AND(COUNTIFS('Клиентлер'!$T$8:$T$31,1)=24,COUNT('Клиентлер'!$I$8:$I$31)=24),COUNTIFS('Клиентлер'!$I$8:$I$31,1,'Клиентлер'!$T$8:$T$31,1),"")</x:f>
      </x:c>
      <x:c r="J119" s="10"/>
      <x:c r="K119" s="2" t="n">
        <x:f>SUMIFS('Күнлик есабат'!$F$8:$F$507,'Күнлик есабат'!$C$8:$C$507,A119,'Күнлик есабат'!$L$8:$L$507,0,'Күнлик есабат'!$M$8:$M$507,0)-SUMIFS('Күнлик есабат'!$H$8:$H$507,'Күнлик есабат'!$C$8:$C$507,A119,'Күнлик есабат'!$L$8:$L$507,0,'Күнлик есабат'!$M$8:$M$507,0)</x:f>
        <x:v>0</x:v>
      </x:c>
      <x:c r="L119" s="2" t="n">
        <x:f>SUMIFS('Күнлик есабат'!$G$8:$G$507,'Күнлик есабат'!$C$8:$C$507,A119,'Күнлик есабат'!$L$8:$L$507,0,'Күнлик есабат'!$M$8:$M$507,0)</x:f>
        <x:v>0</x:v>
      </x:c>
      <x:c r="M119" s="2" t="str">
        <x:f>IF(I119="","",MAX(I119-K119,0))</x:f>
      </x:c>
      <x:c r="N119" s="16" t="str">
        <x:f>IF(OR(I119="",I119=0),"",MIN(K119/I119,1))</x:f>
      </x:c>
      <x:c r="O119" s="2" t="n">
        <x:f>24-COUNTIFS('Клиентлер'!$T$8:$T$31,1)</x:f>
        <x:v>24</x:v>
      </x:c>
      <x:c r="P119" s="2" t="n">
        <x:f>IF(AND('Салық календары'!G119=1,ISNUMBER('Салық календары'!F119)),1,0)</x:f>
        <x:v>0</x:v>
      </x:c>
      <x:c r="Q119" s="2" t="str">
        <x:v>Салық</x:v>
      </x:c>
      <x:c r="R119" s="10"/>
      <x:c r="S119" s="2" t="n">
        <x:f>IF(COUNT(I119)=1,1,0)</x:f>
        <x:v>0</x:v>
      </x:c>
    </x:row>
    <x:row r="120" ht="46" customHeight="1">
      <x:c r="A120" s="2" t="n">
        <x:v>113</x:v>
      </x:c>
      <x:c r="B120" s="2" t="n">
        <x:v>113</x:v>
      </x:c>
      <x:c r="C120" s="12" t="n">
        <x:f>'Салық календары'!J120</x:f>
        <x:v>46519</x:v>
      </x:c>
      <x:c r="D120" s="13" t="str">
        <x:v>Социаллық салық есабаты</x:v>
      </x:c>
      <x:c r="E120" s="14" t="n">
        <x:v>46522</x:v>
      </x:c>
      <x:c r="F120" s="14" t="str">
        <x:f>IF('Салық календары'!F120="","",'Салық календары'!F120)</x:f>
      </x:c>
      <x:c r="G120" s="2" t="str">
        <x:v>2027-04</x:v>
      </x:c>
      <x:c r="H120" s="2" t="str">
        <x:v>I</x:v>
      </x:c>
      <x:c r="I120" s="10" t="str">
        <x:f>IF(AND(COUNTIFS('Клиентлер'!$T$8:$T$31,1)=24,COUNT('Клиентлер'!$I$8:$I$31)=24),COUNTIFS('Клиентлер'!$I$8:$I$31,1,'Клиентлер'!$T$8:$T$31,1),"")</x:f>
      </x:c>
      <x:c r="J120" s="10"/>
      <x:c r="K120" s="2" t="n">
        <x:f>SUMIFS('Күнлик есабат'!$F$8:$F$507,'Күнлик есабат'!$C$8:$C$507,A120,'Күнлик есабат'!$L$8:$L$507,0,'Күнлик есабат'!$M$8:$M$507,0)-SUMIFS('Күнлик есабат'!$H$8:$H$507,'Күнлик есабат'!$C$8:$C$507,A120,'Күнлик есабат'!$L$8:$L$507,0,'Күнлик есабат'!$M$8:$M$507,0)</x:f>
        <x:v>0</x:v>
      </x:c>
      <x:c r="L120" s="2" t="n">
        <x:f>SUMIFS('Күнлик есабат'!$G$8:$G$507,'Күнлик есабат'!$C$8:$C$507,A120,'Күнлик есабат'!$L$8:$L$507,0,'Күнлик есабат'!$M$8:$M$507,0)</x:f>
        <x:v>0</x:v>
      </x:c>
      <x:c r="M120" s="2" t="str">
        <x:f>IF(I120="","",MAX(I120-K120,0))</x:f>
      </x:c>
      <x:c r="N120" s="16" t="str">
        <x:f>IF(OR(I120="",I120=0),"",MIN(K120/I120,1))</x:f>
      </x:c>
      <x:c r="O120" s="2" t="n">
        <x:f>24-COUNTIFS('Клиентлер'!$T$8:$T$31,1)</x:f>
        <x:v>24</x:v>
      </x:c>
      <x:c r="P120" s="2" t="n">
        <x:f>IF(AND('Салық календары'!G120=1,ISNUMBER('Салық календары'!F120)),1,0)</x:f>
        <x:v>0</x:v>
      </x:c>
      <x:c r="Q120" s="2" t="str">
        <x:v>Салық</x:v>
      </x:c>
      <x:c r="R120" s="10"/>
      <x:c r="S120" s="2" t="n">
        <x:f>IF(COUNT(I120)=1,1,0)</x:f>
        <x:v>0</x:v>
      </x:c>
    </x:row>
    <x:row r="121" ht="46" customHeight="1">
      <x:c r="A121" s="2" t="n">
        <x:v>114</x:v>
      </x:c>
      <x:c r="B121" s="2" t="n">
        <x:v>114</x:v>
      </x:c>
      <x:c r="C121" s="12" t="n">
        <x:f>'Салық календары'!J121</x:f>
        <x:v>46519</x:v>
      </x:c>
      <x:c r="D121" s="13" t="str">
        <x:v>Социаллық салық төлеми</x:v>
      </x:c>
      <x:c r="E121" s="14" t="n">
        <x:v>46522</x:v>
      </x:c>
      <x:c r="F121" s="14" t="str">
        <x:f>IF('Салық календары'!F121="","",'Салық календары'!F121)</x:f>
      </x:c>
      <x:c r="G121" s="2" t="str">
        <x:v>2027-04</x:v>
      </x:c>
      <x:c r="H121" s="2" t="str">
        <x:v>I</x:v>
      </x:c>
      <x:c r="I121" s="10" t="str">
        <x:f>IF(AND(COUNTIFS('Клиентлер'!$T$8:$T$31,1)=24,COUNT('Клиентлер'!$I$8:$I$31)=24),COUNTIFS('Клиентлер'!$I$8:$I$31,1,'Клиентлер'!$T$8:$T$31,1),"")</x:f>
      </x:c>
      <x:c r="J121" s="10"/>
      <x:c r="K121" s="2" t="n">
        <x:f>SUMIFS('Күнлик есабат'!$F$8:$F$507,'Күнлик есабат'!$C$8:$C$507,A121,'Күнлик есабат'!$L$8:$L$507,0,'Күнлик есабат'!$M$8:$M$507,0)-SUMIFS('Күнлик есабат'!$H$8:$H$507,'Күнлик есабат'!$C$8:$C$507,A121,'Күнлик есабат'!$L$8:$L$507,0,'Күнлик есабат'!$M$8:$M$507,0)</x:f>
        <x:v>0</x:v>
      </x:c>
      <x:c r="L121" s="2" t="n">
        <x:f>SUMIFS('Күнлик есабат'!$G$8:$G$507,'Күнлик есабат'!$C$8:$C$507,A121,'Күнлик есабат'!$L$8:$L$507,0,'Күнлик есабат'!$M$8:$M$507,0)</x:f>
        <x:v>0</x:v>
      </x:c>
      <x:c r="M121" s="2" t="str">
        <x:f>IF(I121="","",MAX(I121-K121,0))</x:f>
      </x:c>
      <x:c r="N121" s="16" t="str">
        <x:f>IF(OR(I121="",I121=0),"",MIN(K121/I121,1))</x:f>
      </x:c>
      <x:c r="O121" s="2" t="n">
        <x:f>24-COUNTIFS('Клиентлер'!$T$8:$T$31,1)</x:f>
        <x:v>24</x:v>
      </x:c>
      <x:c r="P121" s="2" t="n">
        <x:f>IF(AND('Салық календары'!G121=1,ISNUMBER('Салық календары'!F121)),1,0)</x:f>
        <x:v>0</x:v>
      </x:c>
      <x:c r="Q121" s="2" t="str">
        <x:v>Салық</x:v>
      </x:c>
      <x:c r="R121" s="10"/>
      <x:c r="S121" s="2" t="n">
        <x:f>IF(COUNT(I121)=1,1,0)</x:f>
        <x:v>0</x:v>
      </x:c>
    </x:row>
    <x:row r="122" ht="46" customHeight="1">
      <x:c r="A122" s="2" t="n">
        <x:v>115</x:v>
      </x:c>
      <x:c r="B122" s="2" t="n">
        <x:v>115</x:v>
      </x:c>
      <x:c r="C122" s="12" t="n">
        <x:f>'Салық календары'!J122</x:f>
        <x:v>46514</x:v>
      </x:c>
      <x:c r="D122" s="13" t="str">
        <x:v>Акциз есабаты ҳәм төлемин тексериў</x:v>
      </x:c>
      <x:c r="E122" s="14" t="n">
        <x:v>46517</x:v>
      </x:c>
      <x:c r="F122" s="14" t="str">
        <x:f>IF('Салық календары'!F122="","",'Салық календары'!F122)</x:f>
      </x:c>
      <x:c r="G122" s="2" t="str">
        <x:v>2027-04</x:v>
      </x:c>
      <x:c r="H122" s="2" t="str">
        <x:v>N</x:v>
      </x:c>
      <x:c r="I122" s="10" t="str">
        <x:f>IF(AND(COUNTIFS('Клиентлер'!$T$8:$T$31,1)=24,COUNT('Клиентлер'!$N$8:$N$31)=24),COUNTIFS('Клиентлер'!$N$8:$N$31,1,'Клиентлер'!$T$8:$T$31,1),"")</x:f>
      </x:c>
      <x:c r="J122" s="10"/>
      <x:c r="K122" s="2" t="n">
        <x:f>SUMIFS('Күнлик есабат'!$F$8:$F$507,'Күнлик есабат'!$C$8:$C$507,A122,'Күнлик есабат'!$L$8:$L$507,0,'Күнлик есабат'!$M$8:$M$507,0)-SUMIFS('Күнлик есабат'!$H$8:$H$507,'Күнлик есабат'!$C$8:$C$507,A122,'Күнлик есабат'!$L$8:$L$507,0,'Күнлик есабат'!$M$8:$M$507,0)</x:f>
        <x:v>0</x:v>
      </x:c>
      <x:c r="L122" s="2" t="n">
        <x:f>SUMIFS('Күнлик есабат'!$G$8:$G$507,'Күнлик есабат'!$C$8:$C$507,A122,'Күнлик есабат'!$L$8:$L$507,0,'Күнлик есабат'!$M$8:$M$507,0)</x:f>
        <x:v>0</x:v>
      </x:c>
      <x:c r="M122" s="2" t="str">
        <x:f>IF(I122="","",MAX(I122-K122,0))</x:f>
      </x:c>
      <x:c r="N122" s="16" t="str">
        <x:f>IF(OR(I122="",I122=0),"",MIN(K122/I122,1))</x:f>
      </x:c>
      <x:c r="O122" s="2" t="n">
        <x:f>24-COUNTIFS('Клиентлер'!$T$8:$T$31,1)</x:f>
        <x:v>24</x:v>
      </x:c>
      <x:c r="P122" s="2" t="n">
        <x:f>IF(AND('Салық календары'!G122=1,ISNUMBER('Салық календары'!F122)),1,0)</x:f>
        <x:v>0</x:v>
      </x:c>
      <x:c r="Q122" s="2" t="str">
        <x:v>Салық</x:v>
      </x:c>
      <x:c r="R122" s="10"/>
      <x:c r="S122" s="2" t="n">
        <x:f>IF(COUNT(I122)=1,1,0)</x:f>
        <x:v>0</x:v>
      </x:c>
    </x:row>
    <x:row r="123" ht="46" customHeight="1">
      <x:c r="A123" s="2" t="n">
        <x:v>116</x:v>
      </x:c>
      <x:c r="B123" s="2" t="n">
        <x:v>116</x:v>
      </x:c>
      <x:c r="C123" s="12" t="n">
        <x:f>'Салық календары'!J123</x:f>
        <x:v>46524</x:v>
      </x:c>
      <x:c r="D123" s="13" t="str">
        <x:v>Дивиденд ҳәм процент салығы есабаты</x:v>
      </x:c>
      <x:c r="E123" s="14" t="n">
        <x:v>46527</x:v>
      </x:c>
      <x:c r="F123" s="14" t="str">
        <x:f>IF('Салық календары'!F123="","",'Салық календары'!F123)</x:f>
      </x:c>
      <x:c r="G123" s="2" t="str">
        <x:v>2027-04</x:v>
      </x:c>
      <x:c r="H123" s="2" t="str">
        <x:v>O</x:v>
      </x:c>
      <x:c r="I123" s="10" t="str">
        <x:f>IF(AND(COUNTIFS('Клиентлер'!$T$8:$T$31,1)=24,COUNT('Клиентлер'!$O$8:$O$31)=24),COUNTIFS('Клиентлер'!$O$8:$O$31,1,'Клиентлер'!$T$8:$T$31,1),"")</x:f>
      </x:c>
      <x:c r="J123" s="10"/>
      <x:c r="K123" s="2" t="n">
        <x:f>SUMIFS('Күнлик есабат'!$F$8:$F$507,'Күнлик есабат'!$C$8:$C$507,A123,'Күнлик есабат'!$L$8:$L$507,0,'Күнлик есабат'!$M$8:$M$507,0)-SUMIFS('Күнлик есабат'!$H$8:$H$507,'Күнлик есабат'!$C$8:$C$507,A123,'Күнлик есабат'!$L$8:$L$507,0,'Күнлик есабат'!$M$8:$M$507,0)</x:f>
        <x:v>0</x:v>
      </x:c>
      <x:c r="L123" s="2" t="n">
        <x:f>SUMIFS('Күнлик есабат'!$G$8:$G$507,'Күнлик есабат'!$C$8:$C$507,A123,'Күнлик есабат'!$L$8:$L$507,0,'Күнлик есабат'!$M$8:$M$507,0)</x:f>
        <x:v>0</x:v>
      </x:c>
      <x:c r="M123" s="2" t="str">
        <x:f>IF(I123="","",MAX(I123-K123,0))</x:f>
      </x:c>
      <x:c r="N123" s="16" t="str">
        <x:f>IF(OR(I123="",I123=0),"",MIN(K123/I123,1))</x:f>
      </x:c>
      <x:c r="O123" s="2" t="n">
        <x:f>24-COUNTIFS('Клиентлер'!$T$8:$T$31,1)</x:f>
        <x:v>24</x:v>
      </x:c>
      <x:c r="P123" s="2" t="n">
        <x:f>IF(AND('Салық календары'!G123=1,ISNUMBER('Салық календары'!F123)),1,0)</x:f>
        <x:v>0</x:v>
      </x:c>
      <x:c r="Q123" s="2" t="str">
        <x:v>Салық</x:v>
      </x:c>
      <x:c r="R123" s="10"/>
      <x:c r="S123" s="2" t="n">
        <x:f>IF(COUNT(I123)=1,1,0)</x:f>
        <x:v>0</x:v>
      </x:c>
    </x:row>
    <x:row r="124" ht="46" customHeight="1">
      <x:c r="A124" s="2" t="n">
        <x:v>117</x:v>
      </x:c>
      <x:c r="B124" s="2" t="n">
        <x:v>117</x:v>
      </x:c>
      <x:c r="C124" s="12" t="n">
        <x:f>'Салық календары'!J124</x:f>
        <x:v>46524</x:v>
      </x:c>
      <x:c r="D124" s="13" t="str">
        <x:v>Норезидент дәраматы салығы есабаты</x:v>
      </x:c>
      <x:c r="E124" s="14" t="n">
        <x:v>46527</x:v>
      </x:c>
      <x:c r="F124" s="14" t="str">
        <x:f>IF('Салық календары'!F124="","",'Салық календары'!F124)</x:f>
      </x:c>
      <x:c r="G124" s="2" t="str">
        <x:v>2027-04</x:v>
      </x:c>
      <x:c r="H124" s="2" t="str">
        <x:v>P</x:v>
      </x:c>
      <x:c r="I124" s="10" t="str">
        <x:f>IF(AND(COUNTIFS('Клиентлер'!$T$8:$T$31,1)=24,COUNT('Клиентлер'!$P$8:$P$31)=24),COUNTIFS('Клиентлер'!$P$8:$P$31,1,'Клиентлер'!$T$8:$T$31,1),"")</x:f>
      </x:c>
      <x:c r="J124" s="10"/>
      <x:c r="K124" s="2" t="n">
        <x:f>SUMIFS('Күнлик есабат'!$F$8:$F$507,'Күнлик есабат'!$C$8:$C$507,A124,'Күнлик есабат'!$L$8:$L$507,0,'Күнлик есабат'!$M$8:$M$507,0)-SUMIFS('Күнлик есабат'!$H$8:$H$507,'Күнлик есабат'!$C$8:$C$507,A124,'Күнлик есабат'!$L$8:$L$507,0,'Күнлик есабат'!$M$8:$M$507,0)</x:f>
        <x:v>0</x:v>
      </x:c>
      <x:c r="L124" s="2" t="n">
        <x:f>SUMIFS('Күнлик есабат'!$G$8:$G$507,'Күнлик есабат'!$C$8:$C$507,A124,'Күнлик есабат'!$L$8:$L$507,0,'Күнлик есабат'!$M$8:$M$507,0)</x:f>
        <x:v>0</x:v>
      </x:c>
      <x:c r="M124" s="2" t="str">
        <x:f>IF(I124="","",MAX(I124-K124,0))</x:f>
      </x:c>
      <x:c r="N124" s="16" t="str">
        <x:f>IF(OR(I124="",I124=0),"",MIN(K124/I124,1))</x:f>
      </x:c>
      <x:c r="O124" s="2" t="n">
        <x:f>24-COUNTIFS('Клиентлер'!$T$8:$T$31,1)</x:f>
        <x:v>24</x:v>
      </x:c>
      <x:c r="P124" s="2" t="n">
        <x:f>IF(AND('Салық календары'!G124=1,ISNUMBER('Салық календары'!F124)),1,0)</x:f>
        <x:v>0</x:v>
      </x:c>
      <x:c r="Q124" s="2" t="str">
        <x:v>Салық</x:v>
      </x:c>
      <x:c r="R124" s="10"/>
      <x:c r="S124" s="2" t="n">
        <x:f>IF(COUNT(I124)=1,1,0)</x:f>
        <x:v>0</x:v>
      </x:c>
    </x:row>
    <x:row r="125" ht="46" customHeight="1">
      <x:c r="A125" s="2" t="n">
        <x:v>118</x:v>
      </x:c>
      <x:c r="B125" s="2" t="n">
        <x:v>118</x:v>
      </x:c>
      <x:c r="C125" s="12" t="n">
        <x:f>'Салық календары'!J125</x:f>
        <x:v>46524</x:v>
      </x:c>
      <x:c r="D125" s="13" t="str">
        <x:v>Жер қойнаўынан пайдаланыў есабаты</x:v>
      </x:c>
      <x:c r="E125" s="14" t="n">
        <x:v>46527</x:v>
      </x:c>
      <x:c r="F125" s="14" t="str">
        <x:f>IF('Салық календары'!F125="","",'Салық календары'!F125)</x:f>
      </x:c>
      <x:c r="G125" s="2" t="str">
        <x:v>2027-04</x:v>
      </x:c>
      <x:c r="H125" s="2" t="str">
        <x:v>Q</x:v>
      </x:c>
      <x:c r="I125" s="10" t="str">
        <x:f>IF(AND(COUNTIFS('Клиентлер'!$T$8:$T$31,1)=24,COUNT('Клиентлер'!$Q$8:$Q$31)=24),COUNTIFS('Клиентлер'!$Q$8:$Q$31,1,'Клиентлер'!$T$8:$T$31,1),"")</x:f>
      </x:c>
      <x:c r="J125" s="10"/>
      <x:c r="K125" s="2" t="n">
        <x:f>SUMIFS('Күнлик есабат'!$F$8:$F$507,'Күнлик есабат'!$C$8:$C$507,A125,'Күнлик есабат'!$L$8:$L$507,0,'Күнлик есабат'!$M$8:$M$507,0)-SUMIFS('Күнлик есабат'!$H$8:$H$507,'Күнлик есабат'!$C$8:$C$507,A125,'Күнлик есабат'!$L$8:$L$507,0,'Күнлик есабат'!$M$8:$M$507,0)</x:f>
        <x:v>0</x:v>
      </x:c>
      <x:c r="L125" s="2" t="n">
        <x:f>SUMIFS('Күнлик есабат'!$G$8:$G$507,'Күнлик есабат'!$C$8:$C$507,A125,'Күнлик есабат'!$L$8:$L$507,0,'Күнлик есабат'!$M$8:$M$507,0)</x:f>
        <x:v>0</x:v>
      </x:c>
      <x:c r="M125" s="2" t="str">
        <x:f>IF(I125="","",MAX(I125-K125,0))</x:f>
      </x:c>
      <x:c r="N125" s="16" t="str">
        <x:f>IF(OR(I125="",I125=0),"",MIN(K125/I125,1))</x:f>
      </x:c>
      <x:c r="O125" s="2" t="n">
        <x:f>24-COUNTIFS('Клиентлер'!$T$8:$T$31,1)</x:f>
        <x:v>24</x:v>
      </x:c>
      <x:c r="P125" s="2" t="n">
        <x:f>IF(AND('Салық календары'!G125=1,ISNUMBER('Салық календары'!F125)),1,0)</x:f>
        <x:v>0</x:v>
      </x:c>
      <x:c r="Q125" s="2" t="str">
        <x:v>Салық</x:v>
      </x:c>
      <x:c r="R125" s="10"/>
      <x:c r="S125" s="2" t="n">
        <x:f>IF(COUNT(I125)=1,1,0)</x:f>
        <x:v>0</x:v>
      </x:c>
    </x:row>
    <x:row r="126" ht="46" customHeight="1">
      <x:c r="A126" s="2" t="n">
        <x:v>119</x:v>
      </x:c>
      <x:c r="B126" s="2" t="n">
        <x:v>119</x:v>
      </x:c>
      <x:c r="C126" s="12" t="n">
        <x:f>'Салық календары'!J126</x:f>
        <x:v>46527</x:v>
      </x:c>
      <x:c r="D126" s="13" t="str">
        <x:v>Пайда салығы авансы</x:v>
      </x:c>
      <x:c r="E126" s="14" t="n">
        <x:v>46530</x:v>
      </x:c>
      <x:c r="F126" s="14" t="str">
        <x:f>IF('Салық календары'!F126="","",'Салық календары'!F126)</x:f>
      </x:c>
      <x:c r="G126" s="2" t="str">
        <x:v>2027-05</x:v>
      </x:c>
      <x:c r="H126" s="2" t="str">
        <x:v>M</x:v>
      </x:c>
      <x:c r="I126" s="10" t="str">
        <x:f>IF(AND(COUNTIFS('Клиентлер'!$T$8:$T$31,1)=24,COUNT('Клиентлер'!$M$8:$M$31)=24),COUNTIFS('Клиентлер'!$M$8:$M$31,1,'Клиентлер'!$T$8:$T$31,1),"")</x:f>
      </x:c>
      <x:c r="J126" s="10"/>
      <x:c r="K126" s="2" t="n">
        <x:f>SUMIFS('Күнлик есабат'!$F$8:$F$507,'Күнлик есабат'!$C$8:$C$507,A126,'Күнлик есабат'!$L$8:$L$507,0,'Күнлик есабат'!$M$8:$M$507,0)-SUMIFS('Күнлик есабат'!$H$8:$H$507,'Күнлик есабат'!$C$8:$C$507,A126,'Күнлик есабат'!$L$8:$L$507,0,'Күнлик есабат'!$M$8:$M$507,0)</x:f>
        <x:v>0</x:v>
      </x:c>
      <x:c r="L126" s="2" t="n">
        <x:f>SUMIFS('Күнлик есабат'!$G$8:$G$507,'Күнлик есабат'!$C$8:$C$507,A126,'Күнлик есабат'!$L$8:$L$507,0,'Күнлик есабат'!$M$8:$M$507,0)</x:f>
        <x:v>0</x:v>
      </x:c>
      <x:c r="M126" s="2" t="str">
        <x:f>IF(I126="","",MAX(I126-K126,0))</x:f>
      </x:c>
      <x:c r="N126" s="16" t="str">
        <x:f>IF(OR(I126="",I126=0),"",MIN(K126/I126,1))</x:f>
      </x:c>
      <x:c r="O126" s="2" t="n">
        <x:f>24-COUNTIFS('Клиентлер'!$T$8:$T$31,1)</x:f>
        <x:v>24</x:v>
      </x:c>
      <x:c r="P126" s="2" t="n">
        <x:f>IF(AND('Салық календары'!G126=1,ISNUMBER('Салық календары'!F126)),1,0)</x:f>
        <x:v>0</x:v>
      </x:c>
      <x:c r="Q126" s="2" t="str">
        <x:v>Салық</x:v>
      </x:c>
      <x:c r="R126" s="10"/>
      <x:c r="S126" s="2" t="n">
        <x:f>IF(COUNT(I126)=1,1,0)</x:f>
        <x:v>0</x:v>
      </x:c>
    </x:row>
    <x:row r="127" ht="46" customHeight="1">
      <x:c r="A127" s="2" t="n">
        <x:v>120</x:v>
      </x:c>
      <x:c r="B127" s="2" t="n">
        <x:v>120</x:v>
      </x:c>
      <x:c r="C127" s="12" t="n">
        <x:f>'Салық календары'!J127</x:f>
        <x:v>46514</x:v>
      </x:c>
      <x:c r="D127" s="13" t="str">
        <x:v>Мүлк салығы айлық авансы</x:v>
      </x:c>
      <x:c r="E127" s="14" t="n">
        <x:v>46517</x:v>
      </x:c>
      <x:c r="F127" s="14" t="str">
        <x:f>IF('Салық календары'!F127="","",'Салық календары'!F127)</x:f>
      </x:c>
      <x:c r="G127" s="2" t="str">
        <x:v>2027-05</x:v>
      </x:c>
      <x:c r="H127" s="2" t="str">
        <x:v>J</x:v>
      </x:c>
      <x:c r="I127" s="10" t="str">
        <x:f>IF(AND(COUNTIFS('Клиентлер'!$T$8:$T$31,1)=24,COUNT('Клиентлер'!$J$8:$J$31)=24),COUNTIFS('Клиентлер'!$J$8:$J$31,1,'Клиентлер'!$T$8:$T$31,1,'Клиентлер'!$G$8:$G$31,0),"")</x:f>
      </x:c>
      <x:c r="J127" s="10"/>
      <x:c r="K127" s="2" t="n">
        <x:f>SUMIFS('Күнлик есабат'!$F$8:$F$507,'Күнлик есабат'!$C$8:$C$507,A127,'Күнлик есабат'!$L$8:$L$507,0,'Күнлик есабат'!$M$8:$M$507,0)-SUMIFS('Күнлик есабат'!$H$8:$H$507,'Күнлик есабат'!$C$8:$C$507,A127,'Күнлик есабат'!$L$8:$L$507,0,'Күнлик есабат'!$M$8:$M$507,0)</x:f>
        <x:v>0</x:v>
      </x:c>
      <x:c r="L127" s="2" t="n">
        <x:f>SUMIFS('Күнлик есабат'!$G$8:$G$507,'Күнлик есабат'!$C$8:$C$507,A127,'Күнлик есабат'!$L$8:$L$507,0,'Күнлик есабат'!$M$8:$M$507,0)</x:f>
        <x:v>0</x:v>
      </x:c>
      <x:c r="M127" s="2" t="str">
        <x:f>IF(I127="","",MAX(I127-K127,0))</x:f>
      </x:c>
      <x:c r="N127" s="16" t="str">
        <x:f>IF(OR(I127="",I127=0),"",MIN(K127/I127,1))</x:f>
      </x:c>
      <x:c r="O127" s="2" t="n">
        <x:f>24-COUNTIFS('Клиентлер'!$T$8:$T$31,1)</x:f>
        <x:v>24</x:v>
      </x:c>
      <x:c r="P127" s="2" t="n">
        <x:f>IF(AND('Салық календары'!G127=1,ISNUMBER('Салық календары'!F127)),1,0)</x:f>
        <x:v>0</x:v>
      </x:c>
      <x:c r="Q127" s="2" t="str">
        <x:v>Салық</x:v>
      </x:c>
      <x:c r="R127" s="10"/>
      <x:c r="S127" s="2" t="n">
        <x:f>IF(COUNT(I127)=1,1,0)</x:f>
        <x:v>0</x:v>
      </x:c>
    </x:row>
    <x:row r="128" ht="46" customHeight="1">
      <x:c r="A128" s="2" t="n">
        <x:v>121</x:v>
      </x:c>
      <x:c r="B128" s="2" t="n">
        <x:v>121</x:v>
      </x:c>
      <x:c r="C128" s="12" t="n">
        <x:f>'Салық календары'!J128</x:f>
        <x:v>46514</x:v>
      </x:c>
      <x:c r="D128" s="13" t="str">
        <x:v>Жер салығы айлық төлеми</x:v>
      </x:c>
      <x:c r="E128" s="14" t="n">
        <x:v>46517</x:v>
      </x:c>
      <x:c r="F128" s="14" t="str">
        <x:f>IF('Салық календары'!F128="","",'Салық календары'!F128)</x:f>
      </x:c>
      <x:c r="G128" s="2" t="str">
        <x:v>2027-05</x:v>
      </x:c>
      <x:c r="H128" s="2" t="str">
        <x:v>K</x:v>
      </x:c>
      <x:c r="I128" s="10" t="str">
        <x:f>IF(AND(COUNTIFS('Клиентлер'!$T$8:$T$31,1)=24,COUNT('Клиентлер'!$K$8:$K$31)=24),COUNTIFS('Клиентлер'!$K$8:$K$31,1,'Клиентлер'!$T$8:$T$31,1,'Клиентлер'!$G$8:$G$31,0),"")</x:f>
      </x:c>
      <x:c r="J128" s="10"/>
      <x:c r="K128" s="2" t="n">
        <x:f>SUMIFS('Күнлик есабат'!$F$8:$F$507,'Күнлик есабат'!$C$8:$C$507,A128,'Күнлик есабат'!$L$8:$L$507,0,'Күнлик есабат'!$M$8:$M$507,0)-SUMIFS('Күнлик есабат'!$H$8:$H$507,'Күнлик есабат'!$C$8:$C$507,A128,'Күнлик есабат'!$L$8:$L$507,0,'Күнлик есабат'!$M$8:$M$507,0)</x:f>
        <x:v>0</x:v>
      </x:c>
      <x:c r="L128" s="2" t="n">
        <x:f>SUMIFS('Күнлик есабат'!$G$8:$G$507,'Күнлик есабат'!$C$8:$C$507,A128,'Күнлик есабат'!$L$8:$L$507,0,'Күнлик есабат'!$M$8:$M$507,0)</x:f>
        <x:v>0</x:v>
      </x:c>
      <x:c r="M128" s="2" t="str">
        <x:f>IF(I128="","",MAX(I128-K128,0))</x:f>
      </x:c>
      <x:c r="N128" s="16" t="str">
        <x:f>IF(OR(I128="",I128=0),"",MIN(K128/I128,1))</x:f>
      </x:c>
      <x:c r="O128" s="2" t="n">
        <x:f>24-COUNTIFS('Клиентлер'!$T$8:$T$31,1)</x:f>
        <x:v>24</x:v>
      </x:c>
      <x:c r="P128" s="2" t="n">
        <x:f>IF(AND('Салық календары'!G128=1,ISNUMBER('Салық календары'!F128)),1,0)</x:f>
        <x:v>0</x:v>
      </x:c>
      <x:c r="Q128" s="2" t="str">
        <x:v>Салық</x:v>
      </x:c>
      <x:c r="R128" s="10"/>
      <x:c r="S128" s="2" t="n">
        <x:f>IF(COUNT(I128)=1,1,0)</x:f>
        <x:v>0</x:v>
      </x:c>
    </x:row>
    <x:row r="129" ht="46" customHeight="1">
      <x:c r="A129" s="2" t="n">
        <x:v>122</x:v>
      </x:c>
      <x:c r="B129" s="2" t="n">
        <x:v>122</x:v>
      </x:c>
      <x:c r="C129" s="12" t="n">
        <x:f>'Салық календары'!J129</x:f>
        <x:v>46524</x:v>
      </x:c>
      <x:c r="D129" s="13" t="str">
        <x:v>Суў салығы айлық авансы</x:v>
      </x:c>
      <x:c r="E129" s="14" t="n">
        <x:v>46527</x:v>
      </x:c>
      <x:c r="F129" s="14" t="str">
        <x:f>IF('Салық календары'!F129="","",'Салық календары'!F129)</x:f>
      </x:c>
      <x:c r="G129" s="2" t="str">
        <x:v>2027-05</x:v>
      </x:c>
      <x:c r="H129" s="2" t="str">
        <x:v>V</x:v>
      </x:c>
      <x:c r="I129" s="10" t="str">
        <x:f>IF(AND(COUNTIFS('Клиентлер'!$T$8:$T$31,1)=24,COUNT('Клиентлер'!$V$8:$V$31)=24),COUNTIFS('Клиентлер'!$V$8:$V$31,1,'Клиентлер'!$T$8:$T$31,1,'Клиентлер'!$G$8:$G$31,0),"")</x:f>
      </x:c>
      <x:c r="J129" s="10"/>
      <x:c r="K129" s="2" t="n">
        <x:f>SUMIFS('Күнлик есабат'!$F$8:$F$507,'Күнлик есабат'!$C$8:$C$507,A129,'Күнлик есабат'!$L$8:$L$507,0,'Күнлик есабат'!$M$8:$M$507,0)-SUMIFS('Күнлик есабат'!$H$8:$H$507,'Күнлик есабат'!$C$8:$C$507,A129,'Күнлик есабат'!$L$8:$L$507,0,'Күнлик есабат'!$M$8:$M$507,0)</x:f>
        <x:v>0</x:v>
      </x:c>
      <x:c r="L129" s="2" t="n">
        <x:f>SUMIFS('Күнлик есабат'!$G$8:$G$507,'Күнлик есабат'!$C$8:$C$507,A129,'Күнлик есабат'!$L$8:$L$507,0,'Күнлик есабат'!$M$8:$M$507,0)</x:f>
        <x:v>0</x:v>
      </x:c>
      <x:c r="M129" s="2" t="str">
        <x:f>IF(I129="","",MAX(I129-K129,0))</x:f>
      </x:c>
      <x:c r="N129" s="16" t="str">
        <x:f>IF(OR(I129="",I129=0),"",MIN(K129/I129,1))</x:f>
      </x:c>
      <x:c r="O129" s="2" t="n">
        <x:f>24-COUNTIFS('Клиентлер'!$T$8:$T$31,1)</x:f>
        <x:v>24</x:v>
      </x:c>
      <x:c r="P129" s="2" t="n">
        <x:f>IF(AND('Салық календары'!G129=1,ISNUMBER('Салық календары'!F129)),1,0)</x:f>
        <x:v>0</x:v>
      </x:c>
      <x:c r="Q129" s="2" t="str">
        <x:v>Салық</x:v>
      </x:c>
      <x:c r="R129" s="10"/>
      <x:c r="S129" s="2" t="n">
        <x:f>IF(COUNT(I129)=1,1,0)</x:f>
        <x:v>0</x:v>
      </x:c>
    </x:row>
    <x:row r="130" ht="46" customHeight="1">
      <x:c r="A130" s="2" t="n">
        <x:v>123</x:v>
      </x:c>
      <x:c r="B130" s="2" t="n">
        <x:v>123</x:v>
      </x:c>
      <x:c r="C130" s="12" t="n">
        <x:f>'Салық календары'!J130</x:f>
        <x:v>46555</x:v>
      </x:c>
      <x:c r="D130" s="13" t="str">
        <x:v>ҚҚС есабаты</x:v>
      </x:c>
      <x:c r="E130" s="14" t="n">
        <x:v>46558</x:v>
      </x:c>
      <x:c r="F130" s="14" t="str">
        <x:f>IF('Салық календары'!F130="","",'Салық календары'!F130)</x:f>
      </x:c>
      <x:c r="G130" s="2" t="str">
        <x:v>2027-05</x:v>
      </x:c>
      <x:c r="H130" s="2" t="str">
        <x:v>F</x:v>
      </x:c>
      <x:c r="I130" s="10" t="str">
        <x:f>IF(AND(COUNTIFS('Клиентлер'!$T$8:$T$31,1)=24,COUNT('Клиентлер'!$F$8:$F$31)=24),COUNTIFS('Клиентлер'!$F$8:$F$31,1,'Клиентлер'!$T$8:$T$31,1),"")</x:f>
      </x:c>
      <x:c r="J130" s="10"/>
      <x:c r="K130" s="2" t="n">
        <x:f>SUMIFS('Күнлик есабат'!$F$8:$F$507,'Күнлик есабат'!$C$8:$C$507,A130,'Күнлик есабат'!$L$8:$L$507,0,'Күнлик есабат'!$M$8:$M$507,0)-SUMIFS('Күнлик есабат'!$H$8:$H$507,'Күнлик есабат'!$C$8:$C$507,A130,'Күнлик есабат'!$L$8:$L$507,0,'Күнлик есабат'!$M$8:$M$507,0)</x:f>
        <x:v>0</x:v>
      </x:c>
      <x:c r="L130" s="2" t="n">
        <x:f>SUMIFS('Күнлик есабат'!$G$8:$G$507,'Күнлик есабат'!$C$8:$C$507,A130,'Күнлик есабат'!$L$8:$L$507,0,'Күнлик есабат'!$M$8:$M$507,0)</x:f>
        <x:v>0</x:v>
      </x:c>
      <x:c r="M130" s="2" t="str">
        <x:f>IF(I130="","",MAX(I130-K130,0))</x:f>
      </x:c>
      <x:c r="N130" s="16" t="str">
        <x:f>IF(OR(I130="",I130=0),"",MIN(K130/I130,1))</x:f>
      </x:c>
      <x:c r="O130" s="2" t="n">
        <x:f>24-COUNTIFS('Клиентлер'!$T$8:$T$31,1)</x:f>
        <x:v>24</x:v>
      </x:c>
      <x:c r="P130" s="2" t="n">
        <x:f>IF(AND('Салық календары'!G130=1,ISNUMBER('Салық календары'!F130)),1,0)</x:f>
        <x:v>0</x:v>
      </x:c>
      <x:c r="Q130" s="2" t="str">
        <x:v>Салық</x:v>
      </x:c>
      <x:c r="R130" s="10"/>
      <x:c r="S130" s="2" t="n">
        <x:f>IF(COUNT(I130)=1,1,0)</x:f>
        <x:v>0</x:v>
      </x:c>
    </x:row>
    <x:row r="131" ht="46" customHeight="1">
      <x:c r="A131" s="2" t="n">
        <x:v>124</x:v>
      </x:c>
      <x:c r="B131" s="2" t="n">
        <x:v>124</x:v>
      </x:c>
      <x:c r="C131" s="12" t="n">
        <x:f>'Салық календары'!J131</x:f>
        <x:v>46555</x:v>
      </x:c>
      <x:c r="D131" s="13" t="str">
        <x:v>ҚҚС төлеми</x:v>
      </x:c>
      <x:c r="E131" s="14" t="n">
        <x:v>46558</x:v>
      </x:c>
      <x:c r="F131" s="14" t="str">
        <x:f>IF('Салық календары'!F131="","",'Салық календары'!F131)</x:f>
      </x:c>
      <x:c r="G131" s="2" t="str">
        <x:v>2027-05</x:v>
      </x:c>
      <x:c r="H131" s="2" t="str">
        <x:v>F</x:v>
      </x:c>
      <x:c r="I131" s="10" t="str">
        <x:f>IF(AND(COUNTIFS('Клиентлер'!$T$8:$T$31,1)=24,COUNT('Клиентлер'!$F$8:$F$31)=24),COUNTIFS('Клиентлер'!$F$8:$F$31,1,'Клиентлер'!$T$8:$T$31,1),"")</x:f>
      </x:c>
      <x:c r="J131" s="10"/>
      <x:c r="K131" s="2" t="n">
        <x:f>SUMIFS('Күнлик есабат'!$F$8:$F$507,'Күнлик есабат'!$C$8:$C$507,A131,'Күнлик есабат'!$L$8:$L$507,0,'Күнлик есабат'!$M$8:$M$507,0)-SUMIFS('Күнлик есабат'!$H$8:$H$507,'Күнлик есабат'!$C$8:$C$507,A131,'Күнлик есабат'!$L$8:$L$507,0,'Күнлик есабат'!$M$8:$M$507,0)</x:f>
        <x:v>0</x:v>
      </x:c>
      <x:c r="L131" s="2" t="n">
        <x:f>SUMIFS('Күнлик есабат'!$G$8:$G$507,'Күнлик есабат'!$C$8:$C$507,A131,'Күнлик есабат'!$L$8:$L$507,0,'Күнлик есабат'!$M$8:$M$507,0)</x:f>
        <x:v>0</x:v>
      </x:c>
      <x:c r="M131" s="2" t="str">
        <x:f>IF(I131="","",MAX(I131-K131,0))</x:f>
      </x:c>
      <x:c r="N131" s="16" t="str">
        <x:f>IF(OR(I131="",I131=0),"",MIN(K131/I131,1))</x:f>
      </x:c>
      <x:c r="O131" s="2" t="n">
        <x:f>24-COUNTIFS('Клиентлер'!$T$8:$T$31,1)</x:f>
        <x:v>24</x:v>
      </x:c>
      <x:c r="P131" s="2" t="n">
        <x:f>IF(AND('Салық календары'!G131=1,ISNUMBER('Салық календары'!F131)),1,0)</x:f>
        <x:v>0</x:v>
      </x:c>
      <x:c r="Q131" s="2" t="str">
        <x:v>Салық</x:v>
      </x:c>
      <x:c r="R131" s="10"/>
      <x:c r="S131" s="2" t="n">
        <x:f>IF(COUNT(I131)=1,1,0)</x:f>
        <x:v>0</x:v>
      </x:c>
    </x:row>
    <x:row r="132" ht="46" customHeight="1">
      <x:c r="A132" s="2" t="n">
        <x:v>125</x:v>
      </x:c>
      <x:c r="B132" s="2" t="n">
        <x:v>125</x:v>
      </x:c>
      <x:c r="C132" s="12" t="n">
        <x:f>'Салық календары'!J132</x:f>
        <x:v>46550</x:v>
      </x:c>
      <x:c r="D132" s="13" t="str">
        <x:v>Айланба салығы есабаты</x:v>
      </x:c>
      <x:c r="E132" s="14" t="n">
        <x:v>46553</x:v>
      </x:c>
      <x:c r="F132" s="14" t="str">
        <x:f>IF('Салық календары'!F132="","",'Салық календары'!F132)</x:f>
      </x:c>
      <x:c r="G132" s="2" t="str">
        <x:v>2027-05</x:v>
      </x:c>
      <x:c r="H132" s="2" t="str">
        <x:v>G</x:v>
      </x:c>
      <x:c r="I132" s="10" t="str">
        <x:f>IF(AND(COUNTIFS('Клиентлер'!$T$8:$T$31,1)=24,COUNT('Клиентлер'!$G$8:$G$31)=24),COUNTIFS('Клиентлер'!$G$8:$G$31,1,'Клиентлер'!$T$8:$T$31,1),"")</x:f>
      </x:c>
      <x:c r="J132" s="10"/>
      <x:c r="K132" s="2" t="n">
        <x:f>SUMIFS('Күнлик есабат'!$F$8:$F$507,'Күнлик есабат'!$C$8:$C$507,A132,'Күнлик есабат'!$L$8:$L$507,0,'Күнлик есабат'!$M$8:$M$507,0)-SUMIFS('Күнлик есабат'!$H$8:$H$507,'Күнлик есабат'!$C$8:$C$507,A132,'Күнлик есабат'!$L$8:$L$507,0,'Күнлик есабат'!$M$8:$M$507,0)</x:f>
        <x:v>0</x:v>
      </x:c>
      <x:c r="L132" s="2" t="n">
        <x:f>SUMIFS('Күнлик есабат'!$G$8:$G$507,'Күнлик есабат'!$C$8:$C$507,A132,'Күнлик есабат'!$L$8:$L$507,0,'Күнлик есабат'!$M$8:$M$507,0)</x:f>
        <x:v>0</x:v>
      </x:c>
      <x:c r="M132" s="2" t="str">
        <x:f>IF(I132="","",MAX(I132-K132,0))</x:f>
      </x:c>
      <x:c r="N132" s="16" t="str">
        <x:f>IF(OR(I132="",I132=0),"",MIN(K132/I132,1))</x:f>
      </x:c>
      <x:c r="O132" s="2" t="n">
        <x:f>24-COUNTIFS('Клиентлер'!$T$8:$T$31,1)</x:f>
        <x:v>24</x:v>
      </x:c>
      <x:c r="P132" s="2" t="n">
        <x:f>IF(AND('Салық календары'!G132=1,ISNUMBER('Салық календары'!F132)),1,0)</x:f>
        <x:v>0</x:v>
      </x:c>
      <x:c r="Q132" s="2" t="str">
        <x:v>Салық</x:v>
      </x:c>
      <x:c r="R132" s="10"/>
      <x:c r="S132" s="2" t="n">
        <x:f>IF(COUNT(I132)=1,1,0)</x:f>
        <x:v>0</x:v>
      </x:c>
    </x:row>
    <x:row r="133" ht="46" customHeight="1">
      <x:c r="A133" s="2" t="n">
        <x:v>126</x:v>
      </x:c>
      <x:c r="B133" s="2" t="n">
        <x:v>126</x:v>
      </x:c>
      <x:c r="C133" s="12" t="n">
        <x:f>'Салық календары'!J133</x:f>
        <x:v>46550</x:v>
      </x:c>
      <x:c r="D133" s="13" t="str">
        <x:v>Айланба салығы төлеми</x:v>
      </x:c>
      <x:c r="E133" s="14" t="n">
        <x:v>46553</x:v>
      </x:c>
      <x:c r="F133" s="14" t="str">
        <x:f>IF('Салық календары'!F133="","",'Салық календары'!F133)</x:f>
      </x:c>
      <x:c r="G133" s="2" t="str">
        <x:v>2027-05</x:v>
      </x:c>
      <x:c r="H133" s="2" t="str">
        <x:v>G</x:v>
      </x:c>
      <x:c r="I133" s="10" t="str">
        <x:f>IF(AND(COUNTIFS('Клиентлер'!$T$8:$T$31,1)=24,COUNT('Клиентлер'!$G$8:$G$31)=24),COUNTIFS('Клиентлер'!$G$8:$G$31,1,'Клиентлер'!$T$8:$T$31,1),"")</x:f>
      </x:c>
      <x:c r="J133" s="10"/>
      <x:c r="K133" s="2" t="n">
        <x:f>SUMIFS('Күнлик есабат'!$F$8:$F$507,'Күнлик есабат'!$C$8:$C$507,A133,'Күнлик есабат'!$L$8:$L$507,0,'Күнлик есабат'!$M$8:$M$507,0)-SUMIFS('Күнлик есабат'!$H$8:$H$507,'Күнлик есабат'!$C$8:$C$507,A133,'Күнлик есабат'!$L$8:$L$507,0,'Күнлик есабат'!$M$8:$M$507,0)</x:f>
        <x:v>0</x:v>
      </x:c>
      <x:c r="L133" s="2" t="n">
        <x:f>SUMIFS('Күнлик есабат'!$G$8:$G$507,'Күнлик есабат'!$C$8:$C$507,A133,'Күнлик есабат'!$L$8:$L$507,0,'Күнлик есабат'!$M$8:$M$507,0)</x:f>
        <x:v>0</x:v>
      </x:c>
      <x:c r="M133" s="2" t="str">
        <x:f>IF(I133="","",MAX(I133-K133,0))</x:f>
      </x:c>
      <x:c r="N133" s="16" t="str">
        <x:f>IF(OR(I133="",I133=0),"",MIN(K133/I133,1))</x:f>
      </x:c>
      <x:c r="O133" s="2" t="n">
        <x:f>24-COUNTIFS('Клиентлер'!$T$8:$T$31,1)</x:f>
        <x:v>24</x:v>
      </x:c>
      <x:c r="P133" s="2" t="n">
        <x:f>IF(AND('Салық календары'!G133=1,ISNUMBER('Салық календары'!F133)),1,0)</x:f>
        <x:v>0</x:v>
      </x:c>
      <x:c r="Q133" s="2" t="str">
        <x:v>Салық</x:v>
      </x:c>
      <x:c r="R133" s="10"/>
      <x:c r="S133" s="2" t="n">
        <x:f>IF(COUNT(I133)=1,1,0)</x:f>
        <x:v>0</x:v>
      </x:c>
    </x:row>
    <x:row r="134" ht="46" customHeight="1">
      <x:c r="A134" s="2" t="n">
        <x:v>127</x:v>
      </x:c>
      <x:c r="B134" s="2" t="n">
        <x:v>127</x:v>
      </x:c>
      <x:c r="C134" s="12" t="n">
        <x:f>'Салық календары'!J134</x:f>
        <x:v>46550</x:v>
      </x:c>
      <x:c r="D134" s="13" t="str">
        <x:v>Дәрамат салығы есабаты</x:v>
      </x:c>
      <x:c r="E134" s="14" t="n">
        <x:v>46553</x:v>
      </x:c>
      <x:c r="F134" s="14" t="str">
        <x:f>IF('Салық календары'!F134="","",'Салық календары'!F134)</x:f>
      </x:c>
      <x:c r="G134" s="2" t="str">
        <x:v>2027-05</x:v>
      </x:c>
      <x:c r="H134" s="2" t="str">
        <x:v>I</x:v>
      </x:c>
      <x:c r="I134" s="10" t="str">
        <x:f>IF(AND(COUNTIFS('Клиентлер'!$T$8:$T$31,1)=24,COUNT('Клиентлер'!$I$8:$I$31)=24),COUNTIFS('Клиентлер'!$I$8:$I$31,1,'Клиентлер'!$T$8:$T$31,1),"")</x:f>
      </x:c>
      <x:c r="J134" s="10"/>
      <x:c r="K134" s="2" t="n">
        <x:f>SUMIFS('Күнлик есабат'!$F$8:$F$507,'Күнлик есабат'!$C$8:$C$507,A134,'Күнлик есабат'!$L$8:$L$507,0,'Күнлик есабат'!$M$8:$M$507,0)-SUMIFS('Күнлик есабат'!$H$8:$H$507,'Күнлик есабат'!$C$8:$C$507,A134,'Күнлик есабат'!$L$8:$L$507,0,'Күнлик есабат'!$M$8:$M$507,0)</x:f>
        <x:v>0</x:v>
      </x:c>
      <x:c r="L134" s="2" t="n">
        <x:f>SUMIFS('Күнлик есабат'!$G$8:$G$507,'Күнлик есабат'!$C$8:$C$507,A134,'Күнлик есабат'!$L$8:$L$507,0,'Күнлик есабат'!$M$8:$M$507,0)</x:f>
        <x:v>0</x:v>
      </x:c>
      <x:c r="M134" s="2" t="str">
        <x:f>IF(I134="","",MAX(I134-K134,0))</x:f>
      </x:c>
      <x:c r="N134" s="16" t="str">
        <x:f>IF(OR(I134="",I134=0),"",MIN(K134/I134,1))</x:f>
      </x:c>
      <x:c r="O134" s="2" t="n">
        <x:f>24-COUNTIFS('Клиентлер'!$T$8:$T$31,1)</x:f>
        <x:v>24</x:v>
      </x:c>
      <x:c r="P134" s="2" t="n">
        <x:f>IF(AND('Салық календары'!G134=1,ISNUMBER('Салық календары'!F134)),1,0)</x:f>
        <x:v>0</x:v>
      </x:c>
      <x:c r="Q134" s="2" t="str">
        <x:v>Салық</x:v>
      </x:c>
      <x:c r="R134" s="10"/>
      <x:c r="S134" s="2" t="n">
        <x:f>IF(COUNT(I134)=1,1,0)</x:f>
        <x:v>0</x:v>
      </x:c>
    </x:row>
    <x:row r="135" ht="46" customHeight="1">
      <x:c r="A135" s="2" t="n">
        <x:v>128</x:v>
      </x:c>
      <x:c r="B135" s="2" t="n">
        <x:v>128</x:v>
      </x:c>
      <x:c r="C135" s="12" t="n">
        <x:f>'Салық календары'!J135</x:f>
        <x:v>46550</x:v>
      </x:c>
      <x:c r="D135" s="13" t="str">
        <x:v>Социаллық салық есабаты</x:v>
      </x:c>
      <x:c r="E135" s="14" t="n">
        <x:v>46553</x:v>
      </x:c>
      <x:c r="F135" s="14" t="str">
        <x:f>IF('Салық календары'!F135="","",'Салық календары'!F135)</x:f>
      </x:c>
      <x:c r="G135" s="2" t="str">
        <x:v>2027-05</x:v>
      </x:c>
      <x:c r="H135" s="2" t="str">
        <x:v>I</x:v>
      </x:c>
      <x:c r="I135" s="10" t="str">
        <x:f>IF(AND(COUNTIFS('Клиентлер'!$T$8:$T$31,1)=24,COUNT('Клиентлер'!$I$8:$I$31)=24),COUNTIFS('Клиентлер'!$I$8:$I$31,1,'Клиентлер'!$T$8:$T$31,1),"")</x:f>
      </x:c>
      <x:c r="J135" s="10"/>
      <x:c r="K135" s="2" t="n">
        <x:f>SUMIFS('Күнлик есабат'!$F$8:$F$507,'Күнлик есабат'!$C$8:$C$507,A135,'Күнлик есабат'!$L$8:$L$507,0,'Күнлик есабат'!$M$8:$M$507,0)-SUMIFS('Күнлик есабат'!$H$8:$H$507,'Күнлик есабат'!$C$8:$C$507,A135,'Күнлик есабат'!$L$8:$L$507,0,'Күнлик есабат'!$M$8:$M$507,0)</x:f>
        <x:v>0</x:v>
      </x:c>
      <x:c r="L135" s="2" t="n">
        <x:f>SUMIFS('Күнлик есабат'!$G$8:$G$507,'Күнлик есабат'!$C$8:$C$507,A135,'Күнлик есабат'!$L$8:$L$507,0,'Күнлик есабат'!$M$8:$M$507,0)</x:f>
        <x:v>0</x:v>
      </x:c>
      <x:c r="M135" s="2" t="str">
        <x:f>IF(I135="","",MAX(I135-K135,0))</x:f>
      </x:c>
      <x:c r="N135" s="16" t="str">
        <x:f>IF(OR(I135="",I135=0),"",MIN(K135/I135,1))</x:f>
      </x:c>
      <x:c r="O135" s="2" t="n">
        <x:f>24-COUNTIFS('Клиентлер'!$T$8:$T$31,1)</x:f>
        <x:v>24</x:v>
      </x:c>
      <x:c r="P135" s="2" t="n">
        <x:f>IF(AND('Салық календары'!G135=1,ISNUMBER('Салық календары'!F135)),1,0)</x:f>
        <x:v>0</x:v>
      </x:c>
      <x:c r="Q135" s="2" t="str">
        <x:v>Салық</x:v>
      </x:c>
      <x:c r="R135" s="10"/>
      <x:c r="S135" s="2" t="n">
        <x:f>IF(COUNT(I135)=1,1,0)</x:f>
        <x:v>0</x:v>
      </x:c>
    </x:row>
    <x:row r="136" ht="46" customHeight="1">
      <x:c r="A136" s="2" t="n">
        <x:v>129</x:v>
      </x:c>
      <x:c r="B136" s="2" t="n">
        <x:v>129</x:v>
      </x:c>
      <x:c r="C136" s="12" t="n">
        <x:f>'Салық календары'!J136</x:f>
        <x:v>46550</x:v>
      </x:c>
      <x:c r="D136" s="13" t="str">
        <x:v>Социаллық салық төлеми</x:v>
      </x:c>
      <x:c r="E136" s="14" t="n">
        <x:v>46553</x:v>
      </x:c>
      <x:c r="F136" s="14" t="str">
        <x:f>IF('Салық календары'!F136="","",'Салық календары'!F136)</x:f>
      </x:c>
      <x:c r="G136" s="2" t="str">
        <x:v>2027-05</x:v>
      </x:c>
      <x:c r="H136" s="2" t="str">
        <x:v>I</x:v>
      </x:c>
      <x:c r="I136" s="10" t="str">
        <x:f>IF(AND(COUNTIFS('Клиентлер'!$T$8:$T$31,1)=24,COUNT('Клиентлер'!$I$8:$I$31)=24),COUNTIFS('Клиентлер'!$I$8:$I$31,1,'Клиентлер'!$T$8:$T$31,1),"")</x:f>
      </x:c>
      <x:c r="J136" s="10"/>
      <x:c r="K136" s="2" t="n">
        <x:f>SUMIFS('Күнлик есабат'!$F$8:$F$507,'Күнлик есабат'!$C$8:$C$507,A136,'Күнлик есабат'!$L$8:$L$507,0,'Күнлик есабат'!$M$8:$M$507,0)-SUMIFS('Күнлик есабат'!$H$8:$H$507,'Күнлик есабат'!$C$8:$C$507,A136,'Күнлик есабат'!$L$8:$L$507,0,'Күнлик есабат'!$M$8:$M$507,0)</x:f>
        <x:v>0</x:v>
      </x:c>
      <x:c r="L136" s="2" t="n">
        <x:f>SUMIFS('Күнлик есабат'!$G$8:$G$507,'Күнлик есабат'!$C$8:$C$507,A136,'Күнлик есабат'!$L$8:$L$507,0,'Күнлик есабат'!$M$8:$M$507,0)</x:f>
        <x:v>0</x:v>
      </x:c>
      <x:c r="M136" s="2" t="str">
        <x:f>IF(I136="","",MAX(I136-K136,0))</x:f>
      </x:c>
      <x:c r="N136" s="16" t="str">
        <x:f>IF(OR(I136="",I136=0),"",MIN(K136/I136,1))</x:f>
      </x:c>
      <x:c r="O136" s="2" t="n">
        <x:f>24-COUNTIFS('Клиентлер'!$T$8:$T$31,1)</x:f>
        <x:v>24</x:v>
      </x:c>
      <x:c r="P136" s="2" t="n">
        <x:f>IF(AND('Салық календары'!G136=1,ISNUMBER('Салық календары'!F136)),1,0)</x:f>
        <x:v>0</x:v>
      </x:c>
      <x:c r="Q136" s="2" t="str">
        <x:v>Салық</x:v>
      </x:c>
      <x:c r="R136" s="10"/>
      <x:c r="S136" s="2" t="n">
        <x:f>IF(COUNT(I136)=1,1,0)</x:f>
        <x:v>0</x:v>
      </x:c>
    </x:row>
    <x:row r="137" ht="46" customHeight="1">
      <x:c r="A137" s="2" t="n">
        <x:v>130</x:v>
      </x:c>
      <x:c r="B137" s="2" t="n">
        <x:v>130</x:v>
      </x:c>
      <x:c r="C137" s="12" t="n">
        <x:f>'Салық календары'!J137</x:f>
        <x:v>46545</x:v>
      </x:c>
      <x:c r="D137" s="13" t="str">
        <x:v>Акциз есабаты ҳәм төлемин тексериў</x:v>
      </x:c>
      <x:c r="E137" s="14" t="n">
        <x:v>46548</x:v>
      </x:c>
      <x:c r="F137" s="14" t="str">
        <x:f>IF('Салық календары'!F137="","",'Салық календары'!F137)</x:f>
      </x:c>
      <x:c r="G137" s="2" t="str">
        <x:v>2027-05</x:v>
      </x:c>
      <x:c r="H137" s="2" t="str">
        <x:v>N</x:v>
      </x:c>
      <x:c r="I137" s="10" t="str">
        <x:f>IF(AND(COUNTIFS('Клиентлер'!$T$8:$T$31,1)=24,COUNT('Клиентлер'!$N$8:$N$31)=24),COUNTIFS('Клиентлер'!$N$8:$N$31,1,'Клиентлер'!$T$8:$T$31,1),"")</x:f>
      </x:c>
      <x:c r="J137" s="10"/>
      <x:c r="K137" s="2" t="n">
        <x:f>SUMIFS('Күнлик есабат'!$F$8:$F$507,'Күнлик есабат'!$C$8:$C$507,A137,'Күнлик есабат'!$L$8:$L$507,0,'Күнлик есабат'!$M$8:$M$507,0)-SUMIFS('Күнлик есабат'!$H$8:$H$507,'Күнлик есабат'!$C$8:$C$507,A137,'Күнлик есабат'!$L$8:$L$507,0,'Күнлик есабат'!$M$8:$M$507,0)</x:f>
        <x:v>0</x:v>
      </x:c>
      <x:c r="L137" s="2" t="n">
        <x:f>SUMIFS('Күнлик есабат'!$G$8:$G$507,'Күнлик есабат'!$C$8:$C$507,A137,'Күнлик есабат'!$L$8:$L$507,0,'Күнлик есабат'!$M$8:$M$507,0)</x:f>
        <x:v>0</x:v>
      </x:c>
      <x:c r="M137" s="2" t="str">
        <x:f>IF(I137="","",MAX(I137-K137,0))</x:f>
      </x:c>
      <x:c r="N137" s="16" t="str">
        <x:f>IF(OR(I137="",I137=0),"",MIN(K137/I137,1))</x:f>
      </x:c>
      <x:c r="O137" s="2" t="n">
        <x:f>24-COUNTIFS('Клиентлер'!$T$8:$T$31,1)</x:f>
        <x:v>24</x:v>
      </x:c>
      <x:c r="P137" s="2" t="n">
        <x:f>IF(AND('Салық календары'!G137=1,ISNUMBER('Салық календары'!F137)),1,0)</x:f>
        <x:v>0</x:v>
      </x:c>
      <x:c r="Q137" s="2" t="str">
        <x:v>Салық</x:v>
      </x:c>
      <x:c r="R137" s="10"/>
      <x:c r="S137" s="2" t="n">
        <x:f>IF(COUNT(I137)=1,1,0)</x:f>
        <x:v>0</x:v>
      </x:c>
    </x:row>
    <x:row r="138" ht="46" customHeight="1">
      <x:c r="A138" s="2" t="n">
        <x:v>131</x:v>
      </x:c>
      <x:c r="B138" s="2" t="n">
        <x:v>131</x:v>
      </x:c>
      <x:c r="C138" s="12" t="n">
        <x:f>'Салық календары'!J138</x:f>
        <x:v>46555</x:v>
      </x:c>
      <x:c r="D138" s="13" t="str">
        <x:v>Дивиденд ҳәм процент салығы есабаты</x:v>
      </x:c>
      <x:c r="E138" s="14" t="n">
        <x:v>46558</x:v>
      </x:c>
      <x:c r="F138" s="14" t="str">
        <x:f>IF('Салық календары'!F138="","",'Салық календары'!F138)</x:f>
      </x:c>
      <x:c r="G138" s="2" t="str">
        <x:v>2027-05</x:v>
      </x:c>
      <x:c r="H138" s="2" t="str">
        <x:v>O</x:v>
      </x:c>
      <x:c r="I138" s="10" t="str">
        <x:f>IF(AND(COUNTIFS('Клиентлер'!$T$8:$T$31,1)=24,COUNT('Клиентлер'!$O$8:$O$31)=24),COUNTIFS('Клиентлер'!$O$8:$O$31,1,'Клиентлер'!$T$8:$T$31,1),"")</x:f>
      </x:c>
      <x:c r="J138" s="10"/>
      <x:c r="K138" s="2" t="n">
        <x:f>SUMIFS('Күнлик есабат'!$F$8:$F$507,'Күнлик есабат'!$C$8:$C$507,A138,'Күнлик есабат'!$L$8:$L$507,0,'Күнлик есабат'!$M$8:$M$507,0)-SUMIFS('Күнлик есабат'!$H$8:$H$507,'Күнлик есабат'!$C$8:$C$507,A138,'Күнлик есабат'!$L$8:$L$507,0,'Күнлик есабат'!$M$8:$M$507,0)</x:f>
        <x:v>0</x:v>
      </x:c>
      <x:c r="L138" s="2" t="n">
        <x:f>SUMIFS('Күнлик есабат'!$G$8:$G$507,'Күнлик есабат'!$C$8:$C$507,A138,'Күнлик есабат'!$L$8:$L$507,0,'Күнлик есабат'!$M$8:$M$507,0)</x:f>
        <x:v>0</x:v>
      </x:c>
      <x:c r="M138" s="2" t="str">
        <x:f>IF(I138="","",MAX(I138-K138,0))</x:f>
      </x:c>
      <x:c r="N138" s="16" t="str">
        <x:f>IF(OR(I138="",I138=0),"",MIN(K138/I138,1))</x:f>
      </x:c>
      <x:c r="O138" s="2" t="n">
        <x:f>24-COUNTIFS('Клиентлер'!$T$8:$T$31,1)</x:f>
        <x:v>24</x:v>
      </x:c>
      <x:c r="P138" s="2" t="n">
        <x:f>IF(AND('Салық календары'!G138=1,ISNUMBER('Салық календары'!F138)),1,0)</x:f>
        <x:v>0</x:v>
      </x:c>
      <x:c r="Q138" s="2" t="str">
        <x:v>Салық</x:v>
      </x:c>
      <x:c r="R138" s="10"/>
      <x:c r="S138" s="2" t="n">
        <x:f>IF(COUNT(I138)=1,1,0)</x:f>
        <x:v>0</x:v>
      </x:c>
    </x:row>
    <x:row r="139" ht="46" customHeight="1">
      <x:c r="A139" s="2" t="n">
        <x:v>132</x:v>
      </x:c>
      <x:c r="B139" s="2" t="n">
        <x:v>132</x:v>
      </x:c>
      <x:c r="C139" s="12" t="n">
        <x:f>'Салық календары'!J139</x:f>
        <x:v>46555</x:v>
      </x:c>
      <x:c r="D139" s="13" t="str">
        <x:v>Норезидент дәраматы салығы есабаты</x:v>
      </x:c>
      <x:c r="E139" s="14" t="n">
        <x:v>46558</x:v>
      </x:c>
      <x:c r="F139" s="14" t="str">
        <x:f>IF('Салық календары'!F139="","",'Салық календары'!F139)</x:f>
      </x:c>
      <x:c r="G139" s="2" t="str">
        <x:v>2027-05</x:v>
      </x:c>
      <x:c r="H139" s="2" t="str">
        <x:v>P</x:v>
      </x:c>
      <x:c r="I139" s="10" t="str">
        <x:f>IF(AND(COUNTIFS('Клиентлер'!$T$8:$T$31,1)=24,COUNT('Клиентлер'!$P$8:$P$31)=24),COUNTIFS('Клиентлер'!$P$8:$P$31,1,'Клиентлер'!$T$8:$T$31,1),"")</x:f>
      </x:c>
      <x:c r="J139" s="10"/>
      <x:c r="K139" s="2" t="n">
        <x:f>SUMIFS('Күнлик есабат'!$F$8:$F$507,'Күнлик есабат'!$C$8:$C$507,A139,'Күнлик есабат'!$L$8:$L$507,0,'Күнлик есабат'!$M$8:$M$507,0)-SUMIFS('Күнлик есабат'!$H$8:$H$507,'Күнлик есабат'!$C$8:$C$507,A139,'Күнлик есабат'!$L$8:$L$507,0,'Күнлик есабат'!$M$8:$M$507,0)</x:f>
        <x:v>0</x:v>
      </x:c>
      <x:c r="L139" s="2" t="n">
        <x:f>SUMIFS('Күнлик есабат'!$G$8:$G$507,'Күнлик есабат'!$C$8:$C$507,A139,'Күнлик есабат'!$L$8:$L$507,0,'Күнлик есабат'!$M$8:$M$507,0)</x:f>
        <x:v>0</x:v>
      </x:c>
      <x:c r="M139" s="2" t="str">
        <x:f>IF(I139="","",MAX(I139-K139,0))</x:f>
      </x:c>
      <x:c r="N139" s="16" t="str">
        <x:f>IF(OR(I139="",I139=0),"",MIN(K139/I139,1))</x:f>
      </x:c>
      <x:c r="O139" s="2" t="n">
        <x:f>24-COUNTIFS('Клиентлер'!$T$8:$T$31,1)</x:f>
        <x:v>24</x:v>
      </x:c>
      <x:c r="P139" s="2" t="n">
        <x:f>IF(AND('Салық календары'!G139=1,ISNUMBER('Салық календары'!F139)),1,0)</x:f>
        <x:v>0</x:v>
      </x:c>
      <x:c r="Q139" s="2" t="str">
        <x:v>Салық</x:v>
      </x:c>
      <x:c r="R139" s="10"/>
      <x:c r="S139" s="2" t="n">
        <x:f>IF(COUNT(I139)=1,1,0)</x:f>
        <x:v>0</x:v>
      </x:c>
    </x:row>
    <x:row r="140" ht="46" customHeight="1">
      <x:c r="A140" s="2" t="n">
        <x:v>133</x:v>
      </x:c>
      <x:c r="B140" s="2" t="n">
        <x:v>133</x:v>
      </x:c>
      <x:c r="C140" s="12" t="n">
        <x:f>'Салық календары'!J140</x:f>
        <x:v>46555</x:v>
      </x:c>
      <x:c r="D140" s="13" t="str">
        <x:v>Жер қойнаўынан пайдаланыў есабаты</x:v>
      </x:c>
      <x:c r="E140" s="14" t="n">
        <x:v>46558</x:v>
      </x:c>
      <x:c r="F140" s="14" t="str">
        <x:f>IF('Салық календары'!F140="","",'Салық календары'!F140)</x:f>
      </x:c>
      <x:c r="G140" s="2" t="str">
        <x:v>2027-05</x:v>
      </x:c>
      <x:c r="H140" s="2" t="str">
        <x:v>Q</x:v>
      </x:c>
      <x:c r="I140" s="10" t="str">
        <x:f>IF(AND(COUNTIFS('Клиентлер'!$T$8:$T$31,1)=24,COUNT('Клиентлер'!$Q$8:$Q$31)=24),COUNTIFS('Клиентлер'!$Q$8:$Q$31,1,'Клиентлер'!$T$8:$T$31,1),"")</x:f>
      </x:c>
      <x:c r="J140" s="10"/>
      <x:c r="K140" s="2" t="n">
        <x:f>SUMIFS('Күнлик есабат'!$F$8:$F$507,'Күнлик есабат'!$C$8:$C$507,A140,'Күнлик есабат'!$L$8:$L$507,0,'Күнлик есабат'!$M$8:$M$507,0)-SUMIFS('Күнлик есабат'!$H$8:$H$507,'Күнлик есабат'!$C$8:$C$507,A140,'Күнлик есабат'!$L$8:$L$507,0,'Күнлик есабат'!$M$8:$M$507,0)</x:f>
        <x:v>0</x:v>
      </x:c>
      <x:c r="L140" s="2" t="n">
        <x:f>SUMIFS('Күнлик есабат'!$G$8:$G$507,'Күнлик есабат'!$C$8:$C$507,A140,'Күнлик есабат'!$L$8:$L$507,0,'Күнлик есабат'!$M$8:$M$507,0)</x:f>
        <x:v>0</x:v>
      </x:c>
      <x:c r="M140" s="2" t="str">
        <x:f>IF(I140="","",MAX(I140-K140,0))</x:f>
      </x:c>
      <x:c r="N140" s="16" t="str">
        <x:f>IF(OR(I140="",I140=0),"",MIN(K140/I140,1))</x:f>
      </x:c>
      <x:c r="O140" s="2" t="n">
        <x:f>24-COUNTIFS('Клиентлер'!$T$8:$T$31,1)</x:f>
        <x:v>24</x:v>
      </x:c>
      <x:c r="P140" s="2" t="n">
        <x:f>IF(AND('Салық календары'!G140=1,ISNUMBER('Салық календары'!F140)),1,0)</x:f>
        <x:v>0</x:v>
      </x:c>
      <x:c r="Q140" s="2" t="str">
        <x:v>Салық</x:v>
      </x:c>
      <x:c r="R140" s="10"/>
      <x:c r="S140" s="2" t="n">
        <x:f>IF(COUNT(I140)=1,1,0)</x:f>
        <x:v>0</x:v>
      </x:c>
    </x:row>
    <x:row r="141" ht="46" customHeight="1">
      <x:c r="A141" s="2" t="n">
        <x:v>134</x:v>
      </x:c>
      <x:c r="B141" s="2" t="n">
        <x:v>134</x:v>
      </x:c>
      <x:c r="C141" s="12" t="n">
        <x:f>'Салық календары'!J141</x:f>
        <x:v>46558</x:v>
      </x:c>
      <x:c r="D141" s="13" t="str">
        <x:v>Пайда салығы авансы</x:v>
      </x:c>
      <x:c r="E141" s="14" t="n">
        <x:v>46561</x:v>
      </x:c>
      <x:c r="F141" s="14" t="str">
        <x:f>IF('Салық календары'!F141="","",'Салық календары'!F141)</x:f>
      </x:c>
      <x:c r="G141" s="2" t="str">
        <x:v>2027-06</x:v>
      </x:c>
      <x:c r="H141" s="2" t="str">
        <x:v>M</x:v>
      </x:c>
      <x:c r="I141" s="10" t="str">
        <x:f>IF(AND(COUNTIFS('Клиентлер'!$T$8:$T$31,1)=24,COUNT('Клиентлер'!$M$8:$M$31)=24),COUNTIFS('Клиентлер'!$M$8:$M$31,1,'Клиентлер'!$T$8:$T$31,1),"")</x:f>
      </x:c>
      <x:c r="J141" s="10"/>
      <x:c r="K141" s="2" t="n">
        <x:f>SUMIFS('Күнлик есабат'!$F$8:$F$507,'Күнлик есабат'!$C$8:$C$507,A141,'Күнлик есабат'!$L$8:$L$507,0,'Күнлик есабат'!$M$8:$M$507,0)-SUMIFS('Күнлик есабат'!$H$8:$H$507,'Күнлик есабат'!$C$8:$C$507,A141,'Күнлик есабат'!$L$8:$L$507,0,'Күнлик есабат'!$M$8:$M$507,0)</x:f>
        <x:v>0</x:v>
      </x:c>
      <x:c r="L141" s="2" t="n">
        <x:f>SUMIFS('Күнлик есабат'!$G$8:$G$507,'Күнлик есабат'!$C$8:$C$507,A141,'Күнлик есабат'!$L$8:$L$507,0,'Күнлик есабат'!$M$8:$M$507,0)</x:f>
        <x:v>0</x:v>
      </x:c>
      <x:c r="M141" s="2" t="str">
        <x:f>IF(I141="","",MAX(I141-K141,0))</x:f>
      </x:c>
      <x:c r="N141" s="16" t="str">
        <x:f>IF(OR(I141="",I141=0),"",MIN(K141/I141,1))</x:f>
      </x:c>
      <x:c r="O141" s="2" t="n">
        <x:f>24-COUNTIFS('Клиентлер'!$T$8:$T$31,1)</x:f>
        <x:v>24</x:v>
      </x:c>
      <x:c r="P141" s="2" t="n">
        <x:f>IF(AND('Салық календары'!G141=1,ISNUMBER('Салық календары'!F141)),1,0)</x:f>
        <x:v>0</x:v>
      </x:c>
      <x:c r="Q141" s="2" t="str">
        <x:v>Салық</x:v>
      </x:c>
      <x:c r="R141" s="10"/>
      <x:c r="S141" s="2" t="n">
        <x:f>IF(COUNT(I141)=1,1,0)</x:f>
        <x:v>0</x:v>
      </x:c>
    </x:row>
    <x:row r="142" ht="46" customHeight="1">
      <x:c r="A142" s="2" t="n">
        <x:v>135</x:v>
      </x:c>
      <x:c r="B142" s="2" t="n">
        <x:v>135</x:v>
      </x:c>
      <x:c r="C142" s="12" t="n">
        <x:f>'Салық календары'!J142</x:f>
        <x:v>46545</x:v>
      </x:c>
      <x:c r="D142" s="13" t="str">
        <x:v>Мүлк салығы айлық авансы</x:v>
      </x:c>
      <x:c r="E142" s="14" t="n">
        <x:v>46548</x:v>
      </x:c>
      <x:c r="F142" s="14" t="str">
        <x:f>IF('Салық календары'!F142="","",'Салық календары'!F142)</x:f>
      </x:c>
      <x:c r="G142" s="2" t="str">
        <x:v>2027-06</x:v>
      </x:c>
      <x:c r="H142" s="2" t="str">
        <x:v>J</x:v>
      </x:c>
      <x:c r="I142" s="10" t="str">
        <x:f>IF(AND(COUNTIFS('Клиентлер'!$T$8:$T$31,1)=24,COUNT('Клиентлер'!$J$8:$J$31)=24),COUNTIFS('Клиентлер'!$J$8:$J$31,1,'Клиентлер'!$T$8:$T$31,1,'Клиентлер'!$G$8:$G$31,0),"")</x:f>
      </x:c>
      <x:c r="J142" s="10"/>
      <x:c r="K142" s="2" t="n">
        <x:f>SUMIFS('Күнлик есабат'!$F$8:$F$507,'Күнлик есабат'!$C$8:$C$507,A142,'Күнлик есабат'!$L$8:$L$507,0,'Күнлик есабат'!$M$8:$M$507,0)-SUMIFS('Күнлик есабат'!$H$8:$H$507,'Күнлик есабат'!$C$8:$C$507,A142,'Күнлик есабат'!$L$8:$L$507,0,'Күнлик есабат'!$M$8:$M$507,0)</x:f>
        <x:v>0</x:v>
      </x:c>
      <x:c r="L142" s="2" t="n">
        <x:f>SUMIFS('Күнлик есабат'!$G$8:$G$507,'Күнлик есабат'!$C$8:$C$507,A142,'Күнлик есабат'!$L$8:$L$507,0,'Күнлик есабат'!$M$8:$M$507,0)</x:f>
        <x:v>0</x:v>
      </x:c>
      <x:c r="M142" s="2" t="str">
        <x:f>IF(I142="","",MAX(I142-K142,0))</x:f>
      </x:c>
      <x:c r="N142" s="16" t="str">
        <x:f>IF(OR(I142="",I142=0),"",MIN(K142/I142,1))</x:f>
      </x:c>
      <x:c r="O142" s="2" t="n">
        <x:f>24-COUNTIFS('Клиентлер'!$T$8:$T$31,1)</x:f>
        <x:v>24</x:v>
      </x:c>
      <x:c r="P142" s="2" t="n">
        <x:f>IF(AND('Салық календары'!G142=1,ISNUMBER('Салық календары'!F142)),1,0)</x:f>
        <x:v>0</x:v>
      </x:c>
      <x:c r="Q142" s="2" t="str">
        <x:v>Салық</x:v>
      </x:c>
      <x:c r="R142" s="10"/>
      <x:c r="S142" s="2" t="n">
        <x:f>IF(COUNT(I142)=1,1,0)</x:f>
        <x:v>0</x:v>
      </x:c>
    </x:row>
    <x:row r="143" ht="46" customHeight="1">
      <x:c r="A143" s="2" t="n">
        <x:v>136</x:v>
      </x:c>
      <x:c r="B143" s="2" t="n">
        <x:v>136</x:v>
      </x:c>
      <x:c r="C143" s="12" t="n">
        <x:f>'Салық календары'!J143</x:f>
        <x:v>46545</x:v>
      </x:c>
      <x:c r="D143" s="13" t="str">
        <x:v>Жер салығы айлық төлеми</x:v>
      </x:c>
      <x:c r="E143" s="14" t="n">
        <x:v>46548</x:v>
      </x:c>
      <x:c r="F143" s="14" t="str">
        <x:f>IF('Салық календары'!F143="","",'Салық календары'!F143)</x:f>
      </x:c>
      <x:c r="G143" s="2" t="str">
        <x:v>2027-06</x:v>
      </x:c>
      <x:c r="H143" s="2" t="str">
        <x:v>K</x:v>
      </x:c>
      <x:c r="I143" s="10" t="str">
        <x:f>IF(AND(COUNTIFS('Клиентлер'!$T$8:$T$31,1)=24,COUNT('Клиентлер'!$K$8:$K$31)=24),COUNTIFS('Клиентлер'!$K$8:$K$31,1,'Клиентлер'!$T$8:$T$31,1,'Клиентлер'!$G$8:$G$31,0),"")</x:f>
      </x:c>
      <x:c r="J143" s="10"/>
      <x:c r="K143" s="2" t="n">
        <x:f>SUMIFS('Күнлик есабат'!$F$8:$F$507,'Күнлик есабат'!$C$8:$C$507,A143,'Күнлик есабат'!$L$8:$L$507,0,'Күнлик есабат'!$M$8:$M$507,0)-SUMIFS('Күнлик есабат'!$H$8:$H$507,'Күнлик есабат'!$C$8:$C$507,A143,'Күнлик есабат'!$L$8:$L$507,0,'Күнлик есабат'!$M$8:$M$507,0)</x:f>
        <x:v>0</x:v>
      </x:c>
      <x:c r="L143" s="2" t="n">
        <x:f>SUMIFS('Күнлик есабат'!$G$8:$G$507,'Күнлик есабат'!$C$8:$C$507,A143,'Күнлик есабат'!$L$8:$L$507,0,'Күнлик есабат'!$M$8:$M$507,0)</x:f>
        <x:v>0</x:v>
      </x:c>
      <x:c r="M143" s="2" t="str">
        <x:f>IF(I143="","",MAX(I143-K143,0))</x:f>
      </x:c>
      <x:c r="N143" s="16" t="str">
        <x:f>IF(OR(I143="",I143=0),"",MIN(K143/I143,1))</x:f>
      </x:c>
      <x:c r="O143" s="2" t="n">
        <x:f>24-COUNTIFS('Клиентлер'!$T$8:$T$31,1)</x:f>
        <x:v>24</x:v>
      </x:c>
      <x:c r="P143" s="2" t="n">
        <x:f>IF(AND('Салық календары'!G143=1,ISNUMBER('Салық календары'!F143)),1,0)</x:f>
        <x:v>0</x:v>
      </x:c>
      <x:c r="Q143" s="2" t="str">
        <x:v>Салық</x:v>
      </x:c>
      <x:c r="R143" s="10"/>
      <x:c r="S143" s="2" t="n">
        <x:f>IF(COUNT(I143)=1,1,0)</x:f>
        <x:v>0</x:v>
      </x:c>
    </x:row>
    <x:row r="144" ht="46" customHeight="1">
      <x:c r="A144" s="2" t="n">
        <x:v>137</x:v>
      </x:c>
      <x:c r="B144" s="2" t="n">
        <x:v>137</x:v>
      </x:c>
      <x:c r="C144" s="12" t="n">
        <x:f>'Салық календары'!J144</x:f>
        <x:v>46555</x:v>
      </x:c>
      <x:c r="D144" s="13" t="str">
        <x:v>Суў салығы айлық авансы</x:v>
      </x:c>
      <x:c r="E144" s="14" t="n">
        <x:v>46558</x:v>
      </x:c>
      <x:c r="F144" s="14" t="str">
        <x:f>IF('Салық календары'!F144="","",'Салық календары'!F144)</x:f>
      </x:c>
      <x:c r="G144" s="2" t="str">
        <x:v>2027-06</x:v>
      </x:c>
      <x:c r="H144" s="2" t="str">
        <x:v>V</x:v>
      </x:c>
      <x:c r="I144" s="10" t="str">
        <x:f>IF(AND(COUNTIFS('Клиентлер'!$T$8:$T$31,1)=24,COUNT('Клиентлер'!$V$8:$V$31)=24),COUNTIFS('Клиентлер'!$V$8:$V$31,1,'Клиентлер'!$T$8:$T$31,1,'Клиентлер'!$G$8:$G$31,0),"")</x:f>
      </x:c>
      <x:c r="J144" s="10"/>
      <x:c r="K144" s="2" t="n">
        <x:f>SUMIFS('Күнлик есабат'!$F$8:$F$507,'Күнлик есабат'!$C$8:$C$507,A144,'Күнлик есабат'!$L$8:$L$507,0,'Күнлик есабат'!$M$8:$M$507,0)-SUMIFS('Күнлик есабат'!$H$8:$H$507,'Күнлик есабат'!$C$8:$C$507,A144,'Күнлик есабат'!$L$8:$L$507,0,'Күнлик есабат'!$M$8:$M$507,0)</x:f>
        <x:v>0</x:v>
      </x:c>
      <x:c r="L144" s="2" t="n">
        <x:f>SUMIFS('Күнлик есабат'!$G$8:$G$507,'Күнлик есабат'!$C$8:$C$507,A144,'Күнлик есабат'!$L$8:$L$507,0,'Күнлик есабат'!$M$8:$M$507,0)</x:f>
        <x:v>0</x:v>
      </x:c>
      <x:c r="M144" s="2" t="str">
        <x:f>IF(I144="","",MAX(I144-K144,0))</x:f>
      </x:c>
      <x:c r="N144" s="16" t="str">
        <x:f>IF(OR(I144="",I144=0),"",MIN(K144/I144,1))</x:f>
      </x:c>
      <x:c r="O144" s="2" t="n">
        <x:f>24-COUNTIFS('Клиентлер'!$T$8:$T$31,1)</x:f>
        <x:v>24</x:v>
      </x:c>
      <x:c r="P144" s="2" t="n">
        <x:f>IF(AND('Салық календары'!G144=1,ISNUMBER('Салық календары'!F144)),1,0)</x:f>
        <x:v>0</x:v>
      </x:c>
      <x:c r="Q144" s="2" t="str">
        <x:v>Салық</x:v>
      </x:c>
      <x:c r="R144" s="10"/>
      <x:c r="S144" s="2" t="n">
        <x:f>IF(COUNT(I144)=1,1,0)</x:f>
        <x:v>0</x:v>
      </x:c>
    </x:row>
    <x:row r="145" ht="46" customHeight="1">
      <x:c r="A145" s="2" t="n">
        <x:v>138</x:v>
      </x:c>
      <x:c r="B145" s="2" t="n">
        <x:v>138</x:v>
      </x:c>
      <x:c r="C145" s="12" t="n">
        <x:f>'Салық календары'!J145</x:f>
        <x:v>46585</x:v>
      </x:c>
      <x:c r="D145" s="13" t="str">
        <x:v>ҚҚС есабаты</x:v>
      </x:c>
      <x:c r="E145" s="14" t="n">
        <x:v>46588</x:v>
      </x:c>
      <x:c r="F145" s="14" t="str">
        <x:f>IF('Салық календары'!F145="","",'Салық календары'!F145)</x:f>
      </x:c>
      <x:c r="G145" s="2" t="str">
        <x:v>2027-06</x:v>
      </x:c>
      <x:c r="H145" s="2" t="str">
        <x:v>F</x:v>
      </x:c>
      <x:c r="I145" s="10" t="str">
        <x:f>IF(AND(COUNTIFS('Клиентлер'!$T$8:$T$31,1)=24,COUNT('Клиентлер'!$F$8:$F$31)=24),COUNTIFS('Клиентлер'!$F$8:$F$31,1,'Клиентлер'!$T$8:$T$31,1),"")</x:f>
      </x:c>
      <x:c r="J145" s="10"/>
      <x:c r="K145" s="2" t="n">
        <x:f>SUMIFS('Күнлик есабат'!$F$8:$F$507,'Күнлик есабат'!$C$8:$C$507,A145,'Күнлик есабат'!$L$8:$L$507,0,'Күнлик есабат'!$M$8:$M$507,0)-SUMIFS('Күнлик есабат'!$H$8:$H$507,'Күнлик есабат'!$C$8:$C$507,A145,'Күнлик есабат'!$L$8:$L$507,0,'Күнлик есабат'!$M$8:$M$507,0)</x:f>
        <x:v>0</x:v>
      </x:c>
      <x:c r="L145" s="2" t="n">
        <x:f>SUMIFS('Күнлик есабат'!$G$8:$G$507,'Күнлик есабат'!$C$8:$C$507,A145,'Күнлик есабат'!$L$8:$L$507,0,'Күнлик есабат'!$M$8:$M$507,0)</x:f>
        <x:v>0</x:v>
      </x:c>
      <x:c r="M145" s="2" t="str">
        <x:f>IF(I145="","",MAX(I145-K145,0))</x:f>
      </x:c>
      <x:c r="N145" s="16" t="str">
        <x:f>IF(OR(I145="",I145=0),"",MIN(K145/I145,1))</x:f>
      </x:c>
      <x:c r="O145" s="2" t="n">
        <x:f>24-COUNTIFS('Клиентлер'!$T$8:$T$31,1)</x:f>
        <x:v>24</x:v>
      </x:c>
      <x:c r="P145" s="2" t="n">
        <x:f>IF(AND('Салық календары'!G145=1,ISNUMBER('Салық календары'!F145)),1,0)</x:f>
        <x:v>0</x:v>
      </x:c>
      <x:c r="Q145" s="2" t="str">
        <x:v>Салық</x:v>
      </x:c>
      <x:c r="R145" s="10"/>
      <x:c r="S145" s="2" t="n">
        <x:f>IF(COUNT(I145)=1,1,0)</x:f>
        <x:v>0</x:v>
      </x:c>
    </x:row>
    <x:row r="146" ht="46" customHeight="1">
      <x:c r="A146" s="2" t="n">
        <x:v>139</x:v>
      </x:c>
      <x:c r="B146" s="2" t="n">
        <x:v>139</x:v>
      </x:c>
      <x:c r="C146" s="12" t="n">
        <x:f>'Салық календары'!J146</x:f>
        <x:v>46585</x:v>
      </x:c>
      <x:c r="D146" s="13" t="str">
        <x:v>ҚҚС төлеми</x:v>
      </x:c>
      <x:c r="E146" s="14" t="n">
        <x:v>46588</x:v>
      </x:c>
      <x:c r="F146" s="14" t="str">
        <x:f>IF('Салық календары'!F146="","",'Салық календары'!F146)</x:f>
      </x:c>
      <x:c r="G146" s="2" t="str">
        <x:v>2027-06</x:v>
      </x:c>
      <x:c r="H146" s="2" t="str">
        <x:v>F</x:v>
      </x:c>
      <x:c r="I146" s="10" t="str">
        <x:f>IF(AND(COUNTIFS('Клиентлер'!$T$8:$T$31,1)=24,COUNT('Клиентлер'!$F$8:$F$31)=24),COUNTIFS('Клиентлер'!$F$8:$F$31,1,'Клиентлер'!$T$8:$T$31,1),"")</x:f>
      </x:c>
      <x:c r="J146" s="10"/>
      <x:c r="K146" s="2" t="n">
        <x:f>SUMIFS('Күнлик есабат'!$F$8:$F$507,'Күнлик есабат'!$C$8:$C$507,A146,'Күнлик есабат'!$L$8:$L$507,0,'Күнлик есабат'!$M$8:$M$507,0)-SUMIFS('Күнлик есабат'!$H$8:$H$507,'Күнлик есабат'!$C$8:$C$507,A146,'Күнлик есабат'!$L$8:$L$507,0,'Күнлик есабат'!$M$8:$M$507,0)</x:f>
        <x:v>0</x:v>
      </x:c>
      <x:c r="L146" s="2" t="n">
        <x:f>SUMIFS('Күнлик есабат'!$G$8:$G$507,'Күнлик есабат'!$C$8:$C$507,A146,'Күнлик есабат'!$L$8:$L$507,0,'Күнлик есабат'!$M$8:$M$507,0)</x:f>
        <x:v>0</x:v>
      </x:c>
      <x:c r="M146" s="2" t="str">
        <x:f>IF(I146="","",MAX(I146-K146,0))</x:f>
      </x:c>
      <x:c r="N146" s="16" t="str">
        <x:f>IF(OR(I146="",I146=0),"",MIN(K146/I146,1))</x:f>
      </x:c>
      <x:c r="O146" s="2" t="n">
        <x:f>24-COUNTIFS('Клиентлер'!$T$8:$T$31,1)</x:f>
        <x:v>24</x:v>
      </x:c>
      <x:c r="P146" s="2" t="n">
        <x:f>IF(AND('Салық календары'!G146=1,ISNUMBER('Салық календары'!F146)),1,0)</x:f>
        <x:v>0</x:v>
      </x:c>
      <x:c r="Q146" s="2" t="str">
        <x:v>Салық</x:v>
      </x:c>
      <x:c r="R146" s="10"/>
      <x:c r="S146" s="2" t="n">
        <x:f>IF(COUNT(I146)=1,1,0)</x:f>
        <x:v>0</x:v>
      </x:c>
    </x:row>
    <x:row r="147" ht="46" customHeight="1">
      <x:c r="A147" s="2" t="n">
        <x:v>140</x:v>
      </x:c>
      <x:c r="B147" s="2" t="n">
        <x:v>140</x:v>
      </x:c>
      <x:c r="C147" s="12" t="n">
        <x:f>'Салық календары'!J147</x:f>
        <x:v>46580</x:v>
      </x:c>
      <x:c r="D147" s="13" t="str">
        <x:v>Айланба салығы есабаты</x:v>
      </x:c>
      <x:c r="E147" s="14" t="n">
        <x:v>46583</x:v>
      </x:c>
      <x:c r="F147" s="14" t="str">
        <x:f>IF('Салық календары'!F147="","",'Салық календары'!F147)</x:f>
      </x:c>
      <x:c r="G147" s="2" t="str">
        <x:v>2027-06</x:v>
      </x:c>
      <x:c r="H147" s="2" t="str">
        <x:v>G</x:v>
      </x:c>
      <x:c r="I147" s="10" t="str">
        <x:f>IF(AND(COUNTIFS('Клиентлер'!$T$8:$T$31,1)=24,COUNT('Клиентлер'!$G$8:$G$31)=24),COUNTIFS('Клиентлер'!$G$8:$G$31,1,'Клиентлер'!$T$8:$T$31,1),"")</x:f>
      </x:c>
      <x:c r="J147" s="10"/>
      <x:c r="K147" s="2" t="n">
        <x:f>SUMIFS('Күнлик есабат'!$F$8:$F$507,'Күнлик есабат'!$C$8:$C$507,A147,'Күнлик есабат'!$L$8:$L$507,0,'Күнлик есабат'!$M$8:$M$507,0)-SUMIFS('Күнлик есабат'!$H$8:$H$507,'Күнлик есабат'!$C$8:$C$507,A147,'Күнлик есабат'!$L$8:$L$507,0,'Күнлик есабат'!$M$8:$M$507,0)</x:f>
        <x:v>0</x:v>
      </x:c>
      <x:c r="L147" s="2" t="n">
        <x:f>SUMIFS('Күнлик есабат'!$G$8:$G$507,'Күнлик есабат'!$C$8:$C$507,A147,'Күнлик есабат'!$L$8:$L$507,0,'Күнлик есабат'!$M$8:$M$507,0)</x:f>
        <x:v>0</x:v>
      </x:c>
      <x:c r="M147" s="2" t="str">
        <x:f>IF(I147="","",MAX(I147-K147,0))</x:f>
      </x:c>
      <x:c r="N147" s="16" t="str">
        <x:f>IF(OR(I147="",I147=0),"",MIN(K147/I147,1))</x:f>
      </x:c>
      <x:c r="O147" s="2" t="n">
        <x:f>24-COUNTIFS('Клиентлер'!$T$8:$T$31,1)</x:f>
        <x:v>24</x:v>
      </x:c>
      <x:c r="P147" s="2" t="n">
        <x:f>IF(AND('Салық календары'!G147=1,ISNUMBER('Салық календары'!F147)),1,0)</x:f>
        <x:v>0</x:v>
      </x:c>
      <x:c r="Q147" s="2" t="str">
        <x:v>Салық</x:v>
      </x:c>
      <x:c r="R147" s="10"/>
      <x:c r="S147" s="2" t="n">
        <x:f>IF(COUNT(I147)=1,1,0)</x:f>
        <x:v>0</x:v>
      </x:c>
    </x:row>
    <x:row r="148" ht="46" customHeight="1">
      <x:c r="A148" s="2" t="n">
        <x:v>141</x:v>
      </x:c>
      <x:c r="B148" s="2" t="n">
        <x:v>141</x:v>
      </x:c>
      <x:c r="C148" s="12" t="n">
        <x:f>'Салық календары'!J148</x:f>
        <x:v>46580</x:v>
      </x:c>
      <x:c r="D148" s="13" t="str">
        <x:v>Айланба салығы төлеми</x:v>
      </x:c>
      <x:c r="E148" s="14" t="n">
        <x:v>46583</x:v>
      </x:c>
      <x:c r="F148" s="14" t="str">
        <x:f>IF('Салық календары'!F148="","",'Салық календары'!F148)</x:f>
      </x:c>
      <x:c r="G148" s="2" t="str">
        <x:v>2027-06</x:v>
      </x:c>
      <x:c r="H148" s="2" t="str">
        <x:v>G</x:v>
      </x:c>
      <x:c r="I148" s="10" t="str">
        <x:f>IF(AND(COUNTIFS('Клиентлер'!$T$8:$T$31,1)=24,COUNT('Клиентлер'!$G$8:$G$31)=24),COUNTIFS('Клиентлер'!$G$8:$G$31,1,'Клиентлер'!$T$8:$T$31,1),"")</x:f>
      </x:c>
      <x:c r="J148" s="10"/>
      <x:c r="K148" s="2" t="n">
        <x:f>SUMIFS('Күнлик есабат'!$F$8:$F$507,'Күнлик есабат'!$C$8:$C$507,A148,'Күнлик есабат'!$L$8:$L$507,0,'Күнлик есабат'!$M$8:$M$507,0)-SUMIFS('Күнлик есабат'!$H$8:$H$507,'Күнлик есабат'!$C$8:$C$507,A148,'Күнлик есабат'!$L$8:$L$507,0,'Күнлик есабат'!$M$8:$M$507,0)</x:f>
        <x:v>0</x:v>
      </x:c>
      <x:c r="L148" s="2" t="n">
        <x:f>SUMIFS('Күнлик есабат'!$G$8:$G$507,'Күнлик есабат'!$C$8:$C$507,A148,'Күнлик есабат'!$L$8:$L$507,0,'Күнлик есабат'!$M$8:$M$507,0)</x:f>
        <x:v>0</x:v>
      </x:c>
      <x:c r="M148" s="2" t="str">
        <x:f>IF(I148="","",MAX(I148-K148,0))</x:f>
      </x:c>
      <x:c r="N148" s="16" t="str">
        <x:f>IF(OR(I148="",I148=0),"",MIN(K148/I148,1))</x:f>
      </x:c>
      <x:c r="O148" s="2" t="n">
        <x:f>24-COUNTIFS('Клиентлер'!$T$8:$T$31,1)</x:f>
        <x:v>24</x:v>
      </x:c>
      <x:c r="P148" s="2" t="n">
        <x:f>IF(AND('Салық календары'!G148=1,ISNUMBER('Салық календары'!F148)),1,0)</x:f>
        <x:v>0</x:v>
      </x:c>
      <x:c r="Q148" s="2" t="str">
        <x:v>Салық</x:v>
      </x:c>
      <x:c r="R148" s="10"/>
      <x:c r="S148" s="2" t="n">
        <x:f>IF(COUNT(I148)=1,1,0)</x:f>
        <x:v>0</x:v>
      </x:c>
    </x:row>
    <x:row r="149" ht="46" customHeight="1">
      <x:c r="A149" s="2" t="n">
        <x:v>142</x:v>
      </x:c>
      <x:c r="B149" s="2" t="n">
        <x:v>142</x:v>
      </x:c>
      <x:c r="C149" s="12" t="n">
        <x:f>'Салық календары'!J149</x:f>
        <x:v>46580</x:v>
      </x:c>
      <x:c r="D149" s="13" t="str">
        <x:v>Дәрамат салығы есабаты</x:v>
      </x:c>
      <x:c r="E149" s="14" t="n">
        <x:v>46583</x:v>
      </x:c>
      <x:c r="F149" s="14" t="str">
        <x:f>IF('Салық календары'!F149="","",'Салық календары'!F149)</x:f>
      </x:c>
      <x:c r="G149" s="2" t="str">
        <x:v>2027-06</x:v>
      </x:c>
      <x:c r="H149" s="2" t="str">
        <x:v>I</x:v>
      </x:c>
      <x:c r="I149" s="10" t="str">
        <x:f>IF(AND(COUNTIFS('Клиентлер'!$T$8:$T$31,1)=24,COUNT('Клиентлер'!$I$8:$I$31)=24),COUNTIFS('Клиентлер'!$I$8:$I$31,1,'Клиентлер'!$T$8:$T$31,1),"")</x:f>
      </x:c>
      <x:c r="J149" s="10"/>
      <x:c r="K149" s="2" t="n">
        <x:f>SUMIFS('Күнлик есабат'!$F$8:$F$507,'Күнлик есабат'!$C$8:$C$507,A149,'Күнлик есабат'!$L$8:$L$507,0,'Күнлик есабат'!$M$8:$M$507,0)-SUMIFS('Күнлик есабат'!$H$8:$H$507,'Күнлик есабат'!$C$8:$C$507,A149,'Күнлик есабат'!$L$8:$L$507,0,'Күнлик есабат'!$M$8:$M$507,0)</x:f>
        <x:v>0</x:v>
      </x:c>
      <x:c r="L149" s="2" t="n">
        <x:f>SUMIFS('Күнлик есабат'!$G$8:$G$507,'Күнлик есабат'!$C$8:$C$507,A149,'Күнлик есабат'!$L$8:$L$507,0,'Күнлик есабат'!$M$8:$M$507,0)</x:f>
        <x:v>0</x:v>
      </x:c>
      <x:c r="M149" s="2" t="str">
        <x:f>IF(I149="","",MAX(I149-K149,0))</x:f>
      </x:c>
      <x:c r="N149" s="16" t="str">
        <x:f>IF(OR(I149="",I149=0),"",MIN(K149/I149,1))</x:f>
      </x:c>
      <x:c r="O149" s="2" t="n">
        <x:f>24-COUNTIFS('Клиентлер'!$T$8:$T$31,1)</x:f>
        <x:v>24</x:v>
      </x:c>
      <x:c r="P149" s="2" t="n">
        <x:f>IF(AND('Салық календары'!G149=1,ISNUMBER('Салық календары'!F149)),1,0)</x:f>
        <x:v>0</x:v>
      </x:c>
      <x:c r="Q149" s="2" t="str">
        <x:v>Салық</x:v>
      </x:c>
      <x:c r="R149" s="10"/>
      <x:c r="S149" s="2" t="n">
        <x:f>IF(COUNT(I149)=1,1,0)</x:f>
        <x:v>0</x:v>
      </x:c>
    </x:row>
    <x:row r="150" ht="46" customHeight="1">
      <x:c r="A150" s="2" t="n">
        <x:v>143</x:v>
      </x:c>
      <x:c r="B150" s="2" t="n">
        <x:v>143</x:v>
      </x:c>
      <x:c r="C150" s="12" t="n">
        <x:f>'Салық календары'!J150</x:f>
        <x:v>46580</x:v>
      </x:c>
      <x:c r="D150" s="13" t="str">
        <x:v>Социаллық салық есабаты</x:v>
      </x:c>
      <x:c r="E150" s="14" t="n">
        <x:v>46583</x:v>
      </x:c>
      <x:c r="F150" s="14" t="str">
        <x:f>IF('Салық календары'!F150="","",'Салық календары'!F150)</x:f>
      </x:c>
      <x:c r="G150" s="2" t="str">
        <x:v>2027-06</x:v>
      </x:c>
      <x:c r="H150" s="2" t="str">
        <x:v>I</x:v>
      </x:c>
      <x:c r="I150" s="10" t="str">
        <x:f>IF(AND(COUNTIFS('Клиентлер'!$T$8:$T$31,1)=24,COUNT('Клиентлер'!$I$8:$I$31)=24),COUNTIFS('Клиентлер'!$I$8:$I$31,1,'Клиентлер'!$T$8:$T$31,1),"")</x:f>
      </x:c>
      <x:c r="J150" s="10"/>
      <x:c r="K150" s="2" t="n">
        <x:f>SUMIFS('Күнлик есабат'!$F$8:$F$507,'Күнлик есабат'!$C$8:$C$507,A150,'Күнлик есабат'!$L$8:$L$507,0,'Күнлик есабат'!$M$8:$M$507,0)-SUMIFS('Күнлик есабат'!$H$8:$H$507,'Күнлик есабат'!$C$8:$C$507,A150,'Күнлик есабат'!$L$8:$L$507,0,'Күнлик есабат'!$M$8:$M$507,0)</x:f>
        <x:v>0</x:v>
      </x:c>
      <x:c r="L150" s="2" t="n">
        <x:f>SUMIFS('Күнлик есабат'!$G$8:$G$507,'Күнлик есабат'!$C$8:$C$507,A150,'Күнлик есабат'!$L$8:$L$507,0,'Күнлик есабат'!$M$8:$M$507,0)</x:f>
        <x:v>0</x:v>
      </x:c>
      <x:c r="M150" s="2" t="str">
        <x:f>IF(I150="","",MAX(I150-K150,0))</x:f>
      </x:c>
      <x:c r="N150" s="16" t="str">
        <x:f>IF(OR(I150="",I150=0),"",MIN(K150/I150,1))</x:f>
      </x:c>
      <x:c r="O150" s="2" t="n">
        <x:f>24-COUNTIFS('Клиентлер'!$T$8:$T$31,1)</x:f>
        <x:v>24</x:v>
      </x:c>
      <x:c r="P150" s="2" t="n">
        <x:f>IF(AND('Салық календары'!G150=1,ISNUMBER('Салық календары'!F150)),1,0)</x:f>
        <x:v>0</x:v>
      </x:c>
      <x:c r="Q150" s="2" t="str">
        <x:v>Салық</x:v>
      </x:c>
      <x:c r="R150" s="10"/>
      <x:c r="S150" s="2" t="n">
        <x:f>IF(COUNT(I150)=1,1,0)</x:f>
        <x:v>0</x:v>
      </x:c>
    </x:row>
    <x:row r="151" ht="46" customHeight="1">
      <x:c r="A151" s="2" t="n">
        <x:v>144</x:v>
      </x:c>
      <x:c r="B151" s="2" t="n">
        <x:v>144</x:v>
      </x:c>
      <x:c r="C151" s="12" t="n">
        <x:f>'Салық календары'!J151</x:f>
        <x:v>46580</x:v>
      </x:c>
      <x:c r="D151" s="13" t="str">
        <x:v>Социаллық салық төлеми</x:v>
      </x:c>
      <x:c r="E151" s="14" t="n">
        <x:v>46583</x:v>
      </x:c>
      <x:c r="F151" s="14" t="str">
        <x:f>IF('Салық календары'!F151="","",'Салық календары'!F151)</x:f>
      </x:c>
      <x:c r="G151" s="2" t="str">
        <x:v>2027-06</x:v>
      </x:c>
      <x:c r="H151" s="2" t="str">
        <x:v>I</x:v>
      </x:c>
      <x:c r="I151" s="10" t="str">
        <x:f>IF(AND(COUNTIFS('Клиентлер'!$T$8:$T$31,1)=24,COUNT('Клиентлер'!$I$8:$I$31)=24),COUNTIFS('Клиентлер'!$I$8:$I$31,1,'Клиентлер'!$T$8:$T$31,1),"")</x:f>
      </x:c>
      <x:c r="J151" s="10"/>
      <x:c r="K151" s="2" t="n">
        <x:f>SUMIFS('Күнлик есабат'!$F$8:$F$507,'Күнлик есабат'!$C$8:$C$507,A151,'Күнлик есабат'!$L$8:$L$507,0,'Күнлик есабат'!$M$8:$M$507,0)-SUMIFS('Күнлик есабат'!$H$8:$H$507,'Күнлик есабат'!$C$8:$C$507,A151,'Күнлик есабат'!$L$8:$L$507,0,'Күнлик есабат'!$M$8:$M$507,0)</x:f>
        <x:v>0</x:v>
      </x:c>
      <x:c r="L151" s="2" t="n">
        <x:f>SUMIFS('Күнлик есабат'!$G$8:$G$507,'Күнлик есабат'!$C$8:$C$507,A151,'Күнлик есабат'!$L$8:$L$507,0,'Күнлик есабат'!$M$8:$M$507,0)</x:f>
        <x:v>0</x:v>
      </x:c>
      <x:c r="M151" s="2" t="str">
        <x:f>IF(I151="","",MAX(I151-K151,0))</x:f>
      </x:c>
      <x:c r="N151" s="16" t="str">
        <x:f>IF(OR(I151="",I151=0),"",MIN(K151/I151,1))</x:f>
      </x:c>
      <x:c r="O151" s="2" t="n">
        <x:f>24-COUNTIFS('Клиентлер'!$T$8:$T$31,1)</x:f>
        <x:v>24</x:v>
      </x:c>
      <x:c r="P151" s="2" t="n">
        <x:f>IF(AND('Салық календары'!G151=1,ISNUMBER('Салық календары'!F151)),1,0)</x:f>
        <x:v>0</x:v>
      </x:c>
      <x:c r="Q151" s="2" t="str">
        <x:v>Салық</x:v>
      </x:c>
      <x:c r="R151" s="10"/>
      <x:c r="S151" s="2" t="n">
        <x:f>IF(COUNT(I151)=1,1,0)</x:f>
        <x:v>0</x:v>
      </x:c>
    </x:row>
    <x:row r="152" ht="46" customHeight="1">
      <x:c r="A152" s="2" t="n">
        <x:v>145</x:v>
      </x:c>
      <x:c r="B152" s="2" t="n">
        <x:v>145</x:v>
      </x:c>
      <x:c r="C152" s="12" t="n">
        <x:f>'Салық календары'!J152</x:f>
        <x:v>46575</x:v>
      </x:c>
      <x:c r="D152" s="13" t="str">
        <x:v>Акциз есабаты ҳәм төлемин тексериў</x:v>
      </x:c>
      <x:c r="E152" s="14" t="n">
        <x:v>46578</x:v>
      </x:c>
      <x:c r="F152" s="14" t="str">
        <x:f>IF('Салық календары'!F152="","",'Салық календары'!F152)</x:f>
      </x:c>
      <x:c r="G152" s="2" t="str">
        <x:v>2027-06</x:v>
      </x:c>
      <x:c r="H152" s="2" t="str">
        <x:v>N</x:v>
      </x:c>
      <x:c r="I152" s="10" t="str">
        <x:f>IF(AND(COUNTIFS('Клиентлер'!$T$8:$T$31,1)=24,COUNT('Клиентлер'!$N$8:$N$31)=24),COUNTIFS('Клиентлер'!$N$8:$N$31,1,'Клиентлер'!$T$8:$T$31,1),"")</x:f>
      </x:c>
      <x:c r="J152" s="10"/>
      <x:c r="K152" s="2" t="n">
        <x:f>SUMIFS('Күнлик есабат'!$F$8:$F$507,'Күнлик есабат'!$C$8:$C$507,A152,'Күнлик есабат'!$L$8:$L$507,0,'Күнлик есабат'!$M$8:$M$507,0)-SUMIFS('Күнлик есабат'!$H$8:$H$507,'Күнлик есабат'!$C$8:$C$507,A152,'Күнлик есабат'!$L$8:$L$507,0,'Күнлик есабат'!$M$8:$M$507,0)</x:f>
        <x:v>0</x:v>
      </x:c>
      <x:c r="L152" s="2" t="n">
        <x:f>SUMIFS('Күнлик есабат'!$G$8:$G$507,'Күнлик есабат'!$C$8:$C$507,A152,'Күнлик есабат'!$L$8:$L$507,0,'Күнлик есабат'!$M$8:$M$507,0)</x:f>
        <x:v>0</x:v>
      </x:c>
      <x:c r="M152" s="2" t="str">
        <x:f>IF(I152="","",MAX(I152-K152,0))</x:f>
      </x:c>
      <x:c r="N152" s="16" t="str">
        <x:f>IF(OR(I152="",I152=0),"",MIN(K152/I152,1))</x:f>
      </x:c>
      <x:c r="O152" s="2" t="n">
        <x:f>24-COUNTIFS('Клиентлер'!$T$8:$T$31,1)</x:f>
        <x:v>24</x:v>
      </x:c>
      <x:c r="P152" s="2" t="n">
        <x:f>IF(AND('Салық календары'!G152=1,ISNUMBER('Салық календары'!F152)),1,0)</x:f>
        <x:v>0</x:v>
      </x:c>
      <x:c r="Q152" s="2" t="str">
        <x:v>Салық</x:v>
      </x:c>
      <x:c r="R152" s="10"/>
      <x:c r="S152" s="2" t="n">
        <x:f>IF(COUNT(I152)=1,1,0)</x:f>
        <x:v>0</x:v>
      </x:c>
    </x:row>
    <x:row r="153" ht="46" customHeight="1">
      <x:c r="A153" s="2" t="n">
        <x:v>146</x:v>
      </x:c>
      <x:c r="B153" s="2" t="n">
        <x:v>146</x:v>
      </x:c>
      <x:c r="C153" s="12" t="n">
        <x:f>'Салық календары'!J153</x:f>
        <x:v>46585</x:v>
      </x:c>
      <x:c r="D153" s="13" t="str">
        <x:v>Дивиденд ҳәм процент салығы есабаты</x:v>
      </x:c>
      <x:c r="E153" s="14" t="n">
        <x:v>46588</x:v>
      </x:c>
      <x:c r="F153" s="14" t="str">
        <x:f>IF('Салық календары'!F153="","",'Салық календары'!F153)</x:f>
      </x:c>
      <x:c r="G153" s="2" t="str">
        <x:v>2027-06</x:v>
      </x:c>
      <x:c r="H153" s="2" t="str">
        <x:v>O</x:v>
      </x:c>
      <x:c r="I153" s="10" t="str">
        <x:f>IF(AND(COUNTIFS('Клиентлер'!$T$8:$T$31,1)=24,COUNT('Клиентлер'!$O$8:$O$31)=24),COUNTIFS('Клиентлер'!$O$8:$O$31,1,'Клиентлер'!$T$8:$T$31,1),"")</x:f>
      </x:c>
      <x:c r="J153" s="10"/>
      <x:c r="K153" s="2" t="n">
        <x:f>SUMIFS('Күнлик есабат'!$F$8:$F$507,'Күнлик есабат'!$C$8:$C$507,A153,'Күнлик есабат'!$L$8:$L$507,0,'Күнлик есабат'!$M$8:$M$507,0)-SUMIFS('Күнлик есабат'!$H$8:$H$507,'Күнлик есабат'!$C$8:$C$507,A153,'Күнлик есабат'!$L$8:$L$507,0,'Күнлик есабат'!$M$8:$M$507,0)</x:f>
        <x:v>0</x:v>
      </x:c>
      <x:c r="L153" s="2" t="n">
        <x:f>SUMIFS('Күнлик есабат'!$G$8:$G$507,'Күнлик есабат'!$C$8:$C$507,A153,'Күнлик есабат'!$L$8:$L$507,0,'Күнлик есабат'!$M$8:$M$507,0)</x:f>
        <x:v>0</x:v>
      </x:c>
      <x:c r="M153" s="2" t="str">
        <x:f>IF(I153="","",MAX(I153-K153,0))</x:f>
      </x:c>
      <x:c r="N153" s="16" t="str">
        <x:f>IF(OR(I153="",I153=0),"",MIN(K153/I153,1))</x:f>
      </x:c>
      <x:c r="O153" s="2" t="n">
        <x:f>24-COUNTIFS('Клиентлер'!$T$8:$T$31,1)</x:f>
        <x:v>24</x:v>
      </x:c>
      <x:c r="P153" s="2" t="n">
        <x:f>IF(AND('Салық календары'!G153=1,ISNUMBER('Салық календары'!F153)),1,0)</x:f>
        <x:v>0</x:v>
      </x:c>
      <x:c r="Q153" s="2" t="str">
        <x:v>Салық</x:v>
      </x:c>
      <x:c r="R153" s="10"/>
      <x:c r="S153" s="2" t="n">
        <x:f>IF(COUNT(I153)=1,1,0)</x:f>
        <x:v>0</x:v>
      </x:c>
    </x:row>
    <x:row r="154" ht="46" customHeight="1">
      <x:c r="A154" s="2" t="n">
        <x:v>147</x:v>
      </x:c>
      <x:c r="B154" s="2" t="n">
        <x:v>147</x:v>
      </x:c>
      <x:c r="C154" s="12" t="n">
        <x:f>'Салық календары'!J154</x:f>
        <x:v>46585</x:v>
      </x:c>
      <x:c r="D154" s="13" t="str">
        <x:v>Норезидент дәраматы салығы есабаты</x:v>
      </x:c>
      <x:c r="E154" s="14" t="n">
        <x:v>46588</x:v>
      </x:c>
      <x:c r="F154" s="14" t="str">
        <x:f>IF('Салық календары'!F154="","",'Салық календары'!F154)</x:f>
      </x:c>
      <x:c r="G154" s="2" t="str">
        <x:v>2027-06</x:v>
      </x:c>
      <x:c r="H154" s="2" t="str">
        <x:v>P</x:v>
      </x:c>
      <x:c r="I154" s="10" t="str">
        <x:f>IF(AND(COUNTIFS('Клиентлер'!$T$8:$T$31,1)=24,COUNT('Клиентлер'!$P$8:$P$31)=24),COUNTIFS('Клиентлер'!$P$8:$P$31,1,'Клиентлер'!$T$8:$T$31,1),"")</x:f>
      </x:c>
      <x:c r="J154" s="10"/>
      <x:c r="K154" s="2" t="n">
        <x:f>SUMIFS('Күнлик есабат'!$F$8:$F$507,'Күнлик есабат'!$C$8:$C$507,A154,'Күнлик есабат'!$L$8:$L$507,0,'Күнлик есабат'!$M$8:$M$507,0)-SUMIFS('Күнлик есабат'!$H$8:$H$507,'Күнлик есабат'!$C$8:$C$507,A154,'Күнлик есабат'!$L$8:$L$507,0,'Күнлик есабат'!$M$8:$M$507,0)</x:f>
        <x:v>0</x:v>
      </x:c>
      <x:c r="L154" s="2" t="n">
        <x:f>SUMIFS('Күнлик есабат'!$G$8:$G$507,'Күнлик есабат'!$C$8:$C$507,A154,'Күнлик есабат'!$L$8:$L$507,0,'Күнлик есабат'!$M$8:$M$507,0)</x:f>
        <x:v>0</x:v>
      </x:c>
      <x:c r="M154" s="2" t="str">
        <x:f>IF(I154="","",MAX(I154-K154,0))</x:f>
      </x:c>
      <x:c r="N154" s="16" t="str">
        <x:f>IF(OR(I154="",I154=0),"",MIN(K154/I154,1))</x:f>
      </x:c>
      <x:c r="O154" s="2" t="n">
        <x:f>24-COUNTIFS('Клиентлер'!$T$8:$T$31,1)</x:f>
        <x:v>24</x:v>
      </x:c>
      <x:c r="P154" s="2" t="n">
        <x:f>IF(AND('Салық календары'!G154=1,ISNUMBER('Салық календары'!F154)),1,0)</x:f>
        <x:v>0</x:v>
      </x:c>
      <x:c r="Q154" s="2" t="str">
        <x:v>Салық</x:v>
      </x:c>
      <x:c r="R154" s="10"/>
      <x:c r="S154" s="2" t="n">
        <x:f>IF(COUNT(I154)=1,1,0)</x:f>
        <x:v>0</x:v>
      </x:c>
    </x:row>
    <x:row r="155" ht="46" customHeight="1">
      <x:c r="A155" s="2" t="n">
        <x:v>148</x:v>
      </x:c>
      <x:c r="B155" s="2" t="n">
        <x:v>148</x:v>
      </x:c>
      <x:c r="C155" s="12" t="n">
        <x:f>'Салық календары'!J155</x:f>
        <x:v>46585</x:v>
      </x:c>
      <x:c r="D155" s="13" t="str">
        <x:v>Жер қойнаўынан пайдаланыў есабаты</x:v>
      </x:c>
      <x:c r="E155" s="14" t="n">
        <x:v>46588</x:v>
      </x:c>
      <x:c r="F155" s="14" t="str">
        <x:f>IF('Салық календары'!F155="","",'Салық календары'!F155)</x:f>
      </x:c>
      <x:c r="G155" s="2" t="str">
        <x:v>2027-06</x:v>
      </x:c>
      <x:c r="H155" s="2" t="str">
        <x:v>Q</x:v>
      </x:c>
      <x:c r="I155" s="10" t="str">
        <x:f>IF(AND(COUNTIFS('Клиентлер'!$T$8:$T$31,1)=24,COUNT('Клиентлер'!$Q$8:$Q$31)=24),COUNTIFS('Клиентлер'!$Q$8:$Q$31,1,'Клиентлер'!$T$8:$T$31,1),"")</x:f>
      </x:c>
      <x:c r="J155" s="10"/>
      <x:c r="K155" s="2" t="n">
        <x:f>SUMIFS('Күнлик есабат'!$F$8:$F$507,'Күнлик есабат'!$C$8:$C$507,A155,'Күнлик есабат'!$L$8:$L$507,0,'Күнлик есабат'!$M$8:$M$507,0)-SUMIFS('Күнлик есабат'!$H$8:$H$507,'Күнлик есабат'!$C$8:$C$507,A155,'Күнлик есабат'!$L$8:$L$507,0,'Күнлик есабат'!$M$8:$M$507,0)</x:f>
        <x:v>0</x:v>
      </x:c>
      <x:c r="L155" s="2" t="n">
        <x:f>SUMIFS('Күнлик есабат'!$G$8:$G$507,'Күнлик есабат'!$C$8:$C$507,A155,'Күнлик есабат'!$L$8:$L$507,0,'Күнлик есабат'!$M$8:$M$507,0)</x:f>
        <x:v>0</x:v>
      </x:c>
      <x:c r="M155" s="2" t="str">
        <x:f>IF(I155="","",MAX(I155-K155,0))</x:f>
      </x:c>
      <x:c r="N155" s="16" t="str">
        <x:f>IF(OR(I155="",I155=0),"",MIN(K155/I155,1))</x:f>
      </x:c>
      <x:c r="O155" s="2" t="n">
        <x:f>24-COUNTIFS('Клиентлер'!$T$8:$T$31,1)</x:f>
        <x:v>24</x:v>
      </x:c>
      <x:c r="P155" s="2" t="n">
        <x:f>IF(AND('Салық календары'!G155=1,ISNUMBER('Салық календары'!F155)),1,0)</x:f>
        <x:v>0</x:v>
      </x:c>
      <x:c r="Q155" s="2" t="str">
        <x:v>Салық</x:v>
      </x:c>
      <x:c r="R155" s="10"/>
      <x:c r="S155" s="2" t="n">
        <x:f>IF(COUNT(I155)=1,1,0)</x:f>
        <x:v>0</x:v>
      </x:c>
    </x:row>
    <x:row r="156" ht="46" customHeight="1">
      <x:c r="A156" s="2" t="n">
        <x:v>149</x:v>
      </x:c>
      <x:c r="B156" s="2" t="n">
        <x:v>149</x:v>
      </x:c>
      <x:c r="C156" s="12" t="n">
        <x:f>'Салық календары'!J156</x:f>
        <x:v>46588</x:v>
      </x:c>
      <x:c r="D156" s="13" t="str">
        <x:v>Пайда салығы авансы</x:v>
      </x:c>
      <x:c r="E156" s="14" t="n">
        <x:v>46591</x:v>
      </x:c>
      <x:c r="F156" s="14" t="str">
        <x:f>IF('Салық календары'!F156="","",'Салық календары'!F156)</x:f>
      </x:c>
      <x:c r="G156" s="2" t="str">
        <x:v>2027-07</x:v>
      </x:c>
      <x:c r="H156" s="2" t="str">
        <x:v>M</x:v>
      </x:c>
      <x:c r="I156" s="10" t="str">
        <x:f>IF(AND(COUNTIFS('Клиентлер'!$T$8:$T$31,1)=24,COUNT('Клиентлер'!$M$8:$M$31)=24),COUNTIFS('Клиентлер'!$M$8:$M$31,1,'Клиентлер'!$T$8:$T$31,1),"")</x:f>
      </x:c>
      <x:c r="J156" s="10"/>
      <x:c r="K156" s="2" t="n">
        <x:f>SUMIFS('Күнлик есабат'!$F$8:$F$507,'Күнлик есабат'!$C$8:$C$507,A156,'Күнлик есабат'!$L$8:$L$507,0,'Күнлик есабат'!$M$8:$M$507,0)-SUMIFS('Күнлик есабат'!$H$8:$H$507,'Күнлик есабат'!$C$8:$C$507,A156,'Күнлик есабат'!$L$8:$L$507,0,'Күнлик есабат'!$M$8:$M$507,0)</x:f>
        <x:v>0</x:v>
      </x:c>
      <x:c r="L156" s="2" t="n">
        <x:f>SUMIFS('Күнлик есабат'!$G$8:$G$507,'Күнлик есабат'!$C$8:$C$507,A156,'Күнлик есабат'!$L$8:$L$507,0,'Күнлик есабат'!$M$8:$M$507,0)</x:f>
        <x:v>0</x:v>
      </x:c>
      <x:c r="M156" s="2" t="str">
        <x:f>IF(I156="","",MAX(I156-K156,0))</x:f>
      </x:c>
      <x:c r="N156" s="16" t="str">
        <x:f>IF(OR(I156="",I156=0),"",MIN(K156/I156,1))</x:f>
      </x:c>
      <x:c r="O156" s="2" t="n">
        <x:f>24-COUNTIFS('Клиентлер'!$T$8:$T$31,1)</x:f>
        <x:v>24</x:v>
      </x:c>
      <x:c r="P156" s="2" t="n">
        <x:f>IF(AND('Салық календары'!G156=1,ISNUMBER('Салық календары'!F156)),1,0)</x:f>
        <x:v>0</x:v>
      </x:c>
      <x:c r="Q156" s="2" t="str">
        <x:v>Салық</x:v>
      </x:c>
      <x:c r="R156" s="10"/>
      <x:c r="S156" s="2" t="n">
        <x:f>IF(COUNT(I156)=1,1,0)</x:f>
        <x:v>0</x:v>
      </x:c>
    </x:row>
    <x:row r="157" ht="46" customHeight="1">
      <x:c r="A157" s="2" t="n">
        <x:v>150</x:v>
      </x:c>
      <x:c r="B157" s="2" t="n">
        <x:v>150</x:v>
      </x:c>
      <x:c r="C157" s="12" t="n">
        <x:f>'Салық календары'!J157</x:f>
        <x:v>46575</x:v>
      </x:c>
      <x:c r="D157" s="13" t="str">
        <x:v>Мүлк салығы айлық авансы</x:v>
      </x:c>
      <x:c r="E157" s="14" t="n">
        <x:v>46578</x:v>
      </x:c>
      <x:c r="F157" s="14" t="str">
        <x:f>IF('Салық календары'!F157="","",'Салық календары'!F157)</x:f>
      </x:c>
      <x:c r="G157" s="2" t="str">
        <x:v>2027-07</x:v>
      </x:c>
      <x:c r="H157" s="2" t="str">
        <x:v>J</x:v>
      </x:c>
      <x:c r="I157" s="10" t="str">
        <x:f>IF(AND(COUNTIFS('Клиентлер'!$T$8:$T$31,1)=24,COUNT('Клиентлер'!$J$8:$J$31)=24),COUNTIFS('Клиентлер'!$J$8:$J$31,1,'Клиентлер'!$T$8:$T$31,1,'Клиентлер'!$G$8:$G$31,0),"")</x:f>
      </x:c>
      <x:c r="J157" s="10"/>
      <x:c r="K157" s="2" t="n">
        <x:f>SUMIFS('Күнлик есабат'!$F$8:$F$507,'Күнлик есабат'!$C$8:$C$507,A157,'Күнлик есабат'!$L$8:$L$507,0,'Күнлик есабат'!$M$8:$M$507,0)-SUMIFS('Күнлик есабат'!$H$8:$H$507,'Күнлик есабат'!$C$8:$C$507,A157,'Күнлик есабат'!$L$8:$L$507,0,'Күнлик есабат'!$M$8:$M$507,0)</x:f>
        <x:v>0</x:v>
      </x:c>
      <x:c r="L157" s="2" t="n">
        <x:f>SUMIFS('Күнлик есабат'!$G$8:$G$507,'Күнлик есабат'!$C$8:$C$507,A157,'Күнлик есабат'!$L$8:$L$507,0,'Күнлик есабат'!$M$8:$M$507,0)</x:f>
        <x:v>0</x:v>
      </x:c>
      <x:c r="M157" s="2" t="str">
        <x:f>IF(I157="","",MAX(I157-K157,0))</x:f>
      </x:c>
      <x:c r="N157" s="16" t="str">
        <x:f>IF(OR(I157="",I157=0),"",MIN(K157/I157,1))</x:f>
      </x:c>
      <x:c r="O157" s="2" t="n">
        <x:f>24-COUNTIFS('Клиентлер'!$T$8:$T$31,1)</x:f>
        <x:v>24</x:v>
      </x:c>
      <x:c r="P157" s="2" t="n">
        <x:f>IF(AND('Салық календары'!G157=1,ISNUMBER('Салық календары'!F157)),1,0)</x:f>
        <x:v>0</x:v>
      </x:c>
      <x:c r="Q157" s="2" t="str">
        <x:v>Салық</x:v>
      </x:c>
      <x:c r="R157" s="10"/>
      <x:c r="S157" s="2" t="n">
        <x:f>IF(COUNT(I157)=1,1,0)</x:f>
        <x:v>0</x:v>
      </x:c>
    </x:row>
    <x:row r="158" ht="46" customHeight="1">
      <x:c r="A158" s="2" t="n">
        <x:v>151</x:v>
      </x:c>
      <x:c r="B158" s="2" t="n">
        <x:v>151</x:v>
      </x:c>
      <x:c r="C158" s="12" t="n">
        <x:f>'Салық календары'!J158</x:f>
        <x:v>46575</x:v>
      </x:c>
      <x:c r="D158" s="13" t="str">
        <x:v>Жер салығы айлық төлеми</x:v>
      </x:c>
      <x:c r="E158" s="14" t="n">
        <x:v>46578</x:v>
      </x:c>
      <x:c r="F158" s="14" t="str">
        <x:f>IF('Салық календары'!F158="","",'Салық календары'!F158)</x:f>
      </x:c>
      <x:c r="G158" s="2" t="str">
        <x:v>2027-07</x:v>
      </x:c>
      <x:c r="H158" s="2" t="str">
        <x:v>K</x:v>
      </x:c>
      <x:c r="I158" s="10" t="str">
        <x:f>IF(AND(COUNTIFS('Клиентлер'!$T$8:$T$31,1)=24,COUNT('Клиентлер'!$K$8:$K$31)=24),COUNTIFS('Клиентлер'!$K$8:$K$31,1,'Клиентлер'!$T$8:$T$31,1,'Клиентлер'!$G$8:$G$31,0),"")</x:f>
      </x:c>
      <x:c r="J158" s="10"/>
      <x:c r="K158" s="2" t="n">
        <x:f>SUMIFS('Күнлик есабат'!$F$8:$F$507,'Күнлик есабат'!$C$8:$C$507,A158,'Күнлик есабат'!$L$8:$L$507,0,'Күнлик есабат'!$M$8:$M$507,0)-SUMIFS('Күнлик есабат'!$H$8:$H$507,'Күнлик есабат'!$C$8:$C$507,A158,'Күнлик есабат'!$L$8:$L$507,0,'Күнлик есабат'!$M$8:$M$507,0)</x:f>
        <x:v>0</x:v>
      </x:c>
      <x:c r="L158" s="2" t="n">
        <x:f>SUMIFS('Күнлик есабат'!$G$8:$G$507,'Күнлик есабат'!$C$8:$C$507,A158,'Күнлик есабат'!$L$8:$L$507,0,'Күнлик есабат'!$M$8:$M$507,0)</x:f>
        <x:v>0</x:v>
      </x:c>
      <x:c r="M158" s="2" t="str">
        <x:f>IF(I158="","",MAX(I158-K158,0))</x:f>
      </x:c>
      <x:c r="N158" s="16" t="str">
        <x:f>IF(OR(I158="",I158=0),"",MIN(K158/I158,1))</x:f>
      </x:c>
      <x:c r="O158" s="2" t="n">
        <x:f>24-COUNTIFS('Клиентлер'!$T$8:$T$31,1)</x:f>
        <x:v>24</x:v>
      </x:c>
      <x:c r="P158" s="2" t="n">
        <x:f>IF(AND('Салық календары'!G158=1,ISNUMBER('Салық календары'!F158)),1,0)</x:f>
        <x:v>0</x:v>
      </x:c>
      <x:c r="Q158" s="2" t="str">
        <x:v>Салық</x:v>
      </x:c>
      <x:c r="R158" s="10"/>
      <x:c r="S158" s="2" t="n">
        <x:f>IF(COUNT(I158)=1,1,0)</x:f>
        <x:v>0</x:v>
      </x:c>
    </x:row>
    <x:row r="159" ht="46" customHeight="1">
      <x:c r="A159" s="2" t="n">
        <x:v>152</x:v>
      </x:c>
      <x:c r="B159" s="2" t="n">
        <x:v>152</x:v>
      </x:c>
      <x:c r="C159" s="12" t="n">
        <x:f>'Салық календары'!J159</x:f>
        <x:v>46585</x:v>
      </x:c>
      <x:c r="D159" s="13" t="str">
        <x:v>Суў салығы айлық авансы</x:v>
      </x:c>
      <x:c r="E159" s="14" t="n">
        <x:v>46588</x:v>
      </x:c>
      <x:c r="F159" s="14" t="str">
        <x:f>IF('Салық календары'!F159="","",'Салық календары'!F159)</x:f>
      </x:c>
      <x:c r="G159" s="2" t="str">
        <x:v>2027-07</x:v>
      </x:c>
      <x:c r="H159" s="2" t="str">
        <x:v>V</x:v>
      </x:c>
      <x:c r="I159" s="10" t="str">
        <x:f>IF(AND(COUNTIFS('Клиентлер'!$T$8:$T$31,1)=24,COUNT('Клиентлер'!$V$8:$V$31)=24),COUNTIFS('Клиентлер'!$V$8:$V$31,1,'Клиентлер'!$T$8:$T$31,1,'Клиентлер'!$G$8:$G$31,0),"")</x:f>
      </x:c>
      <x:c r="J159" s="10"/>
      <x:c r="K159" s="2" t="n">
        <x:f>SUMIFS('Күнлик есабат'!$F$8:$F$507,'Күнлик есабат'!$C$8:$C$507,A159,'Күнлик есабат'!$L$8:$L$507,0,'Күнлик есабат'!$M$8:$M$507,0)-SUMIFS('Күнлик есабат'!$H$8:$H$507,'Күнлик есабат'!$C$8:$C$507,A159,'Күнлик есабат'!$L$8:$L$507,0,'Күнлик есабат'!$M$8:$M$507,0)</x:f>
        <x:v>0</x:v>
      </x:c>
      <x:c r="L159" s="2" t="n">
        <x:f>SUMIFS('Күнлик есабат'!$G$8:$G$507,'Күнлик есабат'!$C$8:$C$507,A159,'Күнлик есабат'!$L$8:$L$507,0,'Күнлик есабат'!$M$8:$M$507,0)</x:f>
        <x:v>0</x:v>
      </x:c>
      <x:c r="M159" s="2" t="str">
        <x:f>IF(I159="","",MAX(I159-K159,0))</x:f>
      </x:c>
      <x:c r="N159" s="16" t="str">
        <x:f>IF(OR(I159="",I159=0),"",MIN(K159/I159,1))</x:f>
      </x:c>
      <x:c r="O159" s="2" t="n">
        <x:f>24-COUNTIFS('Клиентлер'!$T$8:$T$31,1)</x:f>
        <x:v>24</x:v>
      </x:c>
      <x:c r="P159" s="2" t="n">
        <x:f>IF(AND('Салық календары'!G159=1,ISNUMBER('Салық календары'!F159)),1,0)</x:f>
        <x:v>0</x:v>
      </x:c>
      <x:c r="Q159" s="2" t="str">
        <x:v>Салық</x:v>
      </x:c>
      <x:c r="R159" s="10"/>
      <x:c r="S159" s="2" t="n">
        <x:f>IF(COUNT(I159)=1,1,0)</x:f>
        <x:v>0</x:v>
      </x:c>
    </x:row>
    <x:row r="160" ht="46" customHeight="1">
      <x:c r="A160" s="2" t="n">
        <x:v>153</x:v>
      </x:c>
      <x:c r="B160" s="2" t="n">
        <x:v>153</x:v>
      </x:c>
      <x:c r="C160" s="12" t="n">
        <x:f>'Салық календары'!J160</x:f>
        <x:v>46585</x:v>
      </x:c>
      <x:c r="D160" s="13" t="str">
        <x:v>Пайда салығы квартал есабаты</x:v>
      </x:c>
      <x:c r="E160" s="14" t="n">
        <x:v>46588</x:v>
      </x:c>
      <x:c r="F160" s="14" t="str">
        <x:f>IF('Салық календары'!F160="","",'Салық календары'!F160)</x:f>
      </x:c>
      <x:c r="G160" s="2" t="str">
        <x:v>2027 / 1.3333333333333335-квартал</x:v>
      </x:c>
      <x:c r="H160" s="2" t="str">
        <x:v>H</x:v>
      </x:c>
      <x:c r="I160" s="10" t="str">
        <x:f>IF(AND(COUNTIFS('Клиентлер'!$T$8:$T$31,1)=24,COUNT('Клиентлер'!$H$8:$H$31)=24),COUNTIFS('Клиентлер'!$H$8:$H$31,1,'Клиентлер'!$T$8:$T$31,1),"")</x:f>
      </x:c>
      <x:c r="J160" s="10"/>
      <x:c r="K160" s="2" t="n">
        <x:f>SUMIFS('Күнлик есабат'!$F$8:$F$507,'Күнлик есабат'!$C$8:$C$507,A160,'Күнлик есабат'!$L$8:$L$507,0,'Күнлик есабат'!$M$8:$M$507,0)-SUMIFS('Күнлик есабат'!$H$8:$H$507,'Күнлик есабат'!$C$8:$C$507,A160,'Күнлик есабат'!$L$8:$L$507,0,'Күнлик есабат'!$M$8:$M$507,0)</x:f>
        <x:v>0</x:v>
      </x:c>
      <x:c r="L160" s="2" t="n">
        <x:f>SUMIFS('Күнлик есабат'!$G$8:$G$507,'Күнлик есабат'!$C$8:$C$507,A160,'Күнлик есабат'!$L$8:$L$507,0,'Күнлик есабат'!$M$8:$M$507,0)</x:f>
        <x:v>0</x:v>
      </x:c>
      <x:c r="M160" s="2" t="str">
        <x:f>IF(I160="","",MAX(I160-K160,0))</x:f>
      </x:c>
      <x:c r="N160" s="16" t="str">
        <x:f>IF(OR(I160="",I160=0),"",MIN(K160/I160,1))</x:f>
      </x:c>
      <x:c r="O160" s="2" t="n">
        <x:f>24-COUNTIFS('Клиентлер'!$T$8:$T$31,1)</x:f>
        <x:v>24</x:v>
      </x:c>
      <x:c r="P160" s="2" t="n">
        <x:f>IF(AND('Салық календары'!G160=1,ISNUMBER('Салық календары'!F160)),1,0)</x:f>
        <x:v>0</x:v>
      </x:c>
      <x:c r="Q160" s="2" t="str">
        <x:v>Салық</x:v>
      </x:c>
      <x:c r="R160" s="10"/>
      <x:c r="S160" s="2" t="n">
        <x:f>IF(COUNT(I160)=1,1,0)</x:f>
        <x:v>0</x:v>
      </x:c>
    </x:row>
    <x:row r="161" ht="46" customHeight="1">
      <x:c r="A161" s="2" t="n">
        <x:v>154</x:v>
      </x:c>
      <x:c r="B161" s="2" t="n">
        <x:v>154</x:v>
      </x:c>
      <x:c r="C161" s="12" t="n">
        <x:f>'Салық календары'!J161</x:f>
        <x:v>46616</x:v>
      </x:c>
      <x:c r="D161" s="13" t="str">
        <x:v>ҚҚС есабаты</x:v>
      </x:c>
      <x:c r="E161" s="14" t="n">
        <x:v>46619</x:v>
      </x:c>
      <x:c r="F161" s="14" t="str">
        <x:f>IF('Салық календары'!F161="","",'Салық календары'!F161)</x:f>
      </x:c>
      <x:c r="G161" s="2" t="str">
        <x:v>2027-07</x:v>
      </x:c>
      <x:c r="H161" s="2" t="str">
        <x:v>F</x:v>
      </x:c>
      <x:c r="I161" s="10" t="str">
        <x:f>IF(AND(COUNTIFS('Клиентлер'!$T$8:$T$31,1)=24,COUNT('Клиентлер'!$F$8:$F$31)=24),COUNTIFS('Клиентлер'!$F$8:$F$31,1,'Клиентлер'!$T$8:$T$31,1),"")</x:f>
      </x:c>
      <x:c r="J161" s="10"/>
      <x:c r="K161" s="2" t="n">
        <x:f>SUMIFS('Күнлик есабат'!$F$8:$F$507,'Күнлик есабат'!$C$8:$C$507,A161,'Күнлик есабат'!$L$8:$L$507,0,'Күнлик есабат'!$M$8:$M$507,0)-SUMIFS('Күнлик есабат'!$H$8:$H$507,'Күнлик есабат'!$C$8:$C$507,A161,'Күнлик есабат'!$L$8:$L$507,0,'Күнлик есабат'!$M$8:$M$507,0)</x:f>
        <x:v>0</x:v>
      </x:c>
      <x:c r="L161" s="2" t="n">
        <x:f>SUMIFS('Күнлик есабат'!$G$8:$G$507,'Күнлик есабат'!$C$8:$C$507,A161,'Күнлик есабат'!$L$8:$L$507,0,'Күнлик есабат'!$M$8:$M$507,0)</x:f>
        <x:v>0</x:v>
      </x:c>
      <x:c r="M161" s="2" t="str">
        <x:f>IF(I161="","",MAX(I161-K161,0))</x:f>
      </x:c>
      <x:c r="N161" s="16" t="str">
        <x:f>IF(OR(I161="",I161=0),"",MIN(K161/I161,1))</x:f>
      </x:c>
      <x:c r="O161" s="2" t="n">
        <x:f>24-COUNTIFS('Клиентлер'!$T$8:$T$31,1)</x:f>
        <x:v>24</x:v>
      </x:c>
      <x:c r="P161" s="2" t="n">
        <x:f>IF(AND('Салық календары'!G161=1,ISNUMBER('Салық календары'!F161)),1,0)</x:f>
        <x:v>0</x:v>
      </x:c>
      <x:c r="Q161" s="2" t="str">
        <x:v>Салық</x:v>
      </x:c>
      <x:c r="R161" s="10"/>
      <x:c r="S161" s="2" t="n">
        <x:f>IF(COUNT(I161)=1,1,0)</x:f>
        <x:v>0</x:v>
      </x:c>
    </x:row>
    <x:row r="162" ht="46" customHeight="1">
      <x:c r="A162" s="2" t="n">
        <x:v>155</x:v>
      </x:c>
      <x:c r="B162" s="2" t="n">
        <x:v>155</x:v>
      </x:c>
      <x:c r="C162" s="12" t="n">
        <x:f>'Салық календары'!J162</x:f>
        <x:v>46616</x:v>
      </x:c>
      <x:c r="D162" s="13" t="str">
        <x:v>ҚҚС төлеми</x:v>
      </x:c>
      <x:c r="E162" s="14" t="n">
        <x:v>46619</x:v>
      </x:c>
      <x:c r="F162" s="14" t="str">
        <x:f>IF('Салық календары'!F162="","",'Салық календары'!F162)</x:f>
      </x:c>
      <x:c r="G162" s="2" t="str">
        <x:v>2027-07</x:v>
      </x:c>
      <x:c r="H162" s="2" t="str">
        <x:v>F</x:v>
      </x:c>
      <x:c r="I162" s="10" t="str">
        <x:f>IF(AND(COUNTIFS('Клиентлер'!$T$8:$T$31,1)=24,COUNT('Клиентлер'!$F$8:$F$31)=24),COUNTIFS('Клиентлер'!$F$8:$F$31,1,'Клиентлер'!$T$8:$T$31,1),"")</x:f>
      </x:c>
      <x:c r="J162" s="10"/>
      <x:c r="K162" s="2" t="n">
        <x:f>SUMIFS('Күнлик есабат'!$F$8:$F$507,'Күнлик есабат'!$C$8:$C$507,A162,'Күнлик есабат'!$L$8:$L$507,0,'Күнлик есабат'!$M$8:$M$507,0)-SUMIFS('Күнлик есабат'!$H$8:$H$507,'Күнлик есабат'!$C$8:$C$507,A162,'Күнлик есабат'!$L$8:$L$507,0,'Күнлик есабат'!$M$8:$M$507,0)</x:f>
        <x:v>0</x:v>
      </x:c>
      <x:c r="L162" s="2" t="n">
        <x:f>SUMIFS('Күнлик есабат'!$G$8:$G$507,'Күнлик есабат'!$C$8:$C$507,A162,'Күнлик есабат'!$L$8:$L$507,0,'Күнлик есабат'!$M$8:$M$507,0)</x:f>
        <x:v>0</x:v>
      </x:c>
      <x:c r="M162" s="2" t="str">
        <x:f>IF(I162="","",MAX(I162-K162,0))</x:f>
      </x:c>
      <x:c r="N162" s="16" t="str">
        <x:f>IF(OR(I162="",I162=0),"",MIN(K162/I162,1))</x:f>
      </x:c>
      <x:c r="O162" s="2" t="n">
        <x:f>24-COUNTIFS('Клиентлер'!$T$8:$T$31,1)</x:f>
        <x:v>24</x:v>
      </x:c>
      <x:c r="P162" s="2" t="n">
        <x:f>IF(AND('Салық календары'!G162=1,ISNUMBER('Салық календары'!F162)),1,0)</x:f>
        <x:v>0</x:v>
      </x:c>
      <x:c r="Q162" s="2" t="str">
        <x:v>Салық</x:v>
      </x:c>
      <x:c r="R162" s="10"/>
      <x:c r="S162" s="2" t="n">
        <x:f>IF(COUNT(I162)=1,1,0)</x:f>
        <x:v>0</x:v>
      </x:c>
    </x:row>
    <x:row r="163" ht="46" customHeight="1">
      <x:c r="A163" s="2" t="n">
        <x:v>156</x:v>
      </x:c>
      <x:c r="B163" s="2" t="n">
        <x:v>156</x:v>
      </x:c>
      <x:c r="C163" s="12" t="n">
        <x:f>'Салық календары'!J163</x:f>
        <x:v>46611</x:v>
      </x:c>
      <x:c r="D163" s="13" t="str">
        <x:v>Айланба салығы есабаты</x:v>
      </x:c>
      <x:c r="E163" s="14" t="n">
        <x:v>46614</x:v>
      </x:c>
      <x:c r="F163" s="14" t="str">
        <x:f>IF('Салық календары'!F163="","",'Салық календары'!F163)</x:f>
      </x:c>
      <x:c r="G163" s="2" t="str">
        <x:v>2027-07</x:v>
      </x:c>
      <x:c r="H163" s="2" t="str">
        <x:v>G</x:v>
      </x:c>
      <x:c r="I163" s="10" t="str">
        <x:f>IF(AND(COUNTIFS('Клиентлер'!$T$8:$T$31,1)=24,COUNT('Клиентлер'!$G$8:$G$31)=24),COUNTIFS('Клиентлер'!$G$8:$G$31,1,'Клиентлер'!$T$8:$T$31,1),"")</x:f>
      </x:c>
      <x:c r="J163" s="10"/>
      <x:c r="K163" s="2" t="n">
        <x:f>SUMIFS('Күнлик есабат'!$F$8:$F$507,'Күнлик есабат'!$C$8:$C$507,A163,'Күнлик есабат'!$L$8:$L$507,0,'Күнлик есабат'!$M$8:$M$507,0)-SUMIFS('Күнлик есабат'!$H$8:$H$507,'Күнлик есабат'!$C$8:$C$507,A163,'Күнлик есабат'!$L$8:$L$507,0,'Күнлик есабат'!$M$8:$M$507,0)</x:f>
        <x:v>0</x:v>
      </x:c>
      <x:c r="L163" s="2" t="n">
        <x:f>SUMIFS('Күнлик есабат'!$G$8:$G$507,'Күнлик есабат'!$C$8:$C$507,A163,'Күнлик есабат'!$L$8:$L$507,0,'Күнлик есабат'!$M$8:$M$507,0)</x:f>
        <x:v>0</x:v>
      </x:c>
      <x:c r="M163" s="2" t="str">
        <x:f>IF(I163="","",MAX(I163-K163,0))</x:f>
      </x:c>
      <x:c r="N163" s="16" t="str">
        <x:f>IF(OR(I163="",I163=0),"",MIN(K163/I163,1))</x:f>
      </x:c>
      <x:c r="O163" s="2" t="n">
        <x:f>24-COUNTIFS('Клиентлер'!$T$8:$T$31,1)</x:f>
        <x:v>24</x:v>
      </x:c>
      <x:c r="P163" s="2" t="n">
        <x:f>IF(AND('Салық календары'!G163=1,ISNUMBER('Салық календары'!F163)),1,0)</x:f>
        <x:v>0</x:v>
      </x:c>
      <x:c r="Q163" s="2" t="str">
        <x:v>Салық</x:v>
      </x:c>
      <x:c r="R163" s="10"/>
      <x:c r="S163" s="2" t="n">
        <x:f>IF(COUNT(I163)=1,1,0)</x:f>
        <x:v>0</x:v>
      </x:c>
    </x:row>
    <x:row r="164" ht="46" customHeight="1">
      <x:c r="A164" s="2" t="n">
        <x:v>157</x:v>
      </x:c>
      <x:c r="B164" s="2" t="n">
        <x:v>157</x:v>
      </x:c>
      <x:c r="C164" s="12" t="n">
        <x:f>'Салық календары'!J164</x:f>
        <x:v>46611</x:v>
      </x:c>
      <x:c r="D164" s="13" t="str">
        <x:v>Айланба салығы төлеми</x:v>
      </x:c>
      <x:c r="E164" s="14" t="n">
        <x:v>46614</x:v>
      </x:c>
      <x:c r="F164" s="14" t="str">
        <x:f>IF('Салық календары'!F164="","",'Салық календары'!F164)</x:f>
      </x:c>
      <x:c r="G164" s="2" t="str">
        <x:v>2027-07</x:v>
      </x:c>
      <x:c r="H164" s="2" t="str">
        <x:v>G</x:v>
      </x:c>
      <x:c r="I164" s="10" t="str">
        <x:f>IF(AND(COUNTIFS('Клиентлер'!$T$8:$T$31,1)=24,COUNT('Клиентлер'!$G$8:$G$31)=24),COUNTIFS('Клиентлер'!$G$8:$G$31,1,'Клиентлер'!$T$8:$T$31,1),"")</x:f>
      </x:c>
      <x:c r="J164" s="10"/>
      <x:c r="K164" s="2" t="n">
        <x:f>SUMIFS('Күнлик есабат'!$F$8:$F$507,'Күнлик есабат'!$C$8:$C$507,A164,'Күнлик есабат'!$L$8:$L$507,0,'Күнлик есабат'!$M$8:$M$507,0)-SUMIFS('Күнлик есабат'!$H$8:$H$507,'Күнлик есабат'!$C$8:$C$507,A164,'Күнлик есабат'!$L$8:$L$507,0,'Күнлик есабат'!$M$8:$M$507,0)</x:f>
        <x:v>0</x:v>
      </x:c>
      <x:c r="L164" s="2" t="n">
        <x:f>SUMIFS('Күнлик есабат'!$G$8:$G$507,'Күнлик есабат'!$C$8:$C$507,A164,'Күнлик есабат'!$L$8:$L$507,0,'Күнлик есабат'!$M$8:$M$507,0)</x:f>
        <x:v>0</x:v>
      </x:c>
      <x:c r="M164" s="2" t="str">
        <x:f>IF(I164="","",MAX(I164-K164,0))</x:f>
      </x:c>
      <x:c r="N164" s="16" t="str">
        <x:f>IF(OR(I164="",I164=0),"",MIN(K164/I164,1))</x:f>
      </x:c>
      <x:c r="O164" s="2" t="n">
        <x:f>24-COUNTIFS('Клиентлер'!$T$8:$T$31,1)</x:f>
        <x:v>24</x:v>
      </x:c>
      <x:c r="P164" s="2" t="n">
        <x:f>IF(AND('Салық календары'!G164=1,ISNUMBER('Салық календары'!F164)),1,0)</x:f>
        <x:v>0</x:v>
      </x:c>
      <x:c r="Q164" s="2" t="str">
        <x:v>Салық</x:v>
      </x:c>
      <x:c r="R164" s="10"/>
      <x:c r="S164" s="2" t="n">
        <x:f>IF(COUNT(I164)=1,1,0)</x:f>
        <x:v>0</x:v>
      </x:c>
    </x:row>
    <x:row r="165" ht="46" customHeight="1">
      <x:c r="A165" s="2" t="n">
        <x:v>158</x:v>
      </x:c>
      <x:c r="B165" s="2" t="n">
        <x:v>158</x:v>
      </x:c>
      <x:c r="C165" s="12" t="n">
        <x:f>'Салық календары'!J165</x:f>
        <x:v>46611</x:v>
      </x:c>
      <x:c r="D165" s="13" t="str">
        <x:v>Дәрамат салығы есабаты</x:v>
      </x:c>
      <x:c r="E165" s="14" t="n">
        <x:v>46614</x:v>
      </x:c>
      <x:c r="F165" s="14" t="str">
        <x:f>IF('Салық календары'!F165="","",'Салық календары'!F165)</x:f>
      </x:c>
      <x:c r="G165" s="2" t="str">
        <x:v>2027-07</x:v>
      </x:c>
      <x:c r="H165" s="2" t="str">
        <x:v>I</x:v>
      </x:c>
      <x:c r="I165" s="10" t="str">
        <x:f>IF(AND(COUNTIFS('Клиентлер'!$T$8:$T$31,1)=24,COUNT('Клиентлер'!$I$8:$I$31)=24),COUNTIFS('Клиентлер'!$I$8:$I$31,1,'Клиентлер'!$T$8:$T$31,1),"")</x:f>
      </x:c>
      <x:c r="J165" s="10"/>
      <x:c r="K165" s="2" t="n">
        <x:f>SUMIFS('Күнлик есабат'!$F$8:$F$507,'Күнлик есабат'!$C$8:$C$507,A165,'Күнлик есабат'!$L$8:$L$507,0,'Күнлик есабат'!$M$8:$M$507,0)-SUMIFS('Күнлик есабат'!$H$8:$H$507,'Күнлик есабат'!$C$8:$C$507,A165,'Күнлик есабат'!$L$8:$L$507,0,'Күнлик есабат'!$M$8:$M$507,0)</x:f>
        <x:v>0</x:v>
      </x:c>
      <x:c r="L165" s="2" t="n">
        <x:f>SUMIFS('Күнлик есабат'!$G$8:$G$507,'Күнлик есабат'!$C$8:$C$507,A165,'Күнлик есабат'!$L$8:$L$507,0,'Күнлик есабат'!$M$8:$M$507,0)</x:f>
        <x:v>0</x:v>
      </x:c>
      <x:c r="M165" s="2" t="str">
        <x:f>IF(I165="","",MAX(I165-K165,0))</x:f>
      </x:c>
      <x:c r="N165" s="16" t="str">
        <x:f>IF(OR(I165="",I165=0),"",MIN(K165/I165,1))</x:f>
      </x:c>
      <x:c r="O165" s="2" t="n">
        <x:f>24-COUNTIFS('Клиентлер'!$T$8:$T$31,1)</x:f>
        <x:v>24</x:v>
      </x:c>
      <x:c r="P165" s="2" t="n">
        <x:f>IF(AND('Салық календары'!G165=1,ISNUMBER('Салық календары'!F165)),1,0)</x:f>
        <x:v>0</x:v>
      </x:c>
      <x:c r="Q165" s="2" t="str">
        <x:v>Салық</x:v>
      </x:c>
      <x:c r="R165" s="10"/>
      <x:c r="S165" s="2" t="n">
        <x:f>IF(COUNT(I165)=1,1,0)</x:f>
        <x:v>0</x:v>
      </x:c>
    </x:row>
    <x:row r="166" ht="46" customHeight="1">
      <x:c r="A166" s="2" t="n">
        <x:v>159</x:v>
      </x:c>
      <x:c r="B166" s="2" t="n">
        <x:v>159</x:v>
      </x:c>
      <x:c r="C166" s="12" t="n">
        <x:f>'Салық календары'!J166</x:f>
        <x:v>46611</x:v>
      </x:c>
      <x:c r="D166" s="13" t="str">
        <x:v>Социаллық салық есабаты</x:v>
      </x:c>
      <x:c r="E166" s="14" t="n">
        <x:v>46614</x:v>
      </x:c>
      <x:c r="F166" s="14" t="str">
        <x:f>IF('Салық календары'!F166="","",'Салық календары'!F166)</x:f>
      </x:c>
      <x:c r="G166" s="2" t="str">
        <x:v>2027-07</x:v>
      </x:c>
      <x:c r="H166" s="2" t="str">
        <x:v>I</x:v>
      </x:c>
      <x:c r="I166" s="10" t="str">
        <x:f>IF(AND(COUNTIFS('Клиентлер'!$T$8:$T$31,1)=24,COUNT('Клиентлер'!$I$8:$I$31)=24),COUNTIFS('Клиентлер'!$I$8:$I$31,1,'Клиентлер'!$T$8:$T$31,1),"")</x:f>
      </x:c>
      <x:c r="J166" s="10"/>
      <x:c r="K166" s="2" t="n">
        <x:f>SUMIFS('Күнлик есабат'!$F$8:$F$507,'Күнлик есабат'!$C$8:$C$507,A166,'Күнлик есабат'!$L$8:$L$507,0,'Күнлик есабат'!$M$8:$M$507,0)-SUMIFS('Күнлик есабат'!$H$8:$H$507,'Күнлик есабат'!$C$8:$C$507,A166,'Күнлик есабат'!$L$8:$L$507,0,'Күнлик есабат'!$M$8:$M$507,0)</x:f>
        <x:v>0</x:v>
      </x:c>
      <x:c r="L166" s="2" t="n">
        <x:f>SUMIFS('Күнлик есабат'!$G$8:$G$507,'Күнлик есабат'!$C$8:$C$507,A166,'Күнлик есабат'!$L$8:$L$507,0,'Күнлик есабат'!$M$8:$M$507,0)</x:f>
        <x:v>0</x:v>
      </x:c>
      <x:c r="M166" s="2" t="str">
        <x:f>IF(I166="","",MAX(I166-K166,0))</x:f>
      </x:c>
      <x:c r="N166" s="16" t="str">
        <x:f>IF(OR(I166="",I166=0),"",MIN(K166/I166,1))</x:f>
      </x:c>
      <x:c r="O166" s="2" t="n">
        <x:f>24-COUNTIFS('Клиентлер'!$T$8:$T$31,1)</x:f>
        <x:v>24</x:v>
      </x:c>
      <x:c r="P166" s="2" t="n">
        <x:f>IF(AND('Салық календары'!G166=1,ISNUMBER('Салық календары'!F166)),1,0)</x:f>
        <x:v>0</x:v>
      </x:c>
      <x:c r="Q166" s="2" t="str">
        <x:v>Салық</x:v>
      </x:c>
      <x:c r="R166" s="10"/>
      <x:c r="S166" s="2" t="n">
        <x:f>IF(COUNT(I166)=1,1,0)</x:f>
        <x:v>0</x:v>
      </x:c>
    </x:row>
    <x:row r="167" ht="46" customHeight="1">
      <x:c r="A167" s="2" t="n">
        <x:v>160</x:v>
      </x:c>
      <x:c r="B167" s="2" t="n">
        <x:v>160</x:v>
      </x:c>
      <x:c r="C167" s="12" t="n">
        <x:f>'Салық календары'!J167</x:f>
        <x:v>46611</x:v>
      </x:c>
      <x:c r="D167" s="13" t="str">
        <x:v>Социаллық салық төлеми</x:v>
      </x:c>
      <x:c r="E167" s="14" t="n">
        <x:v>46614</x:v>
      </x:c>
      <x:c r="F167" s="14" t="str">
        <x:f>IF('Салық календары'!F167="","",'Салық календары'!F167)</x:f>
      </x:c>
      <x:c r="G167" s="2" t="str">
        <x:v>2027-07</x:v>
      </x:c>
      <x:c r="H167" s="2" t="str">
        <x:v>I</x:v>
      </x:c>
      <x:c r="I167" s="10" t="str">
        <x:f>IF(AND(COUNTIFS('Клиентлер'!$T$8:$T$31,1)=24,COUNT('Клиентлер'!$I$8:$I$31)=24),COUNTIFS('Клиентлер'!$I$8:$I$31,1,'Клиентлер'!$T$8:$T$31,1),"")</x:f>
      </x:c>
      <x:c r="J167" s="10"/>
      <x:c r="K167" s="2" t="n">
        <x:f>SUMIFS('Күнлик есабат'!$F$8:$F$507,'Күнлик есабат'!$C$8:$C$507,A167,'Күнлик есабат'!$L$8:$L$507,0,'Күнлик есабат'!$M$8:$M$507,0)-SUMIFS('Күнлик есабат'!$H$8:$H$507,'Күнлик есабат'!$C$8:$C$507,A167,'Күнлик есабат'!$L$8:$L$507,0,'Күнлик есабат'!$M$8:$M$507,0)</x:f>
        <x:v>0</x:v>
      </x:c>
      <x:c r="L167" s="2" t="n">
        <x:f>SUMIFS('Күнлик есабат'!$G$8:$G$507,'Күнлик есабат'!$C$8:$C$507,A167,'Күнлик есабат'!$L$8:$L$507,0,'Күнлик есабат'!$M$8:$M$507,0)</x:f>
        <x:v>0</x:v>
      </x:c>
      <x:c r="M167" s="2" t="str">
        <x:f>IF(I167="","",MAX(I167-K167,0))</x:f>
      </x:c>
      <x:c r="N167" s="16" t="str">
        <x:f>IF(OR(I167="",I167=0),"",MIN(K167/I167,1))</x:f>
      </x:c>
      <x:c r="O167" s="2" t="n">
        <x:f>24-COUNTIFS('Клиентлер'!$T$8:$T$31,1)</x:f>
        <x:v>24</x:v>
      </x:c>
      <x:c r="P167" s="2" t="n">
        <x:f>IF(AND('Салық календары'!G167=1,ISNUMBER('Салық календары'!F167)),1,0)</x:f>
        <x:v>0</x:v>
      </x:c>
      <x:c r="Q167" s="2" t="str">
        <x:v>Салық</x:v>
      </x:c>
      <x:c r="R167" s="10"/>
      <x:c r="S167" s="2" t="n">
        <x:f>IF(COUNT(I167)=1,1,0)</x:f>
        <x:v>0</x:v>
      </x:c>
    </x:row>
    <x:row r="168" ht="46" customHeight="1">
      <x:c r="A168" s="2" t="n">
        <x:v>161</x:v>
      </x:c>
      <x:c r="B168" s="2" t="n">
        <x:v>161</x:v>
      </x:c>
      <x:c r="C168" s="12" t="n">
        <x:f>'Салық календары'!J168</x:f>
        <x:v>46606</x:v>
      </x:c>
      <x:c r="D168" s="13" t="str">
        <x:v>Акциз есабаты ҳәм төлемин тексериў</x:v>
      </x:c>
      <x:c r="E168" s="14" t="n">
        <x:v>46609</x:v>
      </x:c>
      <x:c r="F168" s="14" t="str">
        <x:f>IF('Салық календары'!F168="","",'Салық календары'!F168)</x:f>
      </x:c>
      <x:c r="G168" s="2" t="str">
        <x:v>2027-07</x:v>
      </x:c>
      <x:c r="H168" s="2" t="str">
        <x:v>N</x:v>
      </x:c>
      <x:c r="I168" s="10" t="str">
        <x:f>IF(AND(COUNTIFS('Клиентлер'!$T$8:$T$31,1)=24,COUNT('Клиентлер'!$N$8:$N$31)=24),COUNTIFS('Клиентлер'!$N$8:$N$31,1,'Клиентлер'!$T$8:$T$31,1),"")</x:f>
      </x:c>
      <x:c r="J168" s="10"/>
      <x:c r="K168" s="2" t="n">
        <x:f>SUMIFS('Күнлик есабат'!$F$8:$F$507,'Күнлик есабат'!$C$8:$C$507,A168,'Күнлик есабат'!$L$8:$L$507,0,'Күнлик есабат'!$M$8:$M$507,0)-SUMIFS('Күнлик есабат'!$H$8:$H$507,'Күнлик есабат'!$C$8:$C$507,A168,'Күнлик есабат'!$L$8:$L$507,0,'Күнлик есабат'!$M$8:$M$507,0)</x:f>
        <x:v>0</x:v>
      </x:c>
      <x:c r="L168" s="2" t="n">
        <x:f>SUMIFS('Күнлик есабат'!$G$8:$G$507,'Күнлик есабат'!$C$8:$C$507,A168,'Күнлик есабат'!$L$8:$L$507,0,'Күнлик есабат'!$M$8:$M$507,0)</x:f>
        <x:v>0</x:v>
      </x:c>
      <x:c r="M168" s="2" t="str">
        <x:f>IF(I168="","",MAX(I168-K168,0))</x:f>
      </x:c>
      <x:c r="N168" s="16" t="str">
        <x:f>IF(OR(I168="",I168=0),"",MIN(K168/I168,1))</x:f>
      </x:c>
      <x:c r="O168" s="2" t="n">
        <x:f>24-COUNTIFS('Клиентлер'!$T$8:$T$31,1)</x:f>
        <x:v>24</x:v>
      </x:c>
      <x:c r="P168" s="2" t="n">
        <x:f>IF(AND('Салық календары'!G168=1,ISNUMBER('Салық календары'!F168)),1,0)</x:f>
        <x:v>0</x:v>
      </x:c>
      <x:c r="Q168" s="2" t="str">
        <x:v>Салық</x:v>
      </x:c>
      <x:c r="R168" s="10"/>
      <x:c r="S168" s="2" t="n">
        <x:f>IF(COUNT(I168)=1,1,0)</x:f>
        <x:v>0</x:v>
      </x:c>
    </x:row>
    <x:row r="169" ht="46" customHeight="1">
      <x:c r="A169" s="2" t="n">
        <x:v>162</x:v>
      </x:c>
      <x:c r="B169" s="2" t="n">
        <x:v>162</x:v>
      </x:c>
      <x:c r="C169" s="12" t="n">
        <x:f>'Салық календары'!J169</x:f>
        <x:v>46616</x:v>
      </x:c>
      <x:c r="D169" s="13" t="str">
        <x:v>Дивиденд ҳәм процент салығы есабаты</x:v>
      </x:c>
      <x:c r="E169" s="14" t="n">
        <x:v>46619</x:v>
      </x:c>
      <x:c r="F169" s="14" t="str">
        <x:f>IF('Салық календары'!F169="","",'Салық календары'!F169)</x:f>
      </x:c>
      <x:c r="G169" s="2" t="str">
        <x:v>2027-07</x:v>
      </x:c>
      <x:c r="H169" s="2" t="str">
        <x:v>O</x:v>
      </x:c>
      <x:c r="I169" s="10" t="str">
        <x:f>IF(AND(COUNTIFS('Клиентлер'!$T$8:$T$31,1)=24,COUNT('Клиентлер'!$O$8:$O$31)=24),COUNTIFS('Клиентлер'!$O$8:$O$31,1,'Клиентлер'!$T$8:$T$31,1),"")</x:f>
      </x:c>
      <x:c r="J169" s="10"/>
      <x:c r="K169" s="2" t="n">
        <x:f>SUMIFS('Күнлик есабат'!$F$8:$F$507,'Күнлик есабат'!$C$8:$C$507,A169,'Күнлик есабат'!$L$8:$L$507,0,'Күнлик есабат'!$M$8:$M$507,0)-SUMIFS('Күнлик есабат'!$H$8:$H$507,'Күнлик есабат'!$C$8:$C$507,A169,'Күнлик есабат'!$L$8:$L$507,0,'Күнлик есабат'!$M$8:$M$507,0)</x:f>
        <x:v>0</x:v>
      </x:c>
      <x:c r="L169" s="2" t="n">
        <x:f>SUMIFS('Күнлик есабат'!$G$8:$G$507,'Күнлик есабат'!$C$8:$C$507,A169,'Күнлик есабат'!$L$8:$L$507,0,'Күнлик есабат'!$M$8:$M$507,0)</x:f>
        <x:v>0</x:v>
      </x:c>
      <x:c r="M169" s="2" t="str">
        <x:f>IF(I169="","",MAX(I169-K169,0))</x:f>
      </x:c>
      <x:c r="N169" s="16" t="str">
        <x:f>IF(OR(I169="",I169=0),"",MIN(K169/I169,1))</x:f>
      </x:c>
      <x:c r="O169" s="2" t="n">
        <x:f>24-COUNTIFS('Клиентлер'!$T$8:$T$31,1)</x:f>
        <x:v>24</x:v>
      </x:c>
      <x:c r="P169" s="2" t="n">
        <x:f>IF(AND('Салық календары'!G169=1,ISNUMBER('Салық календары'!F169)),1,0)</x:f>
        <x:v>0</x:v>
      </x:c>
      <x:c r="Q169" s="2" t="str">
        <x:v>Салық</x:v>
      </x:c>
      <x:c r="R169" s="10"/>
      <x:c r="S169" s="2" t="n">
        <x:f>IF(COUNT(I169)=1,1,0)</x:f>
        <x:v>0</x:v>
      </x:c>
    </x:row>
    <x:row r="170" ht="46" customHeight="1">
      <x:c r="A170" s="2" t="n">
        <x:v>163</x:v>
      </x:c>
      <x:c r="B170" s="2" t="n">
        <x:v>163</x:v>
      </x:c>
      <x:c r="C170" s="12" t="n">
        <x:f>'Салық календары'!J170</x:f>
        <x:v>46616</x:v>
      </x:c>
      <x:c r="D170" s="13" t="str">
        <x:v>Норезидент дәраматы салығы есабаты</x:v>
      </x:c>
      <x:c r="E170" s="14" t="n">
        <x:v>46619</x:v>
      </x:c>
      <x:c r="F170" s="14" t="str">
        <x:f>IF('Салық календары'!F170="","",'Салық календары'!F170)</x:f>
      </x:c>
      <x:c r="G170" s="2" t="str">
        <x:v>2027-07</x:v>
      </x:c>
      <x:c r="H170" s="2" t="str">
        <x:v>P</x:v>
      </x:c>
      <x:c r="I170" s="10" t="str">
        <x:f>IF(AND(COUNTIFS('Клиентлер'!$T$8:$T$31,1)=24,COUNT('Клиентлер'!$P$8:$P$31)=24),COUNTIFS('Клиентлер'!$P$8:$P$31,1,'Клиентлер'!$T$8:$T$31,1),"")</x:f>
      </x:c>
      <x:c r="J170" s="10"/>
      <x:c r="K170" s="2" t="n">
        <x:f>SUMIFS('Күнлик есабат'!$F$8:$F$507,'Күнлик есабат'!$C$8:$C$507,A170,'Күнлик есабат'!$L$8:$L$507,0,'Күнлик есабат'!$M$8:$M$507,0)-SUMIFS('Күнлик есабат'!$H$8:$H$507,'Күнлик есабат'!$C$8:$C$507,A170,'Күнлик есабат'!$L$8:$L$507,0,'Күнлик есабат'!$M$8:$M$507,0)</x:f>
        <x:v>0</x:v>
      </x:c>
      <x:c r="L170" s="2" t="n">
        <x:f>SUMIFS('Күнлик есабат'!$G$8:$G$507,'Күнлик есабат'!$C$8:$C$507,A170,'Күнлик есабат'!$L$8:$L$507,0,'Күнлик есабат'!$M$8:$M$507,0)</x:f>
        <x:v>0</x:v>
      </x:c>
      <x:c r="M170" s="2" t="str">
        <x:f>IF(I170="","",MAX(I170-K170,0))</x:f>
      </x:c>
      <x:c r="N170" s="16" t="str">
        <x:f>IF(OR(I170="",I170=0),"",MIN(K170/I170,1))</x:f>
      </x:c>
      <x:c r="O170" s="2" t="n">
        <x:f>24-COUNTIFS('Клиентлер'!$T$8:$T$31,1)</x:f>
        <x:v>24</x:v>
      </x:c>
      <x:c r="P170" s="2" t="n">
        <x:f>IF(AND('Салық календары'!G170=1,ISNUMBER('Салық календары'!F170)),1,0)</x:f>
        <x:v>0</x:v>
      </x:c>
      <x:c r="Q170" s="2" t="str">
        <x:v>Салық</x:v>
      </x:c>
      <x:c r="R170" s="10"/>
      <x:c r="S170" s="2" t="n">
        <x:f>IF(COUNT(I170)=1,1,0)</x:f>
        <x:v>0</x:v>
      </x:c>
    </x:row>
    <x:row r="171" ht="46" customHeight="1">
      <x:c r="A171" s="2" t="n">
        <x:v>164</x:v>
      </x:c>
      <x:c r="B171" s="2" t="n">
        <x:v>164</x:v>
      </x:c>
      <x:c r="C171" s="12" t="n">
        <x:f>'Салық календары'!J171</x:f>
        <x:v>46616</x:v>
      </x:c>
      <x:c r="D171" s="13" t="str">
        <x:v>Жер қойнаўынан пайдаланыў есабаты</x:v>
      </x:c>
      <x:c r="E171" s="14" t="n">
        <x:v>46619</x:v>
      </x:c>
      <x:c r="F171" s="14" t="str">
        <x:f>IF('Салық календары'!F171="","",'Салық календары'!F171)</x:f>
      </x:c>
      <x:c r="G171" s="2" t="str">
        <x:v>2027-07</x:v>
      </x:c>
      <x:c r="H171" s="2" t="str">
        <x:v>Q</x:v>
      </x:c>
      <x:c r="I171" s="10" t="str">
        <x:f>IF(AND(COUNTIFS('Клиентлер'!$T$8:$T$31,1)=24,COUNT('Клиентлер'!$Q$8:$Q$31)=24),COUNTIFS('Клиентлер'!$Q$8:$Q$31,1,'Клиентлер'!$T$8:$T$31,1),"")</x:f>
      </x:c>
      <x:c r="J171" s="10"/>
      <x:c r="K171" s="2" t="n">
        <x:f>SUMIFS('Күнлик есабат'!$F$8:$F$507,'Күнлик есабат'!$C$8:$C$507,A171,'Күнлик есабат'!$L$8:$L$507,0,'Күнлик есабат'!$M$8:$M$507,0)-SUMIFS('Күнлик есабат'!$H$8:$H$507,'Күнлик есабат'!$C$8:$C$507,A171,'Күнлик есабат'!$L$8:$L$507,0,'Күнлик есабат'!$M$8:$M$507,0)</x:f>
        <x:v>0</x:v>
      </x:c>
      <x:c r="L171" s="2" t="n">
        <x:f>SUMIFS('Күнлик есабат'!$G$8:$G$507,'Күнлик есабат'!$C$8:$C$507,A171,'Күнлик есабат'!$L$8:$L$507,0,'Күнлик есабат'!$M$8:$M$507,0)</x:f>
        <x:v>0</x:v>
      </x:c>
      <x:c r="M171" s="2" t="str">
        <x:f>IF(I171="","",MAX(I171-K171,0))</x:f>
      </x:c>
      <x:c r="N171" s="16" t="str">
        <x:f>IF(OR(I171="",I171=0),"",MIN(K171/I171,1))</x:f>
      </x:c>
      <x:c r="O171" s="2" t="n">
        <x:f>24-COUNTIFS('Клиентлер'!$T$8:$T$31,1)</x:f>
        <x:v>24</x:v>
      </x:c>
      <x:c r="P171" s="2" t="n">
        <x:f>IF(AND('Салық календары'!G171=1,ISNUMBER('Салық календары'!F171)),1,0)</x:f>
        <x:v>0</x:v>
      </x:c>
      <x:c r="Q171" s="2" t="str">
        <x:v>Салық</x:v>
      </x:c>
      <x:c r="R171" s="10"/>
      <x:c r="S171" s="2" t="n">
        <x:f>IF(COUNT(I171)=1,1,0)</x:f>
        <x:v>0</x:v>
      </x:c>
    </x:row>
    <x:row r="172" ht="46" customHeight="1">
      <x:c r="A172" s="2" t="n">
        <x:v>165</x:v>
      </x:c>
      <x:c r="B172" s="2" t="n">
        <x:v>165</x:v>
      </x:c>
      <x:c r="C172" s="12" t="n">
        <x:f>'Салық календары'!J172</x:f>
        <x:v>46619</x:v>
      </x:c>
      <x:c r="D172" s="13" t="str">
        <x:v>Пайда салығы авансы</x:v>
      </x:c>
      <x:c r="E172" s="14" t="n">
        <x:v>46622</x:v>
      </x:c>
      <x:c r="F172" s="14" t="str">
        <x:f>IF('Салық календары'!F172="","",'Салық календары'!F172)</x:f>
      </x:c>
      <x:c r="G172" s="2" t="str">
        <x:v>2027-08</x:v>
      </x:c>
      <x:c r="H172" s="2" t="str">
        <x:v>M</x:v>
      </x:c>
      <x:c r="I172" s="10" t="str">
        <x:f>IF(AND(COUNTIFS('Клиентлер'!$T$8:$T$31,1)=24,COUNT('Клиентлер'!$M$8:$M$31)=24),COUNTIFS('Клиентлер'!$M$8:$M$31,1,'Клиентлер'!$T$8:$T$31,1),"")</x:f>
      </x:c>
      <x:c r="J172" s="10"/>
      <x:c r="K172" s="2" t="n">
        <x:f>SUMIFS('Күнлик есабат'!$F$8:$F$507,'Күнлик есабат'!$C$8:$C$507,A172,'Күнлик есабат'!$L$8:$L$507,0,'Күнлик есабат'!$M$8:$M$507,0)-SUMIFS('Күнлик есабат'!$H$8:$H$507,'Күнлик есабат'!$C$8:$C$507,A172,'Күнлик есабат'!$L$8:$L$507,0,'Күнлик есабат'!$M$8:$M$507,0)</x:f>
        <x:v>0</x:v>
      </x:c>
      <x:c r="L172" s="2" t="n">
        <x:f>SUMIFS('Күнлик есабат'!$G$8:$G$507,'Күнлик есабат'!$C$8:$C$507,A172,'Күнлик есабат'!$L$8:$L$507,0,'Күнлик есабат'!$M$8:$M$507,0)</x:f>
        <x:v>0</x:v>
      </x:c>
      <x:c r="M172" s="2" t="str">
        <x:f>IF(I172="","",MAX(I172-K172,0))</x:f>
      </x:c>
      <x:c r="N172" s="16" t="str">
        <x:f>IF(OR(I172="",I172=0),"",MIN(K172/I172,1))</x:f>
      </x:c>
      <x:c r="O172" s="2" t="n">
        <x:f>24-COUNTIFS('Клиентлер'!$T$8:$T$31,1)</x:f>
        <x:v>24</x:v>
      </x:c>
      <x:c r="P172" s="2" t="n">
        <x:f>IF(AND('Салық календары'!G172=1,ISNUMBER('Салық календары'!F172)),1,0)</x:f>
        <x:v>0</x:v>
      </x:c>
      <x:c r="Q172" s="2" t="str">
        <x:v>Салық</x:v>
      </x:c>
      <x:c r="R172" s="10"/>
      <x:c r="S172" s="2" t="n">
        <x:f>IF(COUNT(I172)=1,1,0)</x:f>
        <x:v>0</x:v>
      </x:c>
    </x:row>
    <x:row r="173" ht="46" customHeight="1">
      <x:c r="A173" s="2" t="n">
        <x:v>166</x:v>
      </x:c>
      <x:c r="B173" s="2" t="n">
        <x:v>166</x:v>
      </x:c>
      <x:c r="C173" s="12" t="n">
        <x:f>'Салық календары'!J173</x:f>
        <x:v>46606</x:v>
      </x:c>
      <x:c r="D173" s="13" t="str">
        <x:v>Мүлк салығы айлық авансы</x:v>
      </x:c>
      <x:c r="E173" s="14" t="n">
        <x:v>46609</x:v>
      </x:c>
      <x:c r="F173" s="14" t="str">
        <x:f>IF('Салық календары'!F173="","",'Салық календары'!F173)</x:f>
      </x:c>
      <x:c r="G173" s="2" t="str">
        <x:v>2027-08</x:v>
      </x:c>
      <x:c r="H173" s="2" t="str">
        <x:v>J</x:v>
      </x:c>
      <x:c r="I173" s="10" t="str">
        <x:f>IF(AND(COUNTIFS('Клиентлер'!$T$8:$T$31,1)=24,COUNT('Клиентлер'!$J$8:$J$31)=24),COUNTIFS('Клиентлер'!$J$8:$J$31,1,'Клиентлер'!$T$8:$T$31,1,'Клиентлер'!$G$8:$G$31,0),"")</x:f>
      </x:c>
      <x:c r="J173" s="10"/>
      <x:c r="K173" s="2" t="n">
        <x:f>SUMIFS('Күнлик есабат'!$F$8:$F$507,'Күнлик есабат'!$C$8:$C$507,A173,'Күнлик есабат'!$L$8:$L$507,0,'Күнлик есабат'!$M$8:$M$507,0)-SUMIFS('Күнлик есабат'!$H$8:$H$507,'Күнлик есабат'!$C$8:$C$507,A173,'Күнлик есабат'!$L$8:$L$507,0,'Күнлик есабат'!$M$8:$M$507,0)</x:f>
        <x:v>0</x:v>
      </x:c>
      <x:c r="L173" s="2" t="n">
        <x:f>SUMIFS('Күнлик есабат'!$G$8:$G$507,'Күнлик есабат'!$C$8:$C$507,A173,'Күнлик есабат'!$L$8:$L$507,0,'Күнлик есабат'!$M$8:$M$507,0)</x:f>
        <x:v>0</x:v>
      </x:c>
      <x:c r="M173" s="2" t="str">
        <x:f>IF(I173="","",MAX(I173-K173,0))</x:f>
      </x:c>
      <x:c r="N173" s="16" t="str">
        <x:f>IF(OR(I173="",I173=0),"",MIN(K173/I173,1))</x:f>
      </x:c>
      <x:c r="O173" s="2" t="n">
        <x:f>24-COUNTIFS('Клиентлер'!$T$8:$T$31,1)</x:f>
        <x:v>24</x:v>
      </x:c>
      <x:c r="P173" s="2" t="n">
        <x:f>IF(AND('Салық календары'!G173=1,ISNUMBER('Салық календары'!F173)),1,0)</x:f>
        <x:v>0</x:v>
      </x:c>
      <x:c r="Q173" s="2" t="str">
        <x:v>Салық</x:v>
      </x:c>
      <x:c r="R173" s="10"/>
      <x:c r="S173" s="2" t="n">
        <x:f>IF(COUNT(I173)=1,1,0)</x:f>
        <x:v>0</x:v>
      </x:c>
    </x:row>
    <x:row r="174" ht="46" customHeight="1">
      <x:c r="A174" s="2" t="n">
        <x:v>167</x:v>
      </x:c>
      <x:c r="B174" s="2" t="n">
        <x:v>167</x:v>
      </x:c>
      <x:c r="C174" s="12" t="n">
        <x:f>'Салық календары'!J174</x:f>
        <x:v>46606</x:v>
      </x:c>
      <x:c r="D174" s="13" t="str">
        <x:v>Жер салығы айлық төлеми</x:v>
      </x:c>
      <x:c r="E174" s="14" t="n">
        <x:v>46609</x:v>
      </x:c>
      <x:c r="F174" s="14" t="str">
        <x:f>IF('Салық календары'!F174="","",'Салық календары'!F174)</x:f>
      </x:c>
      <x:c r="G174" s="2" t="str">
        <x:v>2027-08</x:v>
      </x:c>
      <x:c r="H174" s="2" t="str">
        <x:v>K</x:v>
      </x:c>
      <x:c r="I174" s="10" t="str">
        <x:f>IF(AND(COUNTIFS('Клиентлер'!$T$8:$T$31,1)=24,COUNT('Клиентлер'!$K$8:$K$31)=24),COUNTIFS('Клиентлер'!$K$8:$K$31,1,'Клиентлер'!$T$8:$T$31,1,'Клиентлер'!$G$8:$G$31,0),"")</x:f>
      </x:c>
      <x:c r="J174" s="10"/>
      <x:c r="K174" s="2" t="n">
        <x:f>SUMIFS('Күнлик есабат'!$F$8:$F$507,'Күнлик есабат'!$C$8:$C$507,A174,'Күнлик есабат'!$L$8:$L$507,0,'Күнлик есабат'!$M$8:$M$507,0)-SUMIFS('Күнлик есабат'!$H$8:$H$507,'Күнлик есабат'!$C$8:$C$507,A174,'Күнлик есабат'!$L$8:$L$507,0,'Күнлик есабат'!$M$8:$M$507,0)</x:f>
        <x:v>0</x:v>
      </x:c>
      <x:c r="L174" s="2" t="n">
        <x:f>SUMIFS('Күнлик есабат'!$G$8:$G$507,'Күнлик есабат'!$C$8:$C$507,A174,'Күнлик есабат'!$L$8:$L$507,0,'Күнлик есабат'!$M$8:$M$507,0)</x:f>
        <x:v>0</x:v>
      </x:c>
      <x:c r="M174" s="2" t="str">
        <x:f>IF(I174="","",MAX(I174-K174,0))</x:f>
      </x:c>
      <x:c r="N174" s="16" t="str">
        <x:f>IF(OR(I174="",I174=0),"",MIN(K174/I174,1))</x:f>
      </x:c>
      <x:c r="O174" s="2" t="n">
        <x:f>24-COUNTIFS('Клиентлер'!$T$8:$T$31,1)</x:f>
        <x:v>24</x:v>
      </x:c>
      <x:c r="P174" s="2" t="n">
        <x:f>IF(AND('Салық календары'!G174=1,ISNUMBER('Салық календары'!F174)),1,0)</x:f>
        <x:v>0</x:v>
      </x:c>
      <x:c r="Q174" s="2" t="str">
        <x:v>Салық</x:v>
      </x:c>
      <x:c r="R174" s="10"/>
      <x:c r="S174" s="2" t="n">
        <x:f>IF(COUNT(I174)=1,1,0)</x:f>
        <x:v>0</x:v>
      </x:c>
    </x:row>
    <x:row r="175" ht="46" customHeight="1">
      <x:c r="A175" s="2" t="n">
        <x:v>168</x:v>
      </x:c>
      <x:c r="B175" s="2" t="n">
        <x:v>168</x:v>
      </x:c>
      <x:c r="C175" s="12" t="n">
        <x:f>'Салық календары'!J175</x:f>
        <x:v>46616</x:v>
      </x:c>
      <x:c r="D175" s="13" t="str">
        <x:v>Суў салығы айлық авансы</x:v>
      </x:c>
      <x:c r="E175" s="14" t="n">
        <x:v>46619</x:v>
      </x:c>
      <x:c r="F175" s="14" t="str">
        <x:f>IF('Салық календары'!F175="","",'Салық календары'!F175)</x:f>
      </x:c>
      <x:c r="G175" s="2" t="str">
        <x:v>2027-08</x:v>
      </x:c>
      <x:c r="H175" s="2" t="str">
        <x:v>V</x:v>
      </x:c>
      <x:c r="I175" s="10" t="str">
        <x:f>IF(AND(COUNTIFS('Клиентлер'!$T$8:$T$31,1)=24,COUNT('Клиентлер'!$V$8:$V$31)=24),COUNTIFS('Клиентлер'!$V$8:$V$31,1,'Клиентлер'!$T$8:$T$31,1,'Клиентлер'!$G$8:$G$31,0),"")</x:f>
      </x:c>
      <x:c r="J175" s="10"/>
      <x:c r="K175" s="2" t="n">
        <x:f>SUMIFS('Күнлик есабат'!$F$8:$F$507,'Күнлик есабат'!$C$8:$C$507,A175,'Күнлик есабат'!$L$8:$L$507,0,'Күнлик есабат'!$M$8:$M$507,0)-SUMIFS('Күнлик есабат'!$H$8:$H$507,'Күнлик есабат'!$C$8:$C$507,A175,'Күнлик есабат'!$L$8:$L$507,0,'Күнлик есабат'!$M$8:$M$507,0)</x:f>
        <x:v>0</x:v>
      </x:c>
      <x:c r="L175" s="2" t="n">
        <x:f>SUMIFS('Күнлик есабат'!$G$8:$G$507,'Күнлик есабат'!$C$8:$C$507,A175,'Күнлик есабат'!$L$8:$L$507,0,'Күнлик есабат'!$M$8:$M$507,0)</x:f>
        <x:v>0</x:v>
      </x:c>
      <x:c r="M175" s="2" t="str">
        <x:f>IF(I175="","",MAX(I175-K175,0))</x:f>
      </x:c>
      <x:c r="N175" s="16" t="str">
        <x:f>IF(OR(I175="",I175=0),"",MIN(K175/I175,1))</x:f>
      </x:c>
      <x:c r="O175" s="2" t="n">
        <x:f>24-COUNTIFS('Клиентлер'!$T$8:$T$31,1)</x:f>
        <x:v>24</x:v>
      </x:c>
      <x:c r="P175" s="2" t="n">
        <x:f>IF(AND('Салық календары'!G175=1,ISNUMBER('Салық календары'!F175)),1,0)</x:f>
        <x:v>0</x:v>
      </x:c>
      <x:c r="Q175" s="2" t="str">
        <x:v>Салық</x:v>
      </x:c>
      <x:c r="R175" s="10"/>
      <x:c r="S175" s="2" t="n">
        <x:f>IF(COUNT(I175)=1,1,0)</x:f>
        <x:v>0</x:v>
      </x:c>
    </x:row>
    <x:row r="176" ht="46" customHeight="1">
      <x:c r="A176" s="2" t="n">
        <x:v>169</x:v>
      </x:c>
      <x:c r="B176" s="2" t="n">
        <x:v>169</x:v>
      </x:c>
      <x:c r="C176" s="12" t="n">
        <x:f>'Салық календары'!J176</x:f>
        <x:v>46647</x:v>
      </x:c>
      <x:c r="D176" s="13" t="str">
        <x:v>ҚҚС есабаты</x:v>
      </x:c>
      <x:c r="E176" s="14" t="n">
        <x:v>46650</x:v>
      </x:c>
      <x:c r="F176" s="14" t="str">
        <x:f>IF('Салық календары'!F176="","",'Салық календары'!F176)</x:f>
      </x:c>
      <x:c r="G176" s="2" t="str">
        <x:v>2027-08</x:v>
      </x:c>
      <x:c r="H176" s="2" t="str">
        <x:v>F</x:v>
      </x:c>
      <x:c r="I176" s="10" t="str">
        <x:f>IF(AND(COUNTIFS('Клиентлер'!$T$8:$T$31,1)=24,COUNT('Клиентлер'!$F$8:$F$31)=24),COUNTIFS('Клиентлер'!$F$8:$F$31,1,'Клиентлер'!$T$8:$T$31,1),"")</x:f>
      </x:c>
      <x:c r="J176" s="10"/>
      <x:c r="K176" s="2" t="n">
        <x:f>SUMIFS('Күнлик есабат'!$F$8:$F$507,'Күнлик есабат'!$C$8:$C$507,A176,'Күнлик есабат'!$L$8:$L$507,0,'Күнлик есабат'!$M$8:$M$507,0)-SUMIFS('Күнлик есабат'!$H$8:$H$507,'Күнлик есабат'!$C$8:$C$507,A176,'Күнлик есабат'!$L$8:$L$507,0,'Күнлик есабат'!$M$8:$M$507,0)</x:f>
        <x:v>0</x:v>
      </x:c>
      <x:c r="L176" s="2" t="n">
        <x:f>SUMIFS('Күнлик есабат'!$G$8:$G$507,'Күнлик есабат'!$C$8:$C$507,A176,'Күнлик есабат'!$L$8:$L$507,0,'Күнлик есабат'!$M$8:$M$507,0)</x:f>
        <x:v>0</x:v>
      </x:c>
      <x:c r="M176" s="2" t="str">
        <x:f>IF(I176="","",MAX(I176-K176,0))</x:f>
      </x:c>
      <x:c r="N176" s="16" t="str">
        <x:f>IF(OR(I176="",I176=0),"",MIN(K176/I176,1))</x:f>
      </x:c>
      <x:c r="O176" s="2" t="n">
        <x:f>24-COUNTIFS('Клиентлер'!$T$8:$T$31,1)</x:f>
        <x:v>24</x:v>
      </x:c>
      <x:c r="P176" s="2" t="n">
        <x:f>IF(AND('Салық календары'!G176=1,ISNUMBER('Салық календары'!F176)),1,0)</x:f>
        <x:v>0</x:v>
      </x:c>
      <x:c r="Q176" s="2" t="str">
        <x:v>Салық</x:v>
      </x:c>
      <x:c r="R176" s="10"/>
      <x:c r="S176" s="2" t="n">
        <x:f>IF(COUNT(I176)=1,1,0)</x:f>
        <x:v>0</x:v>
      </x:c>
    </x:row>
    <x:row r="177" ht="46" customHeight="1">
      <x:c r="A177" s="2" t="n">
        <x:v>170</x:v>
      </x:c>
      <x:c r="B177" s="2" t="n">
        <x:v>170</x:v>
      </x:c>
      <x:c r="C177" s="12" t="n">
        <x:f>'Салық календары'!J177</x:f>
        <x:v>46647</x:v>
      </x:c>
      <x:c r="D177" s="13" t="str">
        <x:v>ҚҚС төлеми</x:v>
      </x:c>
      <x:c r="E177" s="14" t="n">
        <x:v>46650</x:v>
      </x:c>
      <x:c r="F177" s="14" t="str">
        <x:f>IF('Салық календары'!F177="","",'Салық календары'!F177)</x:f>
      </x:c>
      <x:c r="G177" s="2" t="str">
        <x:v>2027-08</x:v>
      </x:c>
      <x:c r="H177" s="2" t="str">
        <x:v>F</x:v>
      </x:c>
      <x:c r="I177" s="10" t="str">
        <x:f>IF(AND(COUNTIFS('Клиентлер'!$T$8:$T$31,1)=24,COUNT('Клиентлер'!$F$8:$F$31)=24),COUNTIFS('Клиентлер'!$F$8:$F$31,1,'Клиентлер'!$T$8:$T$31,1),"")</x:f>
      </x:c>
      <x:c r="J177" s="10"/>
      <x:c r="K177" s="2" t="n">
        <x:f>SUMIFS('Күнлик есабат'!$F$8:$F$507,'Күнлик есабат'!$C$8:$C$507,A177,'Күнлик есабат'!$L$8:$L$507,0,'Күнлик есабат'!$M$8:$M$507,0)-SUMIFS('Күнлик есабат'!$H$8:$H$507,'Күнлик есабат'!$C$8:$C$507,A177,'Күнлик есабат'!$L$8:$L$507,0,'Күнлик есабат'!$M$8:$M$507,0)</x:f>
        <x:v>0</x:v>
      </x:c>
      <x:c r="L177" s="2" t="n">
        <x:f>SUMIFS('Күнлик есабат'!$G$8:$G$507,'Күнлик есабат'!$C$8:$C$507,A177,'Күнлик есабат'!$L$8:$L$507,0,'Күнлик есабат'!$M$8:$M$507,0)</x:f>
        <x:v>0</x:v>
      </x:c>
      <x:c r="M177" s="2" t="str">
        <x:f>IF(I177="","",MAX(I177-K177,0))</x:f>
      </x:c>
      <x:c r="N177" s="16" t="str">
        <x:f>IF(OR(I177="",I177=0),"",MIN(K177/I177,1))</x:f>
      </x:c>
      <x:c r="O177" s="2" t="n">
        <x:f>24-COUNTIFS('Клиентлер'!$T$8:$T$31,1)</x:f>
        <x:v>24</x:v>
      </x:c>
      <x:c r="P177" s="2" t="n">
        <x:f>IF(AND('Салық календары'!G177=1,ISNUMBER('Салық календары'!F177)),1,0)</x:f>
        <x:v>0</x:v>
      </x:c>
      <x:c r="Q177" s="2" t="str">
        <x:v>Салық</x:v>
      </x:c>
      <x:c r="R177" s="10"/>
      <x:c r="S177" s="2" t="n">
        <x:f>IF(COUNT(I177)=1,1,0)</x:f>
        <x:v>0</x:v>
      </x:c>
    </x:row>
    <x:row r="178" ht="46" customHeight="1">
      <x:c r="A178" s="2" t="n">
        <x:v>171</x:v>
      </x:c>
      <x:c r="B178" s="2" t="n">
        <x:v>171</x:v>
      </x:c>
      <x:c r="C178" s="12" t="n">
        <x:f>'Салық календары'!J178</x:f>
        <x:v>46642</x:v>
      </x:c>
      <x:c r="D178" s="13" t="str">
        <x:v>Айланба салығы есабаты</x:v>
      </x:c>
      <x:c r="E178" s="14" t="n">
        <x:v>46645</x:v>
      </x:c>
      <x:c r="F178" s="14" t="str">
        <x:f>IF('Салық календары'!F178="","",'Салық календары'!F178)</x:f>
      </x:c>
      <x:c r="G178" s="2" t="str">
        <x:v>2027-08</x:v>
      </x:c>
      <x:c r="H178" s="2" t="str">
        <x:v>G</x:v>
      </x:c>
      <x:c r="I178" s="10" t="str">
        <x:f>IF(AND(COUNTIFS('Клиентлер'!$T$8:$T$31,1)=24,COUNT('Клиентлер'!$G$8:$G$31)=24),COUNTIFS('Клиентлер'!$G$8:$G$31,1,'Клиентлер'!$T$8:$T$31,1),"")</x:f>
      </x:c>
      <x:c r="J178" s="10"/>
      <x:c r="K178" s="2" t="n">
        <x:f>SUMIFS('Күнлик есабат'!$F$8:$F$507,'Күнлик есабат'!$C$8:$C$507,A178,'Күнлик есабат'!$L$8:$L$507,0,'Күнлик есабат'!$M$8:$M$507,0)-SUMIFS('Күнлик есабат'!$H$8:$H$507,'Күнлик есабат'!$C$8:$C$507,A178,'Күнлик есабат'!$L$8:$L$507,0,'Күнлик есабат'!$M$8:$M$507,0)</x:f>
        <x:v>0</x:v>
      </x:c>
      <x:c r="L178" s="2" t="n">
        <x:f>SUMIFS('Күнлик есабат'!$G$8:$G$507,'Күнлик есабат'!$C$8:$C$507,A178,'Күнлик есабат'!$L$8:$L$507,0,'Күнлик есабат'!$M$8:$M$507,0)</x:f>
        <x:v>0</x:v>
      </x:c>
      <x:c r="M178" s="2" t="str">
        <x:f>IF(I178="","",MAX(I178-K178,0))</x:f>
      </x:c>
      <x:c r="N178" s="16" t="str">
        <x:f>IF(OR(I178="",I178=0),"",MIN(K178/I178,1))</x:f>
      </x:c>
      <x:c r="O178" s="2" t="n">
        <x:f>24-COUNTIFS('Клиентлер'!$T$8:$T$31,1)</x:f>
        <x:v>24</x:v>
      </x:c>
      <x:c r="P178" s="2" t="n">
        <x:f>IF(AND('Салық календары'!G178=1,ISNUMBER('Салық календары'!F178)),1,0)</x:f>
        <x:v>0</x:v>
      </x:c>
      <x:c r="Q178" s="2" t="str">
        <x:v>Салық</x:v>
      </x:c>
      <x:c r="R178" s="10"/>
      <x:c r="S178" s="2" t="n">
        <x:f>IF(COUNT(I178)=1,1,0)</x:f>
        <x:v>0</x:v>
      </x:c>
    </x:row>
    <x:row r="179" ht="46" customHeight="1">
      <x:c r="A179" s="2" t="n">
        <x:v>172</x:v>
      </x:c>
      <x:c r="B179" s="2" t="n">
        <x:v>172</x:v>
      </x:c>
      <x:c r="C179" s="12" t="n">
        <x:f>'Салық календары'!J179</x:f>
        <x:v>46642</x:v>
      </x:c>
      <x:c r="D179" s="13" t="str">
        <x:v>Айланба салығы төлеми</x:v>
      </x:c>
      <x:c r="E179" s="14" t="n">
        <x:v>46645</x:v>
      </x:c>
      <x:c r="F179" s="14" t="str">
        <x:f>IF('Салық календары'!F179="","",'Салық календары'!F179)</x:f>
      </x:c>
      <x:c r="G179" s="2" t="str">
        <x:v>2027-08</x:v>
      </x:c>
      <x:c r="H179" s="2" t="str">
        <x:v>G</x:v>
      </x:c>
      <x:c r="I179" s="10" t="str">
        <x:f>IF(AND(COUNTIFS('Клиентлер'!$T$8:$T$31,1)=24,COUNT('Клиентлер'!$G$8:$G$31)=24),COUNTIFS('Клиентлер'!$G$8:$G$31,1,'Клиентлер'!$T$8:$T$31,1),"")</x:f>
      </x:c>
      <x:c r="J179" s="10"/>
      <x:c r="K179" s="2" t="n">
        <x:f>SUMIFS('Күнлик есабат'!$F$8:$F$507,'Күнлик есабат'!$C$8:$C$507,A179,'Күнлик есабат'!$L$8:$L$507,0,'Күнлик есабат'!$M$8:$M$507,0)-SUMIFS('Күнлик есабат'!$H$8:$H$507,'Күнлик есабат'!$C$8:$C$507,A179,'Күнлик есабат'!$L$8:$L$507,0,'Күнлик есабат'!$M$8:$M$507,0)</x:f>
        <x:v>0</x:v>
      </x:c>
      <x:c r="L179" s="2" t="n">
        <x:f>SUMIFS('Күнлик есабат'!$G$8:$G$507,'Күнлик есабат'!$C$8:$C$507,A179,'Күнлик есабат'!$L$8:$L$507,0,'Күнлик есабат'!$M$8:$M$507,0)</x:f>
        <x:v>0</x:v>
      </x:c>
      <x:c r="M179" s="2" t="str">
        <x:f>IF(I179="","",MAX(I179-K179,0))</x:f>
      </x:c>
      <x:c r="N179" s="16" t="str">
        <x:f>IF(OR(I179="",I179=0),"",MIN(K179/I179,1))</x:f>
      </x:c>
      <x:c r="O179" s="2" t="n">
        <x:f>24-COUNTIFS('Клиентлер'!$T$8:$T$31,1)</x:f>
        <x:v>24</x:v>
      </x:c>
      <x:c r="P179" s="2" t="n">
        <x:f>IF(AND('Салық календары'!G179=1,ISNUMBER('Салық календары'!F179)),1,0)</x:f>
        <x:v>0</x:v>
      </x:c>
      <x:c r="Q179" s="2" t="str">
        <x:v>Салық</x:v>
      </x:c>
      <x:c r="R179" s="10"/>
      <x:c r="S179" s="2" t="n">
        <x:f>IF(COUNT(I179)=1,1,0)</x:f>
        <x:v>0</x:v>
      </x:c>
    </x:row>
    <x:row r="180" ht="46" customHeight="1">
      <x:c r="A180" s="2" t="n">
        <x:v>173</x:v>
      </x:c>
      <x:c r="B180" s="2" t="n">
        <x:v>173</x:v>
      </x:c>
      <x:c r="C180" s="12" t="n">
        <x:f>'Салық календары'!J180</x:f>
        <x:v>46642</x:v>
      </x:c>
      <x:c r="D180" s="13" t="str">
        <x:v>Дәрамат салығы есабаты</x:v>
      </x:c>
      <x:c r="E180" s="14" t="n">
        <x:v>46645</x:v>
      </x:c>
      <x:c r="F180" s="14" t="str">
        <x:f>IF('Салық календары'!F180="","",'Салық календары'!F180)</x:f>
      </x:c>
      <x:c r="G180" s="2" t="str">
        <x:v>2027-08</x:v>
      </x:c>
      <x:c r="H180" s="2" t="str">
        <x:v>I</x:v>
      </x:c>
      <x:c r="I180" s="10" t="str">
        <x:f>IF(AND(COUNTIFS('Клиентлер'!$T$8:$T$31,1)=24,COUNT('Клиентлер'!$I$8:$I$31)=24),COUNTIFS('Клиентлер'!$I$8:$I$31,1,'Клиентлер'!$T$8:$T$31,1),"")</x:f>
      </x:c>
      <x:c r="J180" s="10"/>
      <x:c r="K180" s="2" t="n">
        <x:f>SUMIFS('Күнлик есабат'!$F$8:$F$507,'Күнлик есабат'!$C$8:$C$507,A180,'Күнлик есабат'!$L$8:$L$507,0,'Күнлик есабат'!$M$8:$M$507,0)-SUMIFS('Күнлик есабат'!$H$8:$H$507,'Күнлик есабат'!$C$8:$C$507,A180,'Күнлик есабат'!$L$8:$L$507,0,'Күнлик есабат'!$M$8:$M$507,0)</x:f>
        <x:v>0</x:v>
      </x:c>
      <x:c r="L180" s="2" t="n">
        <x:f>SUMIFS('Күнлик есабат'!$G$8:$G$507,'Күнлик есабат'!$C$8:$C$507,A180,'Күнлик есабат'!$L$8:$L$507,0,'Күнлик есабат'!$M$8:$M$507,0)</x:f>
        <x:v>0</x:v>
      </x:c>
      <x:c r="M180" s="2" t="str">
        <x:f>IF(I180="","",MAX(I180-K180,0))</x:f>
      </x:c>
      <x:c r="N180" s="16" t="str">
        <x:f>IF(OR(I180="",I180=0),"",MIN(K180/I180,1))</x:f>
      </x:c>
      <x:c r="O180" s="2" t="n">
        <x:f>24-COUNTIFS('Клиентлер'!$T$8:$T$31,1)</x:f>
        <x:v>24</x:v>
      </x:c>
      <x:c r="P180" s="2" t="n">
        <x:f>IF(AND('Салық календары'!G180=1,ISNUMBER('Салық календары'!F180)),1,0)</x:f>
        <x:v>0</x:v>
      </x:c>
      <x:c r="Q180" s="2" t="str">
        <x:v>Салық</x:v>
      </x:c>
      <x:c r="R180" s="10"/>
      <x:c r="S180" s="2" t="n">
        <x:f>IF(COUNT(I180)=1,1,0)</x:f>
        <x:v>0</x:v>
      </x:c>
    </x:row>
    <x:row r="181" ht="46" customHeight="1">
      <x:c r="A181" s="2" t="n">
        <x:v>174</x:v>
      </x:c>
      <x:c r="B181" s="2" t="n">
        <x:v>174</x:v>
      </x:c>
      <x:c r="C181" s="12" t="n">
        <x:f>'Салық календары'!J181</x:f>
        <x:v>46642</x:v>
      </x:c>
      <x:c r="D181" s="13" t="str">
        <x:v>Социаллық салық есабаты</x:v>
      </x:c>
      <x:c r="E181" s="14" t="n">
        <x:v>46645</x:v>
      </x:c>
      <x:c r="F181" s="14" t="str">
        <x:f>IF('Салық календары'!F181="","",'Салық календары'!F181)</x:f>
      </x:c>
      <x:c r="G181" s="2" t="str">
        <x:v>2027-08</x:v>
      </x:c>
      <x:c r="H181" s="2" t="str">
        <x:v>I</x:v>
      </x:c>
      <x:c r="I181" s="10" t="str">
        <x:f>IF(AND(COUNTIFS('Клиентлер'!$T$8:$T$31,1)=24,COUNT('Клиентлер'!$I$8:$I$31)=24),COUNTIFS('Клиентлер'!$I$8:$I$31,1,'Клиентлер'!$T$8:$T$31,1),"")</x:f>
      </x:c>
      <x:c r="J181" s="10"/>
      <x:c r="K181" s="2" t="n">
        <x:f>SUMIFS('Күнлик есабат'!$F$8:$F$507,'Күнлик есабат'!$C$8:$C$507,A181,'Күнлик есабат'!$L$8:$L$507,0,'Күнлик есабат'!$M$8:$M$507,0)-SUMIFS('Күнлик есабат'!$H$8:$H$507,'Күнлик есабат'!$C$8:$C$507,A181,'Күнлик есабат'!$L$8:$L$507,0,'Күнлик есабат'!$M$8:$M$507,0)</x:f>
        <x:v>0</x:v>
      </x:c>
      <x:c r="L181" s="2" t="n">
        <x:f>SUMIFS('Күнлик есабат'!$G$8:$G$507,'Күнлик есабат'!$C$8:$C$507,A181,'Күнлик есабат'!$L$8:$L$507,0,'Күнлик есабат'!$M$8:$M$507,0)</x:f>
        <x:v>0</x:v>
      </x:c>
      <x:c r="M181" s="2" t="str">
        <x:f>IF(I181="","",MAX(I181-K181,0))</x:f>
      </x:c>
      <x:c r="N181" s="16" t="str">
        <x:f>IF(OR(I181="",I181=0),"",MIN(K181/I181,1))</x:f>
      </x:c>
      <x:c r="O181" s="2" t="n">
        <x:f>24-COUNTIFS('Клиентлер'!$T$8:$T$31,1)</x:f>
        <x:v>24</x:v>
      </x:c>
      <x:c r="P181" s="2" t="n">
        <x:f>IF(AND('Салық календары'!G181=1,ISNUMBER('Салық календары'!F181)),1,0)</x:f>
        <x:v>0</x:v>
      </x:c>
      <x:c r="Q181" s="2" t="str">
        <x:v>Салық</x:v>
      </x:c>
      <x:c r="R181" s="10"/>
      <x:c r="S181" s="2" t="n">
        <x:f>IF(COUNT(I181)=1,1,0)</x:f>
        <x:v>0</x:v>
      </x:c>
    </x:row>
    <x:row r="182" ht="46" customHeight="1">
      <x:c r="A182" s="2" t="n">
        <x:v>175</x:v>
      </x:c>
      <x:c r="B182" s="2" t="n">
        <x:v>175</x:v>
      </x:c>
      <x:c r="C182" s="12" t="n">
        <x:f>'Салық календары'!J182</x:f>
        <x:v>46642</x:v>
      </x:c>
      <x:c r="D182" s="13" t="str">
        <x:v>Социаллық салық төлеми</x:v>
      </x:c>
      <x:c r="E182" s="14" t="n">
        <x:v>46645</x:v>
      </x:c>
      <x:c r="F182" s="14" t="str">
        <x:f>IF('Салық календары'!F182="","",'Салық календары'!F182)</x:f>
      </x:c>
      <x:c r="G182" s="2" t="str">
        <x:v>2027-08</x:v>
      </x:c>
      <x:c r="H182" s="2" t="str">
        <x:v>I</x:v>
      </x:c>
      <x:c r="I182" s="10" t="str">
        <x:f>IF(AND(COUNTIFS('Клиентлер'!$T$8:$T$31,1)=24,COUNT('Клиентлер'!$I$8:$I$31)=24),COUNTIFS('Клиентлер'!$I$8:$I$31,1,'Клиентлер'!$T$8:$T$31,1),"")</x:f>
      </x:c>
      <x:c r="J182" s="10"/>
      <x:c r="K182" s="2" t="n">
        <x:f>SUMIFS('Күнлик есабат'!$F$8:$F$507,'Күнлик есабат'!$C$8:$C$507,A182,'Күнлик есабат'!$L$8:$L$507,0,'Күнлик есабат'!$M$8:$M$507,0)-SUMIFS('Күнлик есабат'!$H$8:$H$507,'Күнлик есабат'!$C$8:$C$507,A182,'Күнлик есабат'!$L$8:$L$507,0,'Күнлик есабат'!$M$8:$M$507,0)</x:f>
        <x:v>0</x:v>
      </x:c>
      <x:c r="L182" s="2" t="n">
        <x:f>SUMIFS('Күнлик есабат'!$G$8:$G$507,'Күнлик есабат'!$C$8:$C$507,A182,'Күнлик есабат'!$L$8:$L$507,0,'Күнлик есабат'!$M$8:$M$507,0)</x:f>
        <x:v>0</x:v>
      </x:c>
      <x:c r="M182" s="2" t="str">
        <x:f>IF(I182="","",MAX(I182-K182,0))</x:f>
      </x:c>
      <x:c r="N182" s="16" t="str">
        <x:f>IF(OR(I182="",I182=0),"",MIN(K182/I182,1))</x:f>
      </x:c>
      <x:c r="O182" s="2" t="n">
        <x:f>24-COUNTIFS('Клиентлер'!$T$8:$T$31,1)</x:f>
        <x:v>24</x:v>
      </x:c>
      <x:c r="P182" s="2" t="n">
        <x:f>IF(AND('Салық календары'!G182=1,ISNUMBER('Салық календары'!F182)),1,0)</x:f>
        <x:v>0</x:v>
      </x:c>
      <x:c r="Q182" s="2" t="str">
        <x:v>Салық</x:v>
      </x:c>
      <x:c r="R182" s="10"/>
      <x:c r="S182" s="2" t="n">
        <x:f>IF(COUNT(I182)=1,1,0)</x:f>
        <x:v>0</x:v>
      </x:c>
    </x:row>
    <x:row r="183" ht="46" customHeight="1">
      <x:c r="A183" s="2" t="n">
        <x:v>176</x:v>
      </x:c>
      <x:c r="B183" s="2" t="n">
        <x:v>176</x:v>
      </x:c>
      <x:c r="C183" s="12" t="n">
        <x:f>'Салық календары'!J183</x:f>
        <x:v>46637</x:v>
      </x:c>
      <x:c r="D183" s="13" t="str">
        <x:v>Акциз есабаты ҳәм төлемин тексериў</x:v>
      </x:c>
      <x:c r="E183" s="14" t="n">
        <x:v>46640</x:v>
      </x:c>
      <x:c r="F183" s="14" t="str">
        <x:f>IF('Салық календары'!F183="","",'Салық календары'!F183)</x:f>
      </x:c>
      <x:c r="G183" s="2" t="str">
        <x:v>2027-08</x:v>
      </x:c>
      <x:c r="H183" s="2" t="str">
        <x:v>N</x:v>
      </x:c>
      <x:c r="I183" s="10" t="str">
        <x:f>IF(AND(COUNTIFS('Клиентлер'!$T$8:$T$31,1)=24,COUNT('Клиентлер'!$N$8:$N$31)=24),COUNTIFS('Клиентлер'!$N$8:$N$31,1,'Клиентлер'!$T$8:$T$31,1),"")</x:f>
      </x:c>
      <x:c r="J183" s="10"/>
      <x:c r="K183" s="2" t="n">
        <x:f>SUMIFS('Күнлик есабат'!$F$8:$F$507,'Күнлик есабат'!$C$8:$C$507,A183,'Күнлик есабат'!$L$8:$L$507,0,'Күнлик есабат'!$M$8:$M$507,0)-SUMIFS('Күнлик есабат'!$H$8:$H$507,'Күнлик есабат'!$C$8:$C$507,A183,'Күнлик есабат'!$L$8:$L$507,0,'Күнлик есабат'!$M$8:$M$507,0)</x:f>
        <x:v>0</x:v>
      </x:c>
      <x:c r="L183" s="2" t="n">
        <x:f>SUMIFS('Күнлик есабат'!$G$8:$G$507,'Күнлик есабат'!$C$8:$C$507,A183,'Күнлик есабат'!$L$8:$L$507,0,'Күнлик есабат'!$M$8:$M$507,0)</x:f>
        <x:v>0</x:v>
      </x:c>
      <x:c r="M183" s="2" t="str">
        <x:f>IF(I183="","",MAX(I183-K183,0))</x:f>
      </x:c>
      <x:c r="N183" s="16" t="str">
        <x:f>IF(OR(I183="",I183=0),"",MIN(K183/I183,1))</x:f>
      </x:c>
      <x:c r="O183" s="2" t="n">
        <x:f>24-COUNTIFS('Клиентлер'!$T$8:$T$31,1)</x:f>
        <x:v>24</x:v>
      </x:c>
      <x:c r="P183" s="2" t="n">
        <x:f>IF(AND('Салық календары'!G183=1,ISNUMBER('Салық календары'!F183)),1,0)</x:f>
        <x:v>0</x:v>
      </x:c>
      <x:c r="Q183" s="2" t="str">
        <x:v>Салық</x:v>
      </x:c>
      <x:c r="R183" s="10"/>
      <x:c r="S183" s="2" t="n">
        <x:f>IF(COUNT(I183)=1,1,0)</x:f>
        <x:v>0</x:v>
      </x:c>
    </x:row>
    <x:row r="184" ht="46" customHeight="1">
      <x:c r="A184" s="2" t="n">
        <x:v>177</x:v>
      </x:c>
      <x:c r="B184" s="2" t="n">
        <x:v>177</x:v>
      </x:c>
      <x:c r="C184" s="12" t="n">
        <x:f>'Салық календары'!J184</x:f>
        <x:v>46647</x:v>
      </x:c>
      <x:c r="D184" s="13" t="str">
        <x:v>Дивиденд ҳәм процент салығы есабаты</x:v>
      </x:c>
      <x:c r="E184" s="14" t="n">
        <x:v>46650</x:v>
      </x:c>
      <x:c r="F184" s="14" t="str">
        <x:f>IF('Салық календары'!F184="","",'Салық календары'!F184)</x:f>
      </x:c>
      <x:c r="G184" s="2" t="str">
        <x:v>2027-08</x:v>
      </x:c>
      <x:c r="H184" s="2" t="str">
        <x:v>O</x:v>
      </x:c>
      <x:c r="I184" s="10" t="str">
        <x:f>IF(AND(COUNTIFS('Клиентлер'!$T$8:$T$31,1)=24,COUNT('Клиентлер'!$O$8:$O$31)=24),COUNTIFS('Клиентлер'!$O$8:$O$31,1,'Клиентлер'!$T$8:$T$31,1),"")</x:f>
      </x:c>
      <x:c r="J184" s="10"/>
      <x:c r="K184" s="2" t="n">
        <x:f>SUMIFS('Күнлик есабат'!$F$8:$F$507,'Күнлик есабат'!$C$8:$C$507,A184,'Күнлик есабат'!$L$8:$L$507,0,'Күнлик есабат'!$M$8:$M$507,0)-SUMIFS('Күнлик есабат'!$H$8:$H$507,'Күнлик есабат'!$C$8:$C$507,A184,'Күнлик есабат'!$L$8:$L$507,0,'Күнлик есабат'!$M$8:$M$507,0)</x:f>
        <x:v>0</x:v>
      </x:c>
      <x:c r="L184" s="2" t="n">
        <x:f>SUMIFS('Күнлик есабат'!$G$8:$G$507,'Күнлик есабат'!$C$8:$C$507,A184,'Күнлик есабат'!$L$8:$L$507,0,'Күнлик есабат'!$M$8:$M$507,0)</x:f>
        <x:v>0</x:v>
      </x:c>
      <x:c r="M184" s="2" t="str">
        <x:f>IF(I184="","",MAX(I184-K184,0))</x:f>
      </x:c>
      <x:c r="N184" s="16" t="str">
        <x:f>IF(OR(I184="",I184=0),"",MIN(K184/I184,1))</x:f>
      </x:c>
      <x:c r="O184" s="2" t="n">
        <x:f>24-COUNTIFS('Клиентлер'!$T$8:$T$31,1)</x:f>
        <x:v>24</x:v>
      </x:c>
      <x:c r="P184" s="2" t="n">
        <x:f>IF(AND('Салық календары'!G184=1,ISNUMBER('Салық календары'!F184)),1,0)</x:f>
        <x:v>0</x:v>
      </x:c>
      <x:c r="Q184" s="2" t="str">
        <x:v>Салық</x:v>
      </x:c>
      <x:c r="R184" s="10"/>
      <x:c r="S184" s="2" t="n">
        <x:f>IF(COUNT(I184)=1,1,0)</x:f>
        <x:v>0</x:v>
      </x:c>
    </x:row>
    <x:row r="185" ht="46" customHeight="1">
      <x:c r="A185" s="2" t="n">
        <x:v>178</x:v>
      </x:c>
      <x:c r="B185" s="2" t="n">
        <x:v>178</x:v>
      </x:c>
      <x:c r="C185" s="12" t="n">
        <x:f>'Салық календары'!J185</x:f>
        <x:v>46647</x:v>
      </x:c>
      <x:c r="D185" s="13" t="str">
        <x:v>Норезидент дәраматы салығы есабаты</x:v>
      </x:c>
      <x:c r="E185" s="14" t="n">
        <x:v>46650</x:v>
      </x:c>
      <x:c r="F185" s="14" t="str">
        <x:f>IF('Салық календары'!F185="","",'Салық календары'!F185)</x:f>
      </x:c>
      <x:c r="G185" s="2" t="str">
        <x:v>2027-08</x:v>
      </x:c>
      <x:c r="H185" s="2" t="str">
        <x:v>P</x:v>
      </x:c>
      <x:c r="I185" s="10" t="str">
        <x:f>IF(AND(COUNTIFS('Клиентлер'!$T$8:$T$31,1)=24,COUNT('Клиентлер'!$P$8:$P$31)=24),COUNTIFS('Клиентлер'!$P$8:$P$31,1,'Клиентлер'!$T$8:$T$31,1),"")</x:f>
      </x:c>
      <x:c r="J185" s="10"/>
      <x:c r="K185" s="2" t="n">
        <x:f>SUMIFS('Күнлик есабат'!$F$8:$F$507,'Күнлик есабат'!$C$8:$C$507,A185,'Күнлик есабат'!$L$8:$L$507,0,'Күнлик есабат'!$M$8:$M$507,0)-SUMIFS('Күнлик есабат'!$H$8:$H$507,'Күнлик есабат'!$C$8:$C$507,A185,'Күнлик есабат'!$L$8:$L$507,0,'Күнлик есабат'!$M$8:$M$507,0)</x:f>
        <x:v>0</x:v>
      </x:c>
      <x:c r="L185" s="2" t="n">
        <x:f>SUMIFS('Күнлик есабат'!$G$8:$G$507,'Күнлик есабат'!$C$8:$C$507,A185,'Күнлик есабат'!$L$8:$L$507,0,'Күнлик есабат'!$M$8:$M$507,0)</x:f>
        <x:v>0</x:v>
      </x:c>
      <x:c r="M185" s="2" t="str">
        <x:f>IF(I185="","",MAX(I185-K185,0))</x:f>
      </x:c>
      <x:c r="N185" s="16" t="str">
        <x:f>IF(OR(I185="",I185=0),"",MIN(K185/I185,1))</x:f>
      </x:c>
      <x:c r="O185" s="2" t="n">
        <x:f>24-COUNTIFS('Клиентлер'!$T$8:$T$31,1)</x:f>
        <x:v>24</x:v>
      </x:c>
      <x:c r="P185" s="2" t="n">
        <x:f>IF(AND('Салық календары'!G185=1,ISNUMBER('Салық календары'!F185)),1,0)</x:f>
        <x:v>0</x:v>
      </x:c>
      <x:c r="Q185" s="2" t="str">
        <x:v>Салық</x:v>
      </x:c>
      <x:c r="R185" s="10"/>
      <x:c r="S185" s="2" t="n">
        <x:f>IF(COUNT(I185)=1,1,0)</x:f>
        <x:v>0</x:v>
      </x:c>
    </x:row>
    <x:row r="186" ht="46" customHeight="1">
      <x:c r="A186" s="2" t="n">
        <x:v>179</x:v>
      </x:c>
      <x:c r="B186" s="2" t="n">
        <x:v>179</x:v>
      </x:c>
      <x:c r="C186" s="12" t="n">
        <x:f>'Салық календары'!J186</x:f>
        <x:v>46647</x:v>
      </x:c>
      <x:c r="D186" s="13" t="str">
        <x:v>Жер қойнаўынан пайдаланыў есабаты</x:v>
      </x:c>
      <x:c r="E186" s="14" t="n">
        <x:v>46650</x:v>
      </x:c>
      <x:c r="F186" s="14" t="str">
        <x:f>IF('Салық календары'!F186="","",'Салық календары'!F186)</x:f>
      </x:c>
      <x:c r="G186" s="2" t="str">
        <x:v>2027-08</x:v>
      </x:c>
      <x:c r="H186" s="2" t="str">
        <x:v>Q</x:v>
      </x:c>
      <x:c r="I186" s="10" t="str">
        <x:f>IF(AND(COUNTIFS('Клиентлер'!$T$8:$T$31,1)=24,COUNT('Клиентлер'!$Q$8:$Q$31)=24),COUNTIFS('Клиентлер'!$Q$8:$Q$31,1,'Клиентлер'!$T$8:$T$31,1),"")</x:f>
      </x:c>
      <x:c r="J186" s="10"/>
      <x:c r="K186" s="2" t="n">
        <x:f>SUMIFS('Күнлик есабат'!$F$8:$F$507,'Күнлик есабат'!$C$8:$C$507,A186,'Күнлик есабат'!$L$8:$L$507,0,'Күнлик есабат'!$M$8:$M$507,0)-SUMIFS('Күнлик есабат'!$H$8:$H$507,'Күнлик есабат'!$C$8:$C$507,A186,'Күнлик есабат'!$L$8:$L$507,0,'Күнлик есабат'!$M$8:$M$507,0)</x:f>
        <x:v>0</x:v>
      </x:c>
      <x:c r="L186" s="2" t="n">
        <x:f>SUMIFS('Күнлик есабат'!$G$8:$G$507,'Күнлик есабат'!$C$8:$C$507,A186,'Күнлик есабат'!$L$8:$L$507,0,'Күнлик есабат'!$M$8:$M$507,0)</x:f>
        <x:v>0</x:v>
      </x:c>
      <x:c r="M186" s="2" t="str">
        <x:f>IF(I186="","",MAX(I186-K186,0))</x:f>
      </x:c>
      <x:c r="N186" s="16" t="str">
        <x:f>IF(OR(I186="",I186=0),"",MIN(K186/I186,1))</x:f>
      </x:c>
      <x:c r="O186" s="2" t="n">
        <x:f>24-COUNTIFS('Клиентлер'!$T$8:$T$31,1)</x:f>
        <x:v>24</x:v>
      </x:c>
      <x:c r="P186" s="2" t="n">
        <x:f>IF(AND('Салық календары'!G186=1,ISNUMBER('Салық календары'!F186)),1,0)</x:f>
        <x:v>0</x:v>
      </x:c>
      <x:c r="Q186" s="2" t="str">
        <x:v>Салық</x:v>
      </x:c>
      <x:c r="R186" s="10"/>
      <x:c r="S186" s="2" t="n">
        <x:f>IF(COUNT(I186)=1,1,0)</x:f>
        <x:v>0</x:v>
      </x:c>
    </x:row>
    <x:row r="187" ht="46" customHeight="1">
      <x:c r="A187" s="2" t="n">
        <x:v>180</x:v>
      </x:c>
      <x:c r="B187" s="2" t="n">
        <x:v>180</x:v>
      </x:c>
      <x:c r="C187" s="12" t="n">
        <x:f>'Салық календары'!J187</x:f>
        <x:v>46650</x:v>
      </x:c>
      <x:c r="D187" s="13" t="str">
        <x:v>Пайда салығы авансы</x:v>
      </x:c>
      <x:c r="E187" s="14" t="n">
        <x:v>46653</x:v>
      </x:c>
      <x:c r="F187" s="14" t="str">
        <x:f>IF('Салық календары'!F187="","",'Салық календары'!F187)</x:f>
      </x:c>
      <x:c r="G187" s="2" t="str">
        <x:v>2027-09</x:v>
      </x:c>
      <x:c r="H187" s="2" t="str">
        <x:v>M</x:v>
      </x:c>
      <x:c r="I187" s="10" t="str">
        <x:f>IF(AND(COUNTIFS('Клиентлер'!$T$8:$T$31,1)=24,COUNT('Клиентлер'!$M$8:$M$31)=24),COUNTIFS('Клиентлер'!$M$8:$M$31,1,'Клиентлер'!$T$8:$T$31,1),"")</x:f>
      </x:c>
      <x:c r="J187" s="10"/>
      <x:c r="K187" s="2" t="n">
        <x:f>SUMIFS('Күнлик есабат'!$F$8:$F$507,'Күнлик есабат'!$C$8:$C$507,A187,'Күнлик есабат'!$L$8:$L$507,0,'Күнлик есабат'!$M$8:$M$507,0)-SUMIFS('Күнлик есабат'!$H$8:$H$507,'Күнлик есабат'!$C$8:$C$507,A187,'Күнлик есабат'!$L$8:$L$507,0,'Күнлик есабат'!$M$8:$M$507,0)</x:f>
        <x:v>0</x:v>
      </x:c>
      <x:c r="L187" s="2" t="n">
        <x:f>SUMIFS('Күнлик есабат'!$G$8:$G$507,'Күнлик есабат'!$C$8:$C$507,A187,'Күнлик есабат'!$L$8:$L$507,0,'Күнлик есабат'!$M$8:$M$507,0)</x:f>
        <x:v>0</x:v>
      </x:c>
      <x:c r="M187" s="2" t="str">
        <x:f>IF(I187="","",MAX(I187-K187,0))</x:f>
      </x:c>
      <x:c r="N187" s="16" t="str">
        <x:f>IF(OR(I187="",I187=0),"",MIN(K187/I187,1))</x:f>
      </x:c>
      <x:c r="O187" s="2" t="n">
        <x:f>24-COUNTIFS('Клиентлер'!$T$8:$T$31,1)</x:f>
        <x:v>24</x:v>
      </x:c>
      <x:c r="P187" s="2" t="n">
        <x:f>IF(AND('Салық календары'!G187=1,ISNUMBER('Салық календары'!F187)),1,0)</x:f>
        <x:v>0</x:v>
      </x:c>
      <x:c r="Q187" s="2" t="str">
        <x:v>Салық</x:v>
      </x:c>
      <x:c r="R187" s="10"/>
      <x:c r="S187" s="2" t="n">
        <x:f>IF(COUNT(I187)=1,1,0)</x:f>
        <x:v>0</x:v>
      </x:c>
    </x:row>
    <x:row r="188" ht="46" customHeight="1">
      <x:c r="A188" s="2" t="n">
        <x:v>181</x:v>
      </x:c>
      <x:c r="B188" s="2" t="n">
        <x:v>181</x:v>
      </x:c>
      <x:c r="C188" s="12" t="n">
        <x:f>'Салық календары'!J188</x:f>
        <x:v>46637</x:v>
      </x:c>
      <x:c r="D188" s="13" t="str">
        <x:v>Мүлк салығы айлық авансы</x:v>
      </x:c>
      <x:c r="E188" s="14" t="n">
        <x:v>46640</x:v>
      </x:c>
      <x:c r="F188" s="14" t="str">
        <x:f>IF('Салық календары'!F188="","",'Салық календары'!F188)</x:f>
      </x:c>
      <x:c r="G188" s="2" t="str">
        <x:v>2027-09</x:v>
      </x:c>
      <x:c r="H188" s="2" t="str">
        <x:v>J</x:v>
      </x:c>
      <x:c r="I188" s="10" t="str">
        <x:f>IF(AND(COUNTIFS('Клиентлер'!$T$8:$T$31,1)=24,COUNT('Клиентлер'!$J$8:$J$31)=24),COUNTIFS('Клиентлер'!$J$8:$J$31,1,'Клиентлер'!$T$8:$T$31,1,'Клиентлер'!$G$8:$G$31,0),"")</x:f>
      </x:c>
      <x:c r="J188" s="10"/>
      <x:c r="K188" s="2" t="n">
        <x:f>SUMIFS('Күнлик есабат'!$F$8:$F$507,'Күнлик есабат'!$C$8:$C$507,A188,'Күнлик есабат'!$L$8:$L$507,0,'Күнлик есабат'!$M$8:$M$507,0)-SUMIFS('Күнлик есабат'!$H$8:$H$507,'Күнлик есабат'!$C$8:$C$507,A188,'Күнлик есабат'!$L$8:$L$507,0,'Күнлик есабат'!$M$8:$M$507,0)</x:f>
        <x:v>0</x:v>
      </x:c>
      <x:c r="L188" s="2" t="n">
        <x:f>SUMIFS('Күнлик есабат'!$G$8:$G$507,'Күнлик есабат'!$C$8:$C$507,A188,'Күнлик есабат'!$L$8:$L$507,0,'Күнлик есабат'!$M$8:$M$507,0)</x:f>
        <x:v>0</x:v>
      </x:c>
      <x:c r="M188" s="2" t="str">
        <x:f>IF(I188="","",MAX(I188-K188,0))</x:f>
      </x:c>
      <x:c r="N188" s="16" t="str">
        <x:f>IF(OR(I188="",I188=0),"",MIN(K188/I188,1))</x:f>
      </x:c>
      <x:c r="O188" s="2" t="n">
        <x:f>24-COUNTIFS('Клиентлер'!$T$8:$T$31,1)</x:f>
        <x:v>24</x:v>
      </x:c>
      <x:c r="P188" s="2" t="n">
        <x:f>IF(AND('Салық календары'!G188=1,ISNUMBER('Салық календары'!F188)),1,0)</x:f>
        <x:v>0</x:v>
      </x:c>
      <x:c r="Q188" s="2" t="str">
        <x:v>Салық</x:v>
      </x:c>
      <x:c r="R188" s="10"/>
      <x:c r="S188" s="2" t="n">
        <x:f>IF(COUNT(I188)=1,1,0)</x:f>
        <x:v>0</x:v>
      </x:c>
    </x:row>
    <x:row r="189" ht="46" customHeight="1">
      <x:c r="A189" s="2" t="n">
        <x:v>182</x:v>
      </x:c>
      <x:c r="B189" s="2" t="n">
        <x:v>182</x:v>
      </x:c>
      <x:c r="C189" s="12" t="n">
        <x:f>'Салық календары'!J189</x:f>
        <x:v>46637</x:v>
      </x:c>
      <x:c r="D189" s="13" t="str">
        <x:v>Жер салығы айлық төлеми</x:v>
      </x:c>
      <x:c r="E189" s="14" t="n">
        <x:v>46640</x:v>
      </x:c>
      <x:c r="F189" s="14" t="str">
        <x:f>IF('Салық календары'!F189="","",'Салық календары'!F189)</x:f>
      </x:c>
      <x:c r="G189" s="2" t="str">
        <x:v>2027-09</x:v>
      </x:c>
      <x:c r="H189" s="2" t="str">
        <x:v>K</x:v>
      </x:c>
      <x:c r="I189" s="10" t="str">
        <x:f>IF(AND(COUNTIFS('Клиентлер'!$T$8:$T$31,1)=24,COUNT('Клиентлер'!$K$8:$K$31)=24),COUNTIFS('Клиентлер'!$K$8:$K$31,1,'Клиентлер'!$T$8:$T$31,1,'Клиентлер'!$G$8:$G$31,0),"")</x:f>
      </x:c>
      <x:c r="J189" s="10"/>
      <x:c r="K189" s="2" t="n">
        <x:f>SUMIFS('Күнлик есабат'!$F$8:$F$507,'Күнлик есабат'!$C$8:$C$507,A189,'Күнлик есабат'!$L$8:$L$507,0,'Күнлик есабат'!$M$8:$M$507,0)-SUMIFS('Күнлик есабат'!$H$8:$H$507,'Күнлик есабат'!$C$8:$C$507,A189,'Күнлик есабат'!$L$8:$L$507,0,'Күнлик есабат'!$M$8:$M$507,0)</x:f>
        <x:v>0</x:v>
      </x:c>
      <x:c r="L189" s="2" t="n">
        <x:f>SUMIFS('Күнлик есабат'!$G$8:$G$507,'Күнлик есабат'!$C$8:$C$507,A189,'Күнлик есабат'!$L$8:$L$507,0,'Күнлик есабат'!$M$8:$M$507,0)</x:f>
        <x:v>0</x:v>
      </x:c>
      <x:c r="M189" s="2" t="str">
        <x:f>IF(I189="","",MAX(I189-K189,0))</x:f>
      </x:c>
      <x:c r="N189" s="16" t="str">
        <x:f>IF(OR(I189="",I189=0),"",MIN(K189/I189,1))</x:f>
      </x:c>
      <x:c r="O189" s="2" t="n">
        <x:f>24-COUNTIFS('Клиентлер'!$T$8:$T$31,1)</x:f>
        <x:v>24</x:v>
      </x:c>
      <x:c r="P189" s="2" t="n">
        <x:f>IF(AND('Салық календары'!G189=1,ISNUMBER('Салық календары'!F189)),1,0)</x:f>
        <x:v>0</x:v>
      </x:c>
      <x:c r="Q189" s="2" t="str">
        <x:v>Салық</x:v>
      </x:c>
      <x:c r="R189" s="10"/>
      <x:c r="S189" s="2" t="n">
        <x:f>IF(COUNT(I189)=1,1,0)</x:f>
        <x:v>0</x:v>
      </x:c>
    </x:row>
    <x:row r="190" ht="46" customHeight="1">
      <x:c r="A190" s="2" t="n">
        <x:v>183</x:v>
      </x:c>
      <x:c r="B190" s="2" t="n">
        <x:v>183</x:v>
      </x:c>
      <x:c r="C190" s="12" t="n">
        <x:f>'Салық календары'!J190</x:f>
        <x:v>46647</x:v>
      </x:c>
      <x:c r="D190" s="13" t="str">
        <x:v>Суў салығы айлық авансы</x:v>
      </x:c>
      <x:c r="E190" s="14" t="n">
        <x:v>46650</x:v>
      </x:c>
      <x:c r="F190" s="14" t="str">
        <x:f>IF('Салық календары'!F190="","",'Салық календары'!F190)</x:f>
      </x:c>
      <x:c r="G190" s="2" t="str">
        <x:v>2027-09</x:v>
      </x:c>
      <x:c r="H190" s="2" t="str">
        <x:v>V</x:v>
      </x:c>
      <x:c r="I190" s="10" t="str">
        <x:f>IF(AND(COUNTIFS('Клиентлер'!$T$8:$T$31,1)=24,COUNT('Клиентлер'!$V$8:$V$31)=24),COUNTIFS('Клиентлер'!$V$8:$V$31,1,'Клиентлер'!$T$8:$T$31,1,'Клиентлер'!$G$8:$G$31,0),"")</x:f>
      </x:c>
      <x:c r="J190" s="10"/>
      <x:c r="K190" s="2" t="n">
        <x:f>SUMIFS('Күнлик есабат'!$F$8:$F$507,'Күнлик есабат'!$C$8:$C$507,A190,'Күнлик есабат'!$L$8:$L$507,0,'Күнлик есабат'!$M$8:$M$507,0)-SUMIFS('Күнлик есабат'!$H$8:$H$507,'Күнлик есабат'!$C$8:$C$507,A190,'Күнлик есабат'!$L$8:$L$507,0,'Күнлик есабат'!$M$8:$M$507,0)</x:f>
        <x:v>0</x:v>
      </x:c>
      <x:c r="L190" s="2" t="n">
        <x:f>SUMIFS('Күнлик есабат'!$G$8:$G$507,'Күнлик есабат'!$C$8:$C$507,A190,'Күнлик есабат'!$L$8:$L$507,0,'Күнлик есабат'!$M$8:$M$507,0)</x:f>
        <x:v>0</x:v>
      </x:c>
      <x:c r="M190" s="2" t="str">
        <x:f>IF(I190="","",MAX(I190-K190,0))</x:f>
      </x:c>
      <x:c r="N190" s="16" t="str">
        <x:f>IF(OR(I190="",I190=0),"",MIN(K190/I190,1))</x:f>
      </x:c>
      <x:c r="O190" s="2" t="n">
        <x:f>24-COUNTIFS('Клиентлер'!$T$8:$T$31,1)</x:f>
        <x:v>24</x:v>
      </x:c>
      <x:c r="P190" s="2" t="n">
        <x:f>IF(AND('Салық календары'!G190=1,ISNUMBER('Салық календары'!F190)),1,0)</x:f>
        <x:v>0</x:v>
      </x:c>
      <x:c r="Q190" s="2" t="str">
        <x:v>Салық</x:v>
      </x:c>
      <x:c r="R190" s="10"/>
      <x:c r="S190" s="2" t="n">
        <x:f>IF(COUNT(I190)=1,1,0)</x:f>
        <x:v>0</x:v>
      </x:c>
    </x:row>
    <x:row r="191" ht="46" customHeight="1">
      <x:c r="A191" s="2" t="n">
        <x:v>184</x:v>
      </x:c>
      <x:c r="B191" s="2" t="n">
        <x:v>184</x:v>
      </x:c>
      <x:c r="C191" s="12" t="n">
        <x:f>'Салық календары'!J191</x:f>
        <x:v>46677</x:v>
      </x:c>
      <x:c r="D191" s="13" t="str">
        <x:v>ҚҚС есабаты</x:v>
      </x:c>
      <x:c r="E191" s="14" t="n">
        <x:v>46680</x:v>
      </x:c>
      <x:c r="F191" s="14" t="str">
        <x:f>IF('Салық календары'!F191="","",'Салық календары'!F191)</x:f>
      </x:c>
      <x:c r="G191" s="2" t="str">
        <x:v>2027-09</x:v>
      </x:c>
      <x:c r="H191" s="2" t="str">
        <x:v>F</x:v>
      </x:c>
      <x:c r="I191" s="10" t="str">
        <x:f>IF(AND(COUNTIFS('Клиентлер'!$T$8:$T$31,1)=24,COUNT('Клиентлер'!$F$8:$F$31)=24),COUNTIFS('Клиентлер'!$F$8:$F$31,1,'Клиентлер'!$T$8:$T$31,1),"")</x:f>
      </x:c>
      <x:c r="J191" s="10"/>
      <x:c r="K191" s="2" t="n">
        <x:f>SUMIFS('Күнлик есабат'!$F$8:$F$507,'Күнлик есабат'!$C$8:$C$507,A191,'Күнлик есабат'!$L$8:$L$507,0,'Күнлик есабат'!$M$8:$M$507,0)-SUMIFS('Күнлик есабат'!$H$8:$H$507,'Күнлик есабат'!$C$8:$C$507,A191,'Күнлик есабат'!$L$8:$L$507,0,'Күнлик есабат'!$M$8:$M$507,0)</x:f>
        <x:v>0</x:v>
      </x:c>
      <x:c r="L191" s="2" t="n">
        <x:f>SUMIFS('Күнлик есабат'!$G$8:$G$507,'Күнлик есабат'!$C$8:$C$507,A191,'Күнлик есабат'!$L$8:$L$507,0,'Күнлик есабат'!$M$8:$M$507,0)</x:f>
        <x:v>0</x:v>
      </x:c>
      <x:c r="M191" s="2" t="str">
        <x:f>IF(I191="","",MAX(I191-K191,0))</x:f>
      </x:c>
      <x:c r="N191" s="16" t="str">
        <x:f>IF(OR(I191="",I191=0),"",MIN(K191/I191,1))</x:f>
      </x:c>
      <x:c r="O191" s="2" t="n">
        <x:f>24-COUNTIFS('Клиентлер'!$T$8:$T$31,1)</x:f>
        <x:v>24</x:v>
      </x:c>
      <x:c r="P191" s="2" t="n">
        <x:f>IF(AND('Салық календары'!G191=1,ISNUMBER('Салық календары'!F191)),1,0)</x:f>
        <x:v>0</x:v>
      </x:c>
      <x:c r="Q191" s="2" t="str">
        <x:v>Салық</x:v>
      </x:c>
      <x:c r="R191" s="10"/>
      <x:c r="S191" s="2" t="n">
        <x:f>IF(COUNT(I191)=1,1,0)</x:f>
        <x:v>0</x:v>
      </x:c>
    </x:row>
    <x:row r="192" ht="46" customHeight="1">
      <x:c r="A192" s="2" t="n">
        <x:v>185</x:v>
      </x:c>
      <x:c r="B192" s="2" t="n">
        <x:v>185</x:v>
      </x:c>
      <x:c r="C192" s="12" t="n">
        <x:f>'Салық календары'!J192</x:f>
        <x:v>46677</x:v>
      </x:c>
      <x:c r="D192" s="13" t="str">
        <x:v>ҚҚС төлеми</x:v>
      </x:c>
      <x:c r="E192" s="14" t="n">
        <x:v>46680</x:v>
      </x:c>
      <x:c r="F192" s="14" t="str">
        <x:f>IF('Салық календары'!F192="","",'Салық календары'!F192)</x:f>
      </x:c>
      <x:c r="G192" s="2" t="str">
        <x:v>2027-09</x:v>
      </x:c>
      <x:c r="H192" s="2" t="str">
        <x:v>F</x:v>
      </x:c>
      <x:c r="I192" s="10" t="str">
        <x:f>IF(AND(COUNTIFS('Клиентлер'!$T$8:$T$31,1)=24,COUNT('Клиентлер'!$F$8:$F$31)=24),COUNTIFS('Клиентлер'!$F$8:$F$31,1,'Клиентлер'!$T$8:$T$31,1),"")</x:f>
      </x:c>
      <x:c r="J192" s="10"/>
      <x:c r="K192" s="2" t="n">
        <x:f>SUMIFS('Күнлик есабат'!$F$8:$F$507,'Күнлик есабат'!$C$8:$C$507,A192,'Күнлик есабат'!$L$8:$L$507,0,'Күнлик есабат'!$M$8:$M$507,0)-SUMIFS('Күнлик есабат'!$H$8:$H$507,'Күнлик есабат'!$C$8:$C$507,A192,'Күнлик есабат'!$L$8:$L$507,0,'Күнлик есабат'!$M$8:$M$507,0)</x:f>
        <x:v>0</x:v>
      </x:c>
      <x:c r="L192" s="2" t="n">
        <x:f>SUMIFS('Күнлик есабат'!$G$8:$G$507,'Күнлик есабат'!$C$8:$C$507,A192,'Күнлик есабат'!$L$8:$L$507,0,'Күнлик есабат'!$M$8:$M$507,0)</x:f>
        <x:v>0</x:v>
      </x:c>
      <x:c r="M192" s="2" t="str">
        <x:f>IF(I192="","",MAX(I192-K192,0))</x:f>
      </x:c>
      <x:c r="N192" s="16" t="str">
        <x:f>IF(OR(I192="",I192=0),"",MIN(K192/I192,1))</x:f>
      </x:c>
      <x:c r="O192" s="2" t="n">
        <x:f>24-COUNTIFS('Клиентлер'!$T$8:$T$31,1)</x:f>
        <x:v>24</x:v>
      </x:c>
      <x:c r="P192" s="2" t="n">
        <x:f>IF(AND('Салық календары'!G192=1,ISNUMBER('Салық календары'!F192)),1,0)</x:f>
        <x:v>0</x:v>
      </x:c>
      <x:c r="Q192" s="2" t="str">
        <x:v>Салық</x:v>
      </x:c>
      <x:c r="R192" s="10"/>
      <x:c r="S192" s="2" t="n">
        <x:f>IF(COUNT(I192)=1,1,0)</x:f>
        <x:v>0</x:v>
      </x:c>
    </x:row>
    <x:row r="193" ht="46" customHeight="1">
      <x:c r="A193" s="2" t="n">
        <x:v>186</x:v>
      </x:c>
      <x:c r="B193" s="2" t="n">
        <x:v>186</x:v>
      </x:c>
      <x:c r="C193" s="12" t="n">
        <x:f>'Салық календары'!J193</x:f>
        <x:v>46672</x:v>
      </x:c>
      <x:c r="D193" s="13" t="str">
        <x:v>Айланба салығы есабаты</x:v>
      </x:c>
      <x:c r="E193" s="14" t="n">
        <x:v>46675</x:v>
      </x:c>
      <x:c r="F193" s="14" t="str">
        <x:f>IF('Салық календары'!F193="","",'Салық календары'!F193)</x:f>
      </x:c>
      <x:c r="G193" s="2" t="str">
        <x:v>2027-09</x:v>
      </x:c>
      <x:c r="H193" s="2" t="str">
        <x:v>G</x:v>
      </x:c>
      <x:c r="I193" s="10" t="str">
        <x:f>IF(AND(COUNTIFS('Клиентлер'!$T$8:$T$31,1)=24,COUNT('Клиентлер'!$G$8:$G$31)=24),COUNTIFS('Клиентлер'!$G$8:$G$31,1,'Клиентлер'!$T$8:$T$31,1),"")</x:f>
      </x:c>
      <x:c r="J193" s="10"/>
      <x:c r="K193" s="2" t="n">
        <x:f>SUMIFS('Күнлик есабат'!$F$8:$F$507,'Күнлик есабат'!$C$8:$C$507,A193,'Күнлик есабат'!$L$8:$L$507,0,'Күнлик есабат'!$M$8:$M$507,0)-SUMIFS('Күнлик есабат'!$H$8:$H$507,'Күнлик есабат'!$C$8:$C$507,A193,'Күнлик есабат'!$L$8:$L$507,0,'Күнлик есабат'!$M$8:$M$507,0)</x:f>
        <x:v>0</x:v>
      </x:c>
      <x:c r="L193" s="2" t="n">
        <x:f>SUMIFS('Күнлик есабат'!$G$8:$G$507,'Күнлик есабат'!$C$8:$C$507,A193,'Күнлик есабат'!$L$8:$L$507,0,'Күнлик есабат'!$M$8:$M$507,0)</x:f>
        <x:v>0</x:v>
      </x:c>
      <x:c r="M193" s="2" t="str">
        <x:f>IF(I193="","",MAX(I193-K193,0))</x:f>
      </x:c>
      <x:c r="N193" s="16" t="str">
        <x:f>IF(OR(I193="",I193=0),"",MIN(K193/I193,1))</x:f>
      </x:c>
      <x:c r="O193" s="2" t="n">
        <x:f>24-COUNTIFS('Клиентлер'!$T$8:$T$31,1)</x:f>
        <x:v>24</x:v>
      </x:c>
      <x:c r="P193" s="2" t="n">
        <x:f>IF(AND('Салық календары'!G193=1,ISNUMBER('Салық календары'!F193)),1,0)</x:f>
        <x:v>0</x:v>
      </x:c>
      <x:c r="Q193" s="2" t="str">
        <x:v>Салық</x:v>
      </x:c>
      <x:c r="R193" s="10"/>
      <x:c r="S193" s="2" t="n">
        <x:f>IF(COUNT(I193)=1,1,0)</x:f>
        <x:v>0</x:v>
      </x:c>
    </x:row>
    <x:row r="194" ht="46" customHeight="1">
      <x:c r="A194" s="2" t="n">
        <x:v>187</x:v>
      </x:c>
      <x:c r="B194" s="2" t="n">
        <x:v>187</x:v>
      </x:c>
      <x:c r="C194" s="12" t="n">
        <x:f>'Салық календары'!J194</x:f>
        <x:v>46672</x:v>
      </x:c>
      <x:c r="D194" s="13" t="str">
        <x:v>Айланба салығы төлеми</x:v>
      </x:c>
      <x:c r="E194" s="14" t="n">
        <x:v>46675</x:v>
      </x:c>
      <x:c r="F194" s="14" t="str">
        <x:f>IF('Салық календары'!F194="","",'Салық календары'!F194)</x:f>
      </x:c>
      <x:c r="G194" s="2" t="str">
        <x:v>2027-09</x:v>
      </x:c>
      <x:c r="H194" s="2" t="str">
        <x:v>G</x:v>
      </x:c>
      <x:c r="I194" s="10" t="str">
        <x:f>IF(AND(COUNTIFS('Клиентлер'!$T$8:$T$31,1)=24,COUNT('Клиентлер'!$G$8:$G$31)=24),COUNTIFS('Клиентлер'!$G$8:$G$31,1,'Клиентлер'!$T$8:$T$31,1),"")</x:f>
      </x:c>
      <x:c r="J194" s="10"/>
      <x:c r="K194" s="2" t="n">
        <x:f>SUMIFS('Күнлик есабат'!$F$8:$F$507,'Күнлик есабат'!$C$8:$C$507,A194,'Күнлик есабат'!$L$8:$L$507,0,'Күнлик есабат'!$M$8:$M$507,0)-SUMIFS('Күнлик есабат'!$H$8:$H$507,'Күнлик есабат'!$C$8:$C$507,A194,'Күнлик есабат'!$L$8:$L$507,0,'Күнлик есабат'!$M$8:$M$507,0)</x:f>
        <x:v>0</x:v>
      </x:c>
      <x:c r="L194" s="2" t="n">
        <x:f>SUMIFS('Күнлик есабат'!$G$8:$G$507,'Күнлик есабат'!$C$8:$C$507,A194,'Күнлик есабат'!$L$8:$L$507,0,'Күнлик есабат'!$M$8:$M$507,0)</x:f>
        <x:v>0</x:v>
      </x:c>
      <x:c r="M194" s="2" t="str">
        <x:f>IF(I194="","",MAX(I194-K194,0))</x:f>
      </x:c>
      <x:c r="N194" s="16" t="str">
        <x:f>IF(OR(I194="",I194=0),"",MIN(K194/I194,1))</x:f>
      </x:c>
      <x:c r="O194" s="2" t="n">
        <x:f>24-COUNTIFS('Клиентлер'!$T$8:$T$31,1)</x:f>
        <x:v>24</x:v>
      </x:c>
      <x:c r="P194" s="2" t="n">
        <x:f>IF(AND('Салық календары'!G194=1,ISNUMBER('Салық календары'!F194)),1,0)</x:f>
        <x:v>0</x:v>
      </x:c>
      <x:c r="Q194" s="2" t="str">
        <x:v>Салық</x:v>
      </x:c>
      <x:c r="R194" s="10"/>
      <x:c r="S194" s="2" t="n">
        <x:f>IF(COUNT(I194)=1,1,0)</x:f>
        <x:v>0</x:v>
      </x:c>
    </x:row>
    <x:row r="195" ht="46" customHeight="1">
      <x:c r="A195" s="2" t="n">
        <x:v>188</x:v>
      </x:c>
      <x:c r="B195" s="2" t="n">
        <x:v>188</x:v>
      </x:c>
      <x:c r="C195" s="12" t="n">
        <x:f>'Салық календары'!J195</x:f>
        <x:v>46672</x:v>
      </x:c>
      <x:c r="D195" s="13" t="str">
        <x:v>Дәрамат салығы есабаты</x:v>
      </x:c>
      <x:c r="E195" s="14" t="n">
        <x:v>46675</x:v>
      </x:c>
      <x:c r="F195" s="14" t="str">
        <x:f>IF('Салық календары'!F195="","",'Салық календары'!F195)</x:f>
      </x:c>
      <x:c r="G195" s="2" t="str">
        <x:v>2027-09</x:v>
      </x:c>
      <x:c r="H195" s="2" t="str">
        <x:v>I</x:v>
      </x:c>
      <x:c r="I195" s="10" t="str">
        <x:f>IF(AND(COUNTIFS('Клиентлер'!$T$8:$T$31,1)=24,COUNT('Клиентлер'!$I$8:$I$31)=24),COUNTIFS('Клиентлер'!$I$8:$I$31,1,'Клиентлер'!$T$8:$T$31,1),"")</x:f>
      </x:c>
      <x:c r="J195" s="10"/>
      <x:c r="K195" s="2" t="n">
        <x:f>SUMIFS('Күнлик есабат'!$F$8:$F$507,'Күнлик есабат'!$C$8:$C$507,A195,'Күнлик есабат'!$L$8:$L$507,0,'Күнлик есабат'!$M$8:$M$507,0)-SUMIFS('Күнлик есабат'!$H$8:$H$507,'Күнлик есабат'!$C$8:$C$507,A195,'Күнлик есабат'!$L$8:$L$507,0,'Күнлик есабат'!$M$8:$M$507,0)</x:f>
        <x:v>0</x:v>
      </x:c>
      <x:c r="L195" s="2" t="n">
        <x:f>SUMIFS('Күнлик есабат'!$G$8:$G$507,'Күнлик есабат'!$C$8:$C$507,A195,'Күнлик есабат'!$L$8:$L$507,0,'Күнлик есабат'!$M$8:$M$507,0)</x:f>
        <x:v>0</x:v>
      </x:c>
      <x:c r="M195" s="2" t="str">
        <x:f>IF(I195="","",MAX(I195-K195,0))</x:f>
      </x:c>
      <x:c r="N195" s="16" t="str">
        <x:f>IF(OR(I195="",I195=0),"",MIN(K195/I195,1))</x:f>
      </x:c>
      <x:c r="O195" s="2" t="n">
        <x:f>24-COUNTIFS('Клиентлер'!$T$8:$T$31,1)</x:f>
        <x:v>24</x:v>
      </x:c>
      <x:c r="P195" s="2" t="n">
        <x:f>IF(AND('Салық календары'!G195=1,ISNUMBER('Салық календары'!F195)),1,0)</x:f>
        <x:v>0</x:v>
      </x:c>
      <x:c r="Q195" s="2" t="str">
        <x:v>Салық</x:v>
      </x:c>
      <x:c r="R195" s="10"/>
      <x:c r="S195" s="2" t="n">
        <x:f>IF(COUNT(I195)=1,1,0)</x:f>
        <x:v>0</x:v>
      </x:c>
    </x:row>
    <x:row r="196" ht="46" customHeight="1">
      <x:c r="A196" s="2" t="n">
        <x:v>189</x:v>
      </x:c>
      <x:c r="B196" s="2" t="n">
        <x:v>189</x:v>
      </x:c>
      <x:c r="C196" s="12" t="n">
        <x:f>'Салық календары'!J196</x:f>
        <x:v>46672</x:v>
      </x:c>
      <x:c r="D196" s="13" t="str">
        <x:v>Социаллық салық есабаты</x:v>
      </x:c>
      <x:c r="E196" s="14" t="n">
        <x:v>46675</x:v>
      </x:c>
      <x:c r="F196" s="14" t="str">
        <x:f>IF('Салық календары'!F196="","",'Салық календары'!F196)</x:f>
      </x:c>
      <x:c r="G196" s="2" t="str">
        <x:v>2027-09</x:v>
      </x:c>
      <x:c r="H196" s="2" t="str">
        <x:v>I</x:v>
      </x:c>
      <x:c r="I196" s="10" t="str">
        <x:f>IF(AND(COUNTIFS('Клиентлер'!$T$8:$T$31,1)=24,COUNT('Клиентлер'!$I$8:$I$31)=24),COUNTIFS('Клиентлер'!$I$8:$I$31,1,'Клиентлер'!$T$8:$T$31,1),"")</x:f>
      </x:c>
      <x:c r="J196" s="10"/>
      <x:c r="K196" s="2" t="n">
        <x:f>SUMIFS('Күнлик есабат'!$F$8:$F$507,'Күнлик есабат'!$C$8:$C$507,A196,'Күнлик есабат'!$L$8:$L$507,0,'Күнлик есабат'!$M$8:$M$507,0)-SUMIFS('Күнлик есабат'!$H$8:$H$507,'Күнлик есабат'!$C$8:$C$507,A196,'Күнлик есабат'!$L$8:$L$507,0,'Күнлик есабат'!$M$8:$M$507,0)</x:f>
        <x:v>0</x:v>
      </x:c>
      <x:c r="L196" s="2" t="n">
        <x:f>SUMIFS('Күнлик есабат'!$G$8:$G$507,'Күнлик есабат'!$C$8:$C$507,A196,'Күнлик есабат'!$L$8:$L$507,0,'Күнлик есабат'!$M$8:$M$507,0)</x:f>
        <x:v>0</x:v>
      </x:c>
      <x:c r="M196" s="2" t="str">
        <x:f>IF(I196="","",MAX(I196-K196,0))</x:f>
      </x:c>
      <x:c r="N196" s="16" t="str">
        <x:f>IF(OR(I196="",I196=0),"",MIN(K196/I196,1))</x:f>
      </x:c>
      <x:c r="O196" s="2" t="n">
        <x:f>24-COUNTIFS('Клиентлер'!$T$8:$T$31,1)</x:f>
        <x:v>24</x:v>
      </x:c>
      <x:c r="P196" s="2" t="n">
        <x:f>IF(AND('Салық календары'!G196=1,ISNUMBER('Салық календары'!F196)),1,0)</x:f>
        <x:v>0</x:v>
      </x:c>
      <x:c r="Q196" s="2" t="str">
        <x:v>Салық</x:v>
      </x:c>
      <x:c r="R196" s="10"/>
      <x:c r="S196" s="2" t="n">
        <x:f>IF(COUNT(I196)=1,1,0)</x:f>
        <x:v>0</x:v>
      </x:c>
    </x:row>
    <x:row r="197" ht="46" customHeight="1">
      <x:c r="A197" s="2" t="n">
        <x:v>190</x:v>
      </x:c>
      <x:c r="B197" s="2" t="n">
        <x:v>190</x:v>
      </x:c>
      <x:c r="C197" s="12" t="n">
        <x:f>'Салық календары'!J197</x:f>
        <x:v>46672</x:v>
      </x:c>
      <x:c r="D197" s="13" t="str">
        <x:v>Социаллық салық төлеми</x:v>
      </x:c>
      <x:c r="E197" s="14" t="n">
        <x:v>46675</x:v>
      </x:c>
      <x:c r="F197" s="14" t="str">
        <x:f>IF('Салық календары'!F197="","",'Салық календары'!F197)</x:f>
      </x:c>
      <x:c r="G197" s="2" t="str">
        <x:v>2027-09</x:v>
      </x:c>
      <x:c r="H197" s="2" t="str">
        <x:v>I</x:v>
      </x:c>
      <x:c r="I197" s="10" t="str">
        <x:f>IF(AND(COUNTIFS('Клиентлер'!$T$8:$T$31,1)=24,COUNT('Клиентлер'!$I$8:$I$31)=24),COUNTIFS('Клиентлер'!$I$8:$I$31,1,'Клиентлер'!$T$8:$T$31,1),"")</x:f>
      </x:c>
      <x:c r="J197" s="10"/>
      <x:c r="K197" s="2" t="n">
        <x:f>SUMIFS('Күнлик есабат'!$F$8:$F$507,'Күнлик есабат'!$C$8:$C$507,A197,'Күнлик есабат'!$L$8:$L$507,0,'Күнлик есабат'!$M$8:$M$507,0)-SUMIFS('Күнлик есабат'!$H$8:$H$507,'Күнлик есабат'!$C$8:$C$507,A197,'Күнлик есабат'!$L$8:$L$507,0,'Күнлик есабат'!$M$8:$M$507,0)</x:f>
        <x:v>0</x:v>
      </x:c>
      <x:c r="L197" s="2" t="n">
        <x:f>SUMIFS('Күнлик есабат'!$G$8:$G$507,'Күнлик есабат'!$C$8:$C$507,A197,'Күнлик есабат'!$L$8:$L$507,0,'Күнлик есабат'!$M$8:$M$507,0)</x:f>
        <x:v>0</x:v>
      </x:c>
      <x:c r="M197" s="2" t="str">
        <x:f>IF(I197="","",MAX(I197-K197,0))</x:f>
      </x:c>
      <x:c r="N197" s="16" t="str">
        <x:f>IF(OR(I197="",I197=0),"",MIN(K197/I197,1))</x:f>
      </x:c>
      <x:c r="O197" s="2" t="n">
        <x:f>24-COUNTIFS('Клиентлер'!$T$8:$T$31,1)</x:f>
        <x:v>24</x:v>
      </x:c>
      <x:c r="P197" s="2" t="n">
        <x:f>IF(AND('Салық календары'!G197=1,ISNUMBER('Салық календары'!F197)),1,0)</x:f>
        <x:v>0</x:v>
      </x:c>
      <x:c r="Q197" s="2" t="str">
        <x:v>Салық</x:v>
      </x:c>
      <x:c r="R197" s="10"/>
      <x:c r="S197" s="2" t="n">
        <x:f>IF(COUNT(I197)=1,1,0)</x:f>
        <x:v>0</x:v>
      </x:c>
    </x:row>
    <x:row r="198" ht="46" customHeight="1">
      <x:c r="A198" s="2" t="n">
        <x:v>191</x:v>
      </x:c>
      <x:c r="B198" s="2" t="n">
        <x:v>191</x:v>
      </x:c>
      <x:c r="C198" s="12" t="n">
        <x:f>'Салық календары'!J198</x:f>
        <x:v>46667</x:v>
      </x:c>
      <x:c r="D198" s="13" t="str">
        <x:v>Акциз есабаты ҳәм төлемин тексериў</x:v>
      </x:c>
      <x:c r="E198" s="14" t="n">
        <x:v>46670</x:v>
      </x:c>
      <x:c r="F198" s="14" t="str">
        <x:f>IF('Салық календары'!F198="","",'Салық календары'!F198)</x:f>
      </x:c>
      <x:c r="G198" s="2" t="str">
        <x:v>2027-09</x:v>
      </x:c>
      <x:c r="H198" s="2" t="str">
        <x:v>N</x:v>
      </x:c>
      <x:c r="I198" s="10" t="str">
        <x:f>IF(AND(COUNTIFS('Клиентлер'!$T$8:$T$31,1)=24,COUNT('Клиентлер'!$N$8:$N$31)=24),COUNTIFS('Клиентлер'!$N$8:$N$31,1,'Клиентлер'!$T$8:$T$31,1),"")</x:f>
      </x:c>
      <x:c r="J198" s="10"/>
      <x:c r="K198" s="2" t="n">
        <x:f>SUMIFS('Күнлик есабат'!$F$8:$F$507,'Күнлик есабат'!$C$8:$C$507,A198,'Күнлик есабат'!$L$8:$L$507,0,'Күнлик есабат'!$M$8:$M$507,0)-SUMIFS('Күнлик есабат'!$H$8:$H$507,'Күнлик есабат'!$C$8:$C$507,A198,'Күнлик есабат'!$L$8:$L$507,0,'Күнлик есабат'!$M$8:$M$507,0)</x:f>
        <x:v>0</x:v>
      </x:c>
      <x:c r="L198" s="2" t="n">
        <x:f>SUMIFS('Күнлик есабат'!$G$8:$G$507,'Күнлик есабат'!$C$8:$C$507,A198,'Күнлик есабат'!$L$8:$L$507,0,'Күнлик есабат'!$M$8:$M$507,0)</x:f>
        <x:v>0</x:v>
      </x:c>
      <x:c r="M198" s="2" t="str">
        <x:f>IF(I198="","",MAX(I198-K198,0))</x:f>
      </x:c>
      <x:c r="N198" s="16" t="str">
        <x:f>IF(OR(I198="",I198=0),"",MIN(K198/I198,1))</x:f>
      </x:c>
      <x:c r="O198" s="2" t="n">
        <x:f>24-COUNTIFS('Клиентлер'!$T$8:$T$31,1)</x:f>
        <x:v>24</x:v>
      </x:c>
      <x:c r="P198" s="2" t="n">
        <x:f>IF(AND('Салық календары'!G198=1,ISNUMBER('Салық календары'!F198)),1,0)</x:f>
        <x:v>0</x:v>
      </x:c>
      <x:c r="Q198" s="2" t="str">
        <x:v>Салық</x:v>
      </x:c>
      <x:c r="R198" s="10"/>
      <x:c r="S198" s="2" t="n">
        <x:f>IF(COUNT(I198)=1,1,0)</x:f>
        <x:v>0</x:v>
      </x:c>
    </x:row>
    <x:row r="199" ht="46" customHeight="1">
      <x:c r="A199" s="2" t="n">
        <x:v>192</x:v>
      </x:c>
      <x:c r="B199" s="2" t="n">
        <x:v>192</x:v>
      </x:c>
      <x:c r="C199" s="12" t="n">
        <x:f>'Салық календары'!J199</x:f>
        <x:v>46677</x:v>
      </x:c>
      <x:c r="D199" s="13" t="str">
        <x:v>Дивиденд ҳәм процент салығы есабаты</x:v>
      </x:c>
      <x:c r="E199" s="14" t="n">
        <x:v>46680</x:v>
      </x:c>
      <x:c r="F199" s="14" t="str">
        <x:f>IF('Салық календары'!F199="","",'Салық календары'!F199)</x:f>
      </x:c>
      <x:c r="G199" s="2" t="str">
        <x:v>2027-09</x:v>
      </x:c>
      <x:c r="H199" s="2" t="str">
        <x:v>O</x:v>
      </x:c>
      <x:c r="I199" s="10" t="str">
        <x:f>IF(AND(COUNTIFS('Клиентлер'!$T$8:$T$31,1)=24,COUNT('Клиентлер'!$O$8:$O$31)=24),COUNTIFS('Клиентлер'!$O$8:$O$31,1,'Клиентлер'!$T$8:$T$31,1),"")</x:f>
      </x:c>
      <x:c r="J199" s="10"/>
      <x:c r="K199" s="2" t="n">
        <x:f>SUMIFS('Күнлик есабат'!$F$8:$F$507,'Күнлик есабат'!$C$8:$C$507,A199,'Күнлик есабат'!$L$8:$L$507,0,'Күнлик есабат'!$M$8:$M$507,0)-SUMIFS('Күнлик есабат'!$H$8:$H$507,'Күнлик есабат'!$C$8:$C$507,A199,'Күнлик есабат'!$L$8:$L$507,0,'Күнлик есабат'!$M$8:$M$507,0)</x:f>
        <x:v>0</x:v>
      </x:c>
      <x:c r="L199" s="2" t="n">
        <x:f>SUMIFS('Күнлик есабат'!$G$8:$G$507,'Күнлик есабат'!$C$8:$C$507,A199,'Күнлик есабат'!$L$8:$L$507,0,'Күнлик есабат'!$M$8:$M$507,0)</x:f>
        <x:v>0</x:v>
      </x:c>
      <x:c r="M199" s="2" t="str">
        <x:f>IF(I199="","",MAX(I199-K199,0))</x:f>
      </x:c>
      <x:c r="N199" s="16" t="str">
        <x:f>IF(OR(I199="",I199=0),"",MIN(K199/I199,1))</x:f>
      </x:c>
      <x:c r="O199" s="2" t="n">
        <x:f>24-COUNTIFS('Клиентлер'!$T$8:$T$31,1)</x:f>
        <x:v>24</x:v>
      </x:c>
      <x:c r="P199" s="2" t="n">
        <x:f>IF(AND('Салық календары'!G199=1,ISNUMBER('Салық календары'!F199)),1,0)</x:f>
        <x:v>0</x:v>
      </x:c>
      <x:c r="Q199" s="2" t="str">
        <x:v>Салық</x:v>
      </x:c>
      <x:c r="R199" s="10"/>
      <x:c r="S199" s="2" t="n">
        <x:f>IF(COUNT(I199)=1,1,0)</x:f>
        <x:v>0</x:v>
      </x:c>
    </x:row>
    <x:row r="200" ht="46" customHeight="1">
      <x:c r="A200" s="2" t="n">
        <x:v>193</x:v>
      </x:c>
      <x:c r="B200" s="2" t="n">
        <x:v>193</x:v>
      </x:c>
      <x:c r="C200" s="12" t="n">
        <x:f>'Салық календары'!J200</x:f>
        <x:v>46677</x:v>
      </x:c>
      <x:c r="D200" s="13" t="str">
        <x:v>Норезидент дәраматы салығы есабаты</x:v>
      </x:c>
      <x:c r="E200" s="14" t="n">
        <x:v>46680</x:v>
      </x:c>
      <x:c r="F200" s="14" t="str">
        <x:f>IF('Салық календары'!F200="","",'Салық календары'!F200)</x:f>
      </x:c>
      <x:c r="G200" s="2" t="str">
        <x:v>2027-09</x:v>
      </x:c>
      <x:c r="H200" s="2" t="str">
        <x:v>P</x:v>
      </x:c>
      <x:c r="I200" s="10" t="str">
        <x:f>IF(AND(COUNTIFS('Клиентлер'!$T$8:$T$31,1)=24,COUNT('Клиентлер'!$P$8:$P$31)=24),COUNTIFS('Клиентлер'!$P$8:$P$31,1,'Клиентлер'!$T$8:$T$31,1),"")</x:f>
      </x:c>
      <x:c r="J200" s="10"/>
      <x:c r="K200" s="2" t="n">
        <x:f>SUMIFS('Күнлик есабат'!$F$8:$F$507,'Күнлик есабат'!$C$8:$C$507,A200,'Күнлик есабат'!$L$8:$L$507,0,'Күнлик есабат'!$M$8:$M$507,0)-SUMIFS('Күнлик есабат'!$H$8:$H$507,'Күнлик есабат'!$C$8:$C$507,A200,'Күнлик есабат'!$L$8:$L$507,0,'Күнлик есабат'!$M$8:$M$507,0)</x:f>
        <x:v>0</x:v>
      </x:c>
      <x:c r="L200" s="2" t="n">
        <x:f>SUMIFS('Күнлик есабат'!$G$8:$G$507,'Күнлик есабат'!$C$8:$C$507,A200,'Күнлик есабат'!$L$8:$L$507,0,'Күнлик есабат'!$M$8:$M$507,0)</x:f>
        <x:v>0</x:v>
      </x:c>
      <x:c r="M200" s="2" t="str">
        <x:f>IF(I200="","",MAX(I200-K200,0))</x:f>
      </x:c>
      <x:c r="N200" s="16" t="str">
        <x:f>IF(OR(I200="",I200=0),"",MIN(K200/I200,1))</x:f>
      </x:c>
      <x:c r="O200" s="2" t="n">
        <x:f>24-COUNTIFS('Клиентлер'!$T$8:$T$31,1)</x:f>
        <x:v>24</x:v>
      </x:c>
      <x:c r="P200" s="2" t="n">
        <x:f>IF(AND('Салық календары'!G200=1,ISNUMBER('Салық календары'!F200)),1,0)</x:f>
        <x:v>0</x:v>
      </x:c>
      <x:c r="Q200" s="2" t="str">
        <x:v>Салық</x:v>
      </x:c>
      <x:c r="R200" s="10"/>
      <x:c r="S200" s="2" t="n">
        <x:f>IF(COUNT(I200)=1,1,0)</x:f>
        <x:v>0</x:v>
      </x:c>
    </x:row>
    <x:row r="201" ht="46" customHeight="1">
      <x:c r="A201" s="2" t="n">
        <x:v>194</x:v>
      </x:c>
      <x:c r="B201" s="2" t="n">
        <x:v>194</x:v>
      </x:c>
      <x:c r="C201" s="12" t="n">
        <x:f>'Салық календары'!J201</x:f>
        <x:v>46677</x:v>
      </x:c>
      <x:c r="D201" s="13" t="str">
        <x:v>Жер қойнаўынан пайдаланыў есабаты</x:v>
      </x:c>
      <x:c r="E201" s="14" t="n">
        <x:v>46680</x:v>
      </x:c>
      <x:c r="F201" s="14" t="str">
        <x:f>IF('Салық календары'!F201="","",'Салық календары'!F201)</x:f>
      </x:c>
      <x:c r="G201" s="2" t="str">
        <x:v>2027-09</x:v>
      </x:c>
      <x:c r="H201" s="2" t="str">
        <x:v>Q</x:v>
      </x:c>
      <x:c r="I201" s="10" t="str">
        <x:f>IF(AND(COUNTIFS('Клиентлер'!$T$8:$T$31,1)=24,COUNT('Клиентлер'!$Q$8:$Q$31)=24),COUNTIFS('Клиентлер'!$Q$8:$Q$31,1,'Клиентлер'!$T$8:$T$31,1),"")</x:f>
      </x:c>
      <x:c r="J201" s="10"/>
      <x:c r="K201" s="2" t="n">
        <x:f>SUMIFS('Күнлик есабат'!$F$8:$F$507,'Күнлик есабат'!$C$8:$C$507,A201,'Күнлик есабат'!$L$8:$L$507,0,'Күнлик есабат'!$M$8:$M$507,0)-SUMIFS('Күнлик есабат'!$H$8:$H$507,'Күнлик есабат'!$C$8:$C$507,A201,'Күнлик есабат'!$L$8:$L$507,0,'Күнлик есабат'!$M$8:$M$507,0)</x:f>
        <x:v>0</x:v>
      </x:c>
      <x:c r="L201" s="2" t="n">
        <x:f>SUMIFS('Күнлик есабат'!$G$8:$G$507,'Күнлик есабат'!$C$8:$C$507,A201,'Күнлик есабат'!$L$8:$L$507,0,'Күнлик есабат'!$M$8:$M$507,0)</x:f>
        <x:v>0</x:v>
      </x:c>
      <x:c r="M201" s="2" t="str">
        <x:f>IF(I201="","",MAX(I201-K201,0))</x:f>
      </x:c>
      <x:c r="N201" s="16" t="str">
        <x:f>IF(OR(I201="",I201=0),"",MIN(K201/I201,1))</x:f>
      </x:c>
      <x:c r="O201" s="2" t="n">
        <x:f>24-COUNTIFS('Клиентлер'!$T$8:$T$31,1)</x:f>
        <x:v>24</x:v>
      </x:c>
      <x:c r="P201" s="2" t="n">
        <x:f>IF(AND('Салық календары'!G201=1,ISNUMBER('Салық календары'!F201)),1,0)</x:f>
        <x:v>0</x:v>
      </x:c>
      <x:c r="Q201" s="2" t="str">
        <x:v>Салық</x:v>
      </x:c>
      <x:c r="R201" s="10"/>
      <x:c r="S201" s="2" t="n">
        <x:f>IF(COUNT(I201)=1,1,0)</x:f>
        <x:v>0</x:v>
      </x:c>
    </x:row>
    <x:row r="202" ht="46" customHeight="1">
      <x:c r="A202" s="2" t="n">
        <x:v>195</x:v>
      </x:c>
      <x:c r="B202" s="2" t="n">
        <x:v>195</x:v>
      </x:c>
      <x:c r="C202" s="12" t="n">
        <x:f>'Салық календары'!J202</x:f>
        <x:v>46680</x:v>
      </x:c>
      <x:c r="D202" s="13" t="str">
        <x:v>Пайда салығы авансы</x:v>
      </x:c>
      <x:c r="E202" s="14" t="n">
        <x:v>46683</x:v>
      </x:c>
      <x:c r="F202" s="14" t="str">
        <x:f>IF('Салық календары'!F202="","",'Салық календары'!F202)</x:f>
      </x:c>
      <x:c r="G202" s="2" t="str">
        <x:v>2027-10</x:v>
      </x:c>
      <x:c r="H202" s="2" t="str">
        <x:v>M</x:v>
      </x:c>
      <x:c r="I202" s="10" t="str">
        <x:f>IF(AND(COUNTIFS('Клиентлер'!$T$8:$T$31,1)=24,COUNT('Клиентлер'!$M$8:$M$31)=24),COUNTIFS('Клиентлер'!$M$8:$M$31,1,'Клиентлер'!$T$8:$T$31,1),"")</x:f>
      </x:c>
      <x:c r="J202" s="10"/>
      <x:c r="K202" s="2" t="n">
        <x:f>SUMIFS('Күнлик есабат'!$F$8:$F$507,'Күнлик есабат'!$C$8:$C$507,A202,'Күнлик есабат'!$L$8:$L$507,0,'Күнлик есабат'!$M$8:$M$507,0)-SUMIFS('Күнлик есабат'!$H$8:$H$507,'Күнлик есабат'!$C$8:$C$507,A202,'Күнлик есабат'!$L$8:$L$507,0,'Күнлик есабат'!$M$8:$M$507,0)</x:f>
        <x:v>0</x:v>
      </x:c>
      <x:c r="L202" s="2" t="n">
        <x:f>SUMIFS('Күнлик есабат'!$G$8:$G$507,'Күнлик есабат'!$C$8:$C$507,A202,'Күнлик есабат'!$L$8:$L$507,0,'Күнлик есабат'!$M$8:$M$507,0)</x:f>
        <x:v>0</x:v>
      </x:c>
      <x:c r="M202" s="2" t="str">
        <x:f>IF(I202="","",MAX(I202-K202,0))</x:f>
      </x:c>
      <x:c r="N202" s="16" t="str">
        <x:f>IF(OR(I202="",I202=0),"",MIN(K202/I202,1))</x:f>
      </x:c>
      <x:c r="O202" s="2" t="n">
        <x:f>24-COUNTIFS('Клиентлер'!$T$8:$T$31,1)</x:f>
        <x:v>24</x:v>
      </x:c>
      <x:c r="P202" s="2" t="n">
        <x:f>IF(AND('Салық календары'!G202=1,ISNUMBER('Салық календары'!F202)),1,0)</x:f>
        <x:v>0</x:v>
      </x:c>
      <x:c r="Q202" s="2" t="str">
        <x:v>Салық</x:v>
      </x:c>
      <x:c r="R202" s="10"/>
      <x:c r="S202" s="2" t="n">
        <x:f>IF(COUNT(I202)=1,1,0)</x:f>
        <x:v>0</x:v>
      </x:c>
    </x:row>
    <x:row r="203" ht="46" customHeight="1">
      <x:c r="A203" s="2" t="n">
        <x:v>196</x:v>
      </x:c>
      <x:c r="B203" s="2" t="n">
        <x:v>196</x:v>
      </x:c>
      <x:c r="C203" s="12" t="n">
        <x:f>'Салық календары'!J203</x:f>
        <x:v>46667</x:v>
      </x:c>
      <x:c r="D203" s="13" t="str">
        <x:v>Мүлк салығы айлық авансы</x:v>
      </x:c>
      <x:c r="E203" s="14" t="n">
        <x:v>46670</x:v>
      </x:c>
      <x:c r="F203" s="14" t="str">
        <x:f>IF('Салық календары'!F203="","",'Салық календары'!F203)</x:f>
      </x:c>
      <x:c r="G203" s="2" t="str">
        <x:v>2027-10</x:v>
      </x:c>
      <x:c r="H203" s="2" t="str">
        <x:v>J</x:v>
      </x:c>
      <x:c r="I203" s="10" t="str">
        <x:f>IF(AND(COUNTIFS('Клиентлер'!$T$8:$T$31,1)=24,COUNT('Клиентлер'!$J$8:$J$31)=24),COUNTIFS('Клиентлер'!$J$8:$J$31,1,'Клиентлер'!$T$8:$T$31,1,'Клиентлер'!$G$8:$G$31,0),"")</x:f>
      </x:c>
      <x:c r="J203" s="10"/>
      <x:c r="K203" s="2" t="n">
        <x:f>SUMIFS('Күнлик есабат'!$F$8:$F$507,'Күнлик есабат'!$C$8:$C$507,A203,'Күнлик есабат'!$L$8:$L$507,0,'Күнлик есабат'!$M$8:$M$507,0)-SUMIFS('Күнлик есабат'!$H$8:$H$507,'Күнлик есабат'!$C$8:$C$507,A203,'Күнлик есабат'!$L$8:$L$507,0,'Күнлик есабат'!$M$8:$M$507,0)</x:f>
        <x:v>0</x:v>
      </x:c>
      <x:c r="L203" s="2" t="n">
        <x:f>SUMIFS('Күнлик есабат'!$G$8:$G$507,'Күнлик есабат'!$C$8:$C$507,A203,'Күнлик есабат'!$L$8:$L$507,0,'Күнлик есабат'!$M$8:$M$507,0)</x:f>
        <x:v>0</x:v>
      </x:c>
      <x:c r="M203" s="2" t="str">
        <x:f>IF(I203="","",MAX(I203-K203,0))</x:f>
      </x:c>
      <x:c r="N203" s="16" t="str">
        <x:f>IF(OR(I203="",I203=0),"",MIN(K203/I203,1))</x:f>
      </x:c>
      <x:c r="O203" s="2" t="n">
        <x:f>24-COUNTIFS('Клиентлер'!$T$8:$T$31,1)</x:f>
        <x:v>24</x:v>
      </x:c>
      <x:c r="P203" s="2" t="n">
        <x:f>IF(AND('Салық календары'!G203=1,ISNUMBER('Салық календары'!F203)),1,0)</x:f>
        <x:v>0</x:v>
      </x:c>
      <x:c r="Q203" s="2" t="str">
        <x:v>Салық</x:v>
      </x:c>
      <x:c r="R203" s="10"/>
      <x:c r="S203" s="2" t="n">
        <x:f>IF(COUNT(I203)=1,1,0)</x:f>
        <x:v>0</x:v>
      </x:c>
    </x:row>
    <x:row r="204" ht="46" customHeight="1">
      <x:c r="A204" s="2" t="n">
        <x:v>197</x:v>
      </x:c>
      <x:c r="B204" s="2" t="n">
        <x:v>197</x:v>
      </x:c>
      <x:c r="C204" s="12" t="n">
        <x:f>'Салық календары'!J204</x:f>
        <x:v>46667</x:v>
      </x:c>
      <x:c r="D204" s="13" t="str">
        <x:v>Жер салығы айлық төлеми</x:v>
      </x:c>
      <x:c r="E204" s="14" t="n">
        <x:v>46670</x:v>
      </x:c>
      <x:c r="F204" s="14" t="str">
        <x:f>IF('Салық календары'!F204="","",'Салық календары'!F204)</x:f>
      </x:c>
      <x:c r="G204" s="2" t="str">
        <x:v>2027-10</x:v>
      </x:c>
      <x:c r="H204" s="2" t="str">
        <x:v>K</x:v>
      </x:c>
      <x:c r="I204" s="10" t="str">
        <x:f>IF(AND(COUNTIFS('Клиентлер'!$T$8:$T$31,1)=24,COUNT('Клиентлер'!$K$8:$K$31)=24),COUNTIFS('Клиентлер'!$K$8:$K$31,1,'Клиентлер'!$T$8:$T$31,1,'Клиентлер'!$G$8:$G$31,0),"")</x:f>
      </x:c>
      <x:c r="J204" s="10"/>
      <x:c r="K204" s="2" t="n">
        <x:f>SUMIFS('Күнлик есабат'!$F$8:$F$507,'Күнлик есабат'!$C$8:$C$507,A204,'Күнлик есабат'!$L$8:$L$507,0,'Күнлик есабат'!$M$8:$M$507,0)-SUMIFS('Күнлик есабат'!$H$8:$H$507,'Күнлик есабат'!$C$8:$C$507,A204,'Күнлик есабат'!$L$8:$L$507,0,'Күнлик есабат'!$M$8:$M$507,0)</x:f>
        <x:v>0</x:v>
      </x:c>
      <x:c r="L204" s="2" t="n">
        <x:f>SUMIFS('Күнлик есабат'!$G$8:$G$507,'Күнлик есабат'!$C$8:$C$507,A204,'Күнлик есабат'!$L$8:$L$507,0,'Күнлик есабат'!$M$8:$M$507,0)</x:f>
        <x:v>0</x:v>
      </x:c>
      <x:c r="M204" s="2" t="str">
        <x:f>IF(I204="","",MAX(I204-K204,0))</x:f>
      </x:c>
      <x:c r="N204" s="16" t="str">
        <x:f>IF(OR(I204="",I204=0),"",MIN(K204/I204,1))</x:f>
      </x:c>
      <x:c r="O204" s="2" t="n">
        <x:f>24-COUNTIFS('Клиентлер'!$T$8:$T$31,1)</x:f>
        <x:v>24</x:v>
      </x:c>
      <x:c r="P204" s="2" t="n">
        <x:f>IF(AND('Салық календары'!G204=1,ISNUMBER('Салық календары'!F204)),1,0)</x:f>
        <x:v>0</x:v>
      </x:c>
      <x:c r="Q204" s="2" t="str">
        <x:v>Салық</x:v>
      </x:c>
      <x:c r="R204" s="10"/>
      <x:c r="S204" s="2" t="n">
        <x:f>IF(COUNT(I204)=1,1,0)</x:f>
        <x:v>0</x:v>
      </x:c>
    </x:row>
    <x:row r="205" ht="46" customHeight="1">
      <x:c r="A205" s="2" t="n">
        <x:v>198</x:v>
      </x:c>
      <x:c r="B205" s="2" t="n">
        <x:v>198</x:v>
      </x:c>
      <x:c r="C205" s="12" t="n">
        <x:f>'Салық календары'!J205</x:f>
        <x:v>46677</x:v>
      </x:c>
      <x:c r="D205" s="13" t="str">
        <x:v>Суў салығы айлық авансы</x:v>
      </x:c>
      <x:c r="E205" s="14" t="n">
        <x:v>46680</x:v>
      </x:c>
      <x:c r="F205" s="14" t="str">
        <x:f>IF('Салық календары'!F205="","",'Салық календары'!F205)</x:f>
      </x:c>
      <x:c r="G205" s="2" t="str">
        <x:v>2027-10</x:v>
      </x:c>
      <x:c r="H205" s="2" t="str">
        <x:v>V</x:v>
      </x:c>
      <x:c r="I205" s="10" t="str">
        <x:f>IF(AND(COUNTIFS('Клиентлер'!$T$8:$T$31,1)=24,COUNT('Клиентлер'!$V$8:$V$31)=24),COUNTIFS('Клиентлер'!$V$8:$V$31,1,'Клиентлер'!$T$8:$T$31,1,'Клиентлер'!$G$8:$G$31,0),"")</x:f>
      </x:c>
      <x:c r="J205" s="10"/>
      <x:c r="K205" s="2" t="n">
        <x:f>SUMIFS('Күнлик есабат'!$F$8:$F$507,'Күнлик есабат'!$C$8:$C$507,A205,'Күнлик есабат'!$L$8:$L$507,0,'Күнлик есабат'!$M$8:$M$507,0)-SUMIFS('Күнлик есабат'!$H$8:$H$507,'Күнлик есабат'!$C$8:$C$507,A205,'Күнлик есабат'!$L$8:$L$507,0,'Күнлик есабат'!$M$8:$M$507,0)</x:f>
        <x:v>0</x:v>
      </x:c>
      <x:c r="L205" s="2" t="n">
        <x:f>SUMIFS('Күнлик есабат'!$G$8:$G$507,'Күнлик есабат'!$C$8:$C$507,A205,'Күнлик есабат'!$L$8:$L$507,0,'Күнлик есабат'!$M$8:$M$507,0)</x:f>
        <x:v>0</x:v>
      </x:c>
      <x:c r="M205" s="2" t="str">
        <x:f>IF(I205="","",MAX(I205-K205,0))</x:f>
      </x:c>
      <x:c r="N205" s="16" t="str">
        <x:f>IF(OR(I205="",I205=0),"",MIN(K205/I205,1))</x:f>
      </x:c>
      <x:c r="O205" s="2" t="n">
        <x:f>24-COUNTIFS('Клиентлер'!$T$8:$T$31,1)</x:f>
        <x:v>24</x:v>
      </x:c>
      <x:c r="P205" s="2" t="n">
        <x:f>IF(AND('Салық календары'!G205=1,ISNUMBER('Салық календары'!F205)),1,0)</x:f>
        <x:v>0</x:v>
      </x:c>
      <x:c r="Q205" s="2" t="str">
        <x:v>Салық</x:v>
      </x:c>
      <x:c r="R205" s="10"/>
      <x:c r="S205" s="2" t="n">
        <x:f>IF(COUNT(I205)=1,1,0)</x:f>
        <x:v>0</x:v>
      </x:c>
    </x:row>
    <x:row r="206" ht="46" customHeight="1">
      <x:c r="A206" s="2" t="n">
        <x:v>199</x:v>
      </x:c>
      <x:c r="B206" s="2" t="n">
        <x:v>199</x:v>
      </x:c>
      <x:c r="C206" s="12" t="n">
        <x:f>'Салық календары'!J206</x:f>
        <x:v>46677</x:v>
      </x:c>
      <x:c r="D206" s="13" t="str">
        <x:v>Пайда салығы квартал есабаты</x:v>
      </x:c>
      <x:c r="E206" s="14" t="n">
        <x:v>46680</x:v>
      </x:c>
      <x:c r="F206" s="14" t="str">
        <x:f>IF('Салық календары'!F206="","",'Салық календары'!F206)</x:f>
      </x:c>
      <x:c r="G206" s="2" t="str">
        <x:v>2027 / 2.3333333333333335-квартал</x:v>
      </x:c>
      <x:c r="H206" s="2" t="str">
        <x:v>H</x:v>
      </x:c>
      <x:c r="I206" s="10" t="str">
        <x:f>IF(AND(COUNTIFS('Клиентлер'!$T$8:$T$31,1)=24,COUNT('Клиентлер'!$H$8:$H$31)=24),COUNTIFS('Клиентлер'!$H$8:$H$31,1,'Клиентлер'!$T$8:$T$31,1),"")</x:f>
      </x:c>
      <x:c r="J206" s="10"/>
      <x:c r="K206" s="2" t="n">
        <x:f>SUMIFS('Күнлик есабат'!$F$8:$F$507,'Күнлик есабат'!$C$8:$C$507,A206,'Күнлик есабат'!$L$8:$L$507,0,'Күнлик есабат'!$M$8:$M$507,0)-SUMIFS('Күнлик есабат'!$H$8:$H$507,'Күнлик есабат'!$C$8:$C$507,A206,'Күнлик есабат'!$L$8:$L$507,0,'Күнлик есабат'!$M$8:$M$507,0)</x:f>
        <x:v>0</x:v>
      </x:c>
      <x:c r="L206" s="2" t="n">
        <x:f>SUMIFS('Күнлик есабат'!$G$8:$G$507,'Күнлик есабат'!$C$8:$C$507,A206,'Күнлик есабат'!$L$8:$L$507,0,'Күнлик есабат'!$M$8:$M$507,0)</x:f>
        <x:v>0</x:v>
      </x:c>
      <x:c r="M206" s="2" t="str">
        <x:f>IF(I206="","",MAX(I206-K206,0))</x:f>
      </x:c>
      <x:c r="N206" s="16" t="str">
        <x:f>IF(OR(I206="",I206=0),"",MIN(K206/I206,1))</x:f>
      </x:c>
      <x:c r="O206" s="2" t="n">
        <x:f>24-COUNTIFS('Клиентлер'!$T$8:$T$31,1)</x:f>
        <x:v>24</x:v>
      </x:c>
      <x:c r="P206" s="2" t="n">
        <x:f>IF(AND('Салық календары'!G206=1,ISNUMBER('Салық календары'!F206)),1,0)</x:f>
        <x:v>0</x:v>
      </x:c>
      <x:c r="Q206" s="2" t="str">
        <x:v>Салық</x:v>
      </x:c>
      <x:c r="R206" s="10"/>
      <x:c r="S206" s="2" t="n">
        <x:f>IF(COUNT(I206)=1,1,0)</x:f>
        <x:v>0</x:v>
      </x:c>
    </x:row>
    <x:row r="207" ht="46" customHeight="1">
      <x:c r="A207" s="2" t="n">
        <x:v>200</x:v>
      </x:c>
      <x:c r="B207" s="2" t="n">
        <x:v>200</x:v>
      </x:c>
      <x:c r="C207" s="12" t="n">
        <x:f>'Салық календары'!J207</x:f>
        <x:v>46708</x:v>
      </x:c>
      <x:c r="D207" s="13" t="str">
        <x:v>ҚҚС есабаты</x:v>
      </x:c>
      <x:c r="E207" s="14" t="n">
        <x:v>46711</x:v>
      </x:c>
      <x:c r="F207" s="14" t="str">
        <x:f>IF('Салық календары'!F207="","",'Салық календары'!F207)</x:f>
      </x:c>
      <x:c r="G207" s="2" t="str">
        <x:v>2027-10</x:v>
      </x:c>
      <x:c r="H207" s="2" t="str">
        <x:v>F</x:v>
      </x:c>
      <x:c r="I207" s="10" t="str">
        <x:f>IF(AND(COUNTIFS('Клиентлер'!$T$8:$T$31,1)=24,COUNT('Клиентлер'!$F$8:$F$31)=24),COUNTIFS('Клиентлер'!$F$8:$F$31,1,'Клиентлер'!$T$8:$T$31,1),"")</x:f>
      </x:c>
      <x:c r="J207" s="10"/>
      <x:c r="K207" s="2" t="n">
        <x:f>SUMIFS('Күнлик есабат'!$F$8:$F$507,'Күнлик есабат'!$C$8:$C$507,A207,'Күнлик есабат'!$L$8:$L$507,0,'Күнлик есабат'!$M$8:$M$507,0)-SUMIFS('Күнлик есабат'!$H$8:$H$507,'Күнлик есабат'!$C$8:$C$507,A207,'Күнлик есабат'!$L$8:$L$507,0,'Күнлик есабат'!$M$8:$M$507,0)</x:f>
        <x:v>0</x:v>
      </x:c>
      <x:c r="L207" s="2" t="n">
        <x:f>SUMIFS('Күнлик есабат'!$G$8:$G$507,'Күнлик есабат'!$C$8:$C$507,A207,'Күнлик есабат'!$L$8:$L$507,0,'Күнлик есабат'!$M$8:$M$507,0)</x:f>
        <x:v>0</x:v>
      </x:c>
      <x:c r="M207" s="2" t="str">
        <x:f>IF(I207="","",MAX(I207-K207,0))</x:f>
      </x:c>
      <x:c r="N207" s="16" t="str">
        <x:f>IF(OR(I207="",I207=0),"",MIN(K207/I207,1))</x:f>
      </x:c>
      <x:c r="O207" s="2" t="n">
        <x:f>24-COUNTIFS('Клиентлер'!$T$8:$T$31,1)</x:f>
        <x:v>24</x:v>
      </x:c>
      <x:c r="P207" s="2" t="n">
        <x:f>IF(AND('Салық календары'!G207=1,ISNUMBER('Салық календары'!F207)),1,0)</x:f>
        <x:v>0</x:v>
      </x:c>
      <x:c r="Q207" s="2" t="str">
        <x:v>Салық</x:v>
      </x:c>
      <x:c r="R207" s="10"/>
      <x:c r="S207" s="2" t="n">
        <x:f>IF(COUNT(I207)=1,1,0)</x:f>
        <x:v>0</x:v>
      </x:c>
    </x:row>
    <x:row r="208" ht="46" customHeight="1">
      <x:c r="A208" s="2" t="n">
        <x:v>201</x:v>
      </x:c>
      <x:c r="B208" s="2" t="n">
        <x:v>201</x:v>
      </x:c>
      <x:c r="C208" s="12" t="n">
        <x:f>'Салық календары'!J208</x:f>
        <x:v>46708</x:v>
      </x:c>
      <x:c r="D208" s="13" t="str">
        <x:v>ҚҚС төлеми</x:v>
      </x:c>
      <x:c r="E208" s="14" t="n">
        <x:v>46711</x:v>
      </x:c>
      <x:c r="F208" s="14" t="str">
        <x:f>IF('Салық календары'!F208="","",'Салық календары'!F208)</x:f>
      </x:c>
      <x:c r="G208" s="2" t="str">
        <x:v>2027-10</x:v>
      </x:c>
      <x:c r="H208" s="2" t="str">
        <x:v>F</x:v>
      </x:c>
      <x:c r="I208" s="10" t="str">
        <x:f>IF(AND(COUNTIFS('Клиентлер'!$T$8:$T$31,1)=24,COUNT('Клиентлер'!$F$8:$F$31)=24),COUNTIFS('Клиентлер'!$F$8:$F$31,1,'Клиентлер'!$T$8:$T$31,1),"")</x:f>
      </x:c>
      <x:c r="J208" s="10"/>
      <x:c r="K208" s="2" t="n">
        <x:f>SUMIFS('Күнлик есабат'!$F$8:$F$507,'Күнлик есабат'!$C$8:$C$507,A208,'Күнлик есабат'!$L$8:$L$507,0,'Күнлик есабат'!$M$8:$M$507,0)-SUMIFS('Күнлик есабат'!$H$8:$H$507,'Күнлик есабат'!$C$8:$C$507,A208,'Күнлик есабат'!$L$8:$L$507,0,'Күнлик есабат'!$M$8:$M$507,0)</x:f>
        <x:v>0</x:v>
      </x:c>
      <x:c r="L208" s="2" t="n">
        <x:f>SUMIFS('Күнлик есабат'!$G$8:$G$507,'Күнлик есабат'!$C$8:$C$507,A208,'Күнлик есабат'!$L$8:$L$507,0,'Күнлик есабат'!$M$8:$M$507,0)</x:f>
        <x:v>0</x:v>
      </x:c>
      <x:c r="M208" s="2" t="str">
        <x:f>IF(I208="","",MAX(I208-K208,0))</x:f>
      </x:c>
      <x:c r="N208" s="16" t="str">
        <x:f>IF(OR(I208="",I208=0),"",MIN(K208/I208,1))</x:f>
      </x:c>
      <x:c r="O208" s="2" t="n">
        <x:f>24-COUNTIFS('Клиентлер'!$T$8:$T$31,1)</x:f>
        <x:v>24</x:v>
      </x:c>
      <x:c r="P208" s="2" t="n">
        <x:f>IF(AND('Салық календары'!G208=1,ISNUMBER('Салық календары'!F208)),1,0)</x:f>
        <x:v>0</x:v>
      </x:c>
      <x:c r="Q208" s="2" t="str">
        <x:v>Салық</x:v>
      </x:c>
      <x:c r="R208" s="10"/>
      <x:c r="S208" s="2" t="n">
        <x:f>IF(COUNT(I208)=1,1,0)</x:f>
        <x:v>0</x:v>
      </x:c>
    </x:row>
    <x:row r="209" ht="46" customHeight="1">
      <x:c r="A209" s="2" t="n">
        <x:v>202</x:v>
      </x:c>
      <x:c r="B209" s="2" t="n">
        <x:v>202</x:v>
      </x:c>
      <x:c r="C209" s="12" t="n">
        <x:f>'Салық календары'!J209</x:f>
        <x:v>46703</x:v>
      </x:c>
      <x:c r="D209" s="13" t="str">
        <x:v>Айланба салығы есабаты</x:v>
      </x:c>
      <x:c r="E209" s="14" t="n">
        <x:v>46706</x:v>
      </x:c>
      <x:c r="F209" s="14" t="str">
        <x:f>IF('Салық календары'!F209="","",'Салық календары'!F209)</x:f>
      </x:c>
      <x:c r="G209" s="2" t="str">
        <x:v>2027-10</x:v>
      </x:c>
      <x:c r="H209" s="2" t="str">
        <x:v>G</x:v>
      </x:c>
      <x:c r="I209" s="10" t="str">
        <x:f>IF(AND(COUNTIFS('Клиентлер'!$T$8:$T$31,1)=24,COUNT('Клиентлер'!$G$8:$G$31)=24),COUNTIFS('Клиентлер'!$G$8:$G$31,1,'Клиентлер'!$T$8:$T$31,1),"")</x:f>
      </x:c>
      <x:c r="J209" s="10"/>
      <x:c r="K209" s="2" t="n">
        <x:f>SUMIFS('Күнлик есабат'!$F$8:$F$507,'Күнлик есабат'!$C$8:$C$507,A209,'Күнлик есабат'!$L$8:$L$507,0,'Күнлик есабат'!$M$8:$M$507,0)-SUMIFS('Күнлик есабат'!$H$8:$H$507,'Күнлик есабат'!$C$8:$C$507,A209,'Күнлик есабат'!$L$8:$L$507,0,'Күнлик есабат'!$M$8:$M$507,0)</x:f>
        <x:v>0</x:v>
      </x:c>
      <x:c r="L209" s="2" t="n">
        <x:f>SUMIFS('Күнлик есабат'!$G$8:$G$507,'Күнлик есабат'!$C$8:$C$507,A209,'Күнлик есабат'!$L$8:$L$507,0,'Күнлик есабат'!$M$8:$M$507,0)</x:f>
        <x:v>0</x:v>
      </x:c>
      <x:c r="M209" s="2" t="str">
        <x:f>IF(I209="","",MAX(I209-K209,0))</x:f>
      </x:c>
      <x:c r="N209" s="16" t="str">
        <x:f>IF(OR(I209="",I209=0),"",MIN(K209/I209,1))</x:f>
      </x:c>
      <x:c r="O209" s="2" t="n">
        <x:f>24-COUNTIFS('Клиентлер'!$T$8:$T$31,1)</x:f>
        <x:v>24</x:v>
      </x:c>
      <x:c r="P209" s="2" t="n">
        <x:f>IF(AND('Салық календары'!G209=1,ISNUMBER('Салық календары'!F209)),1,0)</x:f>
        <x:v>0</x:v>
      </x:c>
      <x:c r="Q209" s="2" t="str">
        <x:v>Салық</x:v>
      </x:c>
      <x:c r="R209" s="10"/>
      <x:c r="S209" s="2" t="n">
        <x:f>IF(COUNT(I209)=1,1,0)</x:f>
        <x:v>0</x:v>
      </x:c>
    </x:row>
    <x:row r="210" ht="46" customHeight="1">
      <x:c r="A210" s="2" t="n">
        <x:v>203</x:v>
      </x:c>
      <x:c r="B210" s="2" t="n">
        <x:v>203</x:v>
      </x:c>
      <x:c r="C210" s="12" t="n">
        <x:f>'Салық календары'!J210</x:f>
        <x:v>46703</x:v>
      </x:c>
      <x:c r="D210" s="13" t="str">
        <x:v>Айланба салығы төлеми</x:v>
      </x:c>
      <x:c r="E210" s="14" t="n">
        <x:v>46706</x:v>
      </x:c>
      <x:c r="F210" s="14" t="str">
        <x:f>IF('Салық календары'!F210="","",'Салық календары'!F210)</x:f>
      </x:c>
      <x:c r="G210" s="2" t="str">
        <x:v>2027-10</x:v>
      </x:c>
      <x:c r="H210" s="2" t="str">
        <x:v>G</x:v>
      </x:c>
      <x:c r="I210" s="10" t="str">
        <x:f>IF(AND(COUNTIFS('Клиентлер'!$T$8:$T$31,1)=24,COUNT('Клиентлер'!$G$8:$G$31)=24),COUNTIFS('Клиентлер'!$G$8:$G$31,1,'Клиентлер'!$T$8:$T$31,1),"")</x:f>
      </x:c>
      <x:c r="J210" s="10"/>
      <x:c r="K210" s="2" t="n">
        <x:f>SUMIFS('Күнлик есабат'!$F$8:$F$507,'Күнлик есабат'!$C$8:$C$507,A210,'Күнлик есабат'!$L$8:$L$507,0,'Күнлик есабат'!$M$8:$M$507,0)-SUMIFS('Күнлик есабат'!$H$8:$H$507,'Күнлик есабат'!$C$8:$C$507,A210,'Күнлик есабат'!$L$8:$L$507,0,'Күнлик есабат'!$M$8:$M$507,0)</x:f>
        <x:v>0</x:v>
      </x:c>
      <x:c r="L210" s="2" t="n">
        <x:f>SUMIFS('Күнлик есабат'!$G$8:$G$507,'Күнлик есабат'!$C$8:$C$507,A210,'Күнлик есабат'!$L$8:$L$507,0,'Күнлик есабат'!$M$8:$M$507,0)</x:f>
        <x:v>0</x:v>
      </x:c>
      <x:c r="M210" s="2" t="str">
        <x:f>IF(I210="","",MAX(I210-K210,0))</x:f>
      </x:c>
      <x:c r="N210" s="16" t="str">
        <x:f>IF(OR(I210="",I210=0),"",MIN(K210/I210,1))</x:f>
      </x:c>
      <x:c r="O210" s="2" t="n">
        <x:f>24-COUNTIFS('Клиентлер'!$T$8:$T$31,1)</x:f>
        <x:v>24</x:v>
      </x:c>
      <x:c r="P210" s="2" t="n">
        <x:f>IF(AND('Салық календары'!G210=1,ISNUMBER('Салық календары'!F210)),1,0)</x:f>
        <x:v>0</x:v>
      </x:c>
      <x:c r="Q210" s="2" t="str">
        <x:v>Салық</x:v>
      </x:c>
      <x:c r="R210" s="10"/>
      <x:c r="S210" s="2" t="n">
        <x:f>IF(COUNT(I210)=1,1,0)</x:f>
        <x:v>0</x:v>
      </x:c>
    </x:row>
    <x:row r="211" ht="46" customHeight="1">
      <x:c r="A211" s="2" t="n">
        <x:v>204</x:v>
      </x:c>
      <x:c r="B211" s="2" t="n">
        <x:v>204</x:v>
      </x:c>
      <x:c r="C211" s="12" t="n">
        <x:f>'Салық календары'!J211</x:f>
        <x:v>46703</x:v>
      </x:c>
      <x:c r="D211" s="13" t="str">
        <x:v>Дәрамат салығы есабаты</x:v>
      </x:c>
      <x:c r="E211" s="14" t="n">
        <x:v>46706</x:v>
      </x:c>
      <x:c r="F211" s="14" t="str">
        <x:f>IF('Салық календары'!F211="","",'Салық календары'!F211)</x:f>
      </x:c>
      <x:c r="G211" s="2" t="str">
        <x:v>2027-10</x:v>
      </x:c>
      <x:c r="H211" s="2" t="str">
        <x:v>I</x:v>
      </x:c>
      <x:c r="I211" s="10" t="str">
        <x:f>IF(AND(COUNTIFS('Клиентлер'!$T$8:$T$31,1)=24,COUNT('Клиентлер'!$I$8:$I$31)=24),COUNTIFS('Клиентлер'!$I$8:$I$31,1,'Клиентлер'!$T$8:$T$31,1),"")</x:f>
      </x:c>
      <x:c r="J211" s="10"/>
      <x:c r="K211" s="2" t="n">
        <x:f>SUMIFS('Күнлик есабат'!$F$8:$F$507,'Күнлик есабат'!$C$8:$C$507,A211,'Күнлик есабат'!$L$8:$L$507,0,'Күнлик есабат'!$M$8:$M$507,0)-SUMIFS('Күнлик есабат'!$H$8:$H$507,'Күнлик есабат'!$C$8:$C$507,A211,'Күнлик есабат'!$L$8:$L$507,0,'Күнлик есабат'!$M$8:$M$507,0)</x:f>
        <x:v>0</x:v>
      </x:c>
      <x:c r="L211" s="2" t="n">
        <x:f>SUMIFS('Күнлик есабат'!$G$8:$G$507,'Күнлик есабат'!$C$8:$C$507,A211,'Күнлик есабат'!$L$8:$L$507,0,'Күнлик есабат'!$M$8:$M$507,0)</x:f>
        <x:v>0</x:v>
      </x:c>
      <x:c r="M211" s="2" t="str">
        <x:f>IF(I211="","",MAX(I211-K211,0))</x:f>
      </x:c>
      <x:c r="N211" s="16" t="str">
        <x:f>IF(OR(I211="",I211=0),"",MIN(K211/I211,1))</x:f>
      </x:c>
      <x:c r="O211" s="2" t="n">
        <x:f>24-COUNTIFS('Клиентлер'!$T$8:$T$31,1)</x:f>
        <x:v>24</x:v>
      </x:c>
      <x:c r="P211" s="2" t="n">
        <x:f>IF(AND('Салық календары'!G211=1,ISNUMBER('Салық календары'!F211)),1,0)</x:f>
        <x:v>0</x:v>
      </x:c>
      <x:c r="Q211" s="2" t="str">
        <x:v>Салық</x:v>
      </x:c>
      <x:c r="R211" s="10"/>
      <x:c r="S211" s="2" t="n">
        <x:f>IF(COUNT(I211)=1,1,0)</x:f>
        <x:v>0</x:v>
      </x:c>
    </x:row>
    <x:row r="212" ht="46" customHeight="1">
      <x:c r="A212" s="2" t="n">
        <x:v>205</x:v>
      </x:c>
      <x:c r="B212" s="2" t="n">
        <x:v>205</x:v>
      </x:c>
      <x:c r="C212" s="12" t="n">
        <x:f>'Салық календары'!J212</x:f>
        <x:v>46703</x:v>
      </x:c>
      <x:c r="D212" s="13" t="str">
        <x:v>Социаллық салық есабаты</x:v>
      </x:c>
      <x:c r="E212" s="14" t="n">
        <x:v>46706</x:v>
      </x:c>
      <x:c r="F212" s="14" t="str">
        <x:f>IF('Салық календары'!F212="","",'Салық календары'!F212)</x:f>
      </x:c>
      <x:c r="G212" s="2" t="str">
        <x:v>2027-10</x:v>
      </x:c>
      <x:c r="H212" s="2" t="str">
        <x:v>I</x:v>
      </x:c>
      <x:c r="I212" s="10" t="str">
        <x:f>IF(AND(COUNTIFS('Клиентлер'!$T$8:$T$31,1)=24,COUNT('Клиентлер'!$I$8:$I$31)=24),COUNTIFS('Клиентлер'!$I$8:$I$31,1,'Клиентлер'!$T$8:$T$31,1),"")</x:f>
      </x:c>
      <x:c r="J212" s="10"/>
      <x:c r="K212" s="2" t="n">
        <x:f>SUMIFS('Күнлик есабат'!$F$8:$F$507,'Күнлик есабат'!$C$8:$C$507,A212,'Күнлик есабат'!$L$8:$L$507,0,'Күнлик есабат'!$M$8:$M$507,0)-SUMIFS('Күнлик есабат'!$H$8:$H$507,'Күнлик есабат'!$C$8:$C$507,A212,'Күнлик есабат'!$L$8:$L$507,0,'Күнлик есабат'!$M$8:$M$507,0)</x:f>
        <x:v>0</x:v>
      </x:c>
      <x:c r="L212" s="2" t="n">
        <x:f>SUMIFS('Күнлик есабат'!$G$8:$G$507,'Күнлик есабат'!$C$8:$C$507,A212,'Күнлик есабат'!$L$8:$L$507,0,'Күнлик есабат'!$M$8:$M$507,0)</x:f>
        <x:v>0</x:v>
      </x:c>
      <x:c r="M212" s="2" t="str">
        <x:f>IF(I212="","",MAX(I212-K212,0))</x:f>
      </x:c>
      <x:c r="N212" s="16" t="str">
        <x:f>IF(OR(I212="",I212=0),"",MIN(K212/I212,1))</x:f>
      </x:c>
      <x:c r="O212" s="2" t="n">
        <x:f>24-COUNTIFS('Клиентлер'!$T$8:$T$31,1)</x:f>
        <x:v>24</x:v>
      </x:c>
      <x:c r="P212" s="2" t="n">
        <x:f>IF(AND('Салық календары'!G212=1,ISNUMBER('Салық календары'!F212)),1,0)</x:f>
        <x:v>0</x:v>
      </x:c>
      <x:c r="Q212" s="2" t="str">
        <x:v>Салық</x:v>
      </x:c>
      <x:c r="R212" s="10"/>
      <x:c r="S212" s="2" t="n">
        <x:f>IF(COUNT(I212)=1,1,0)</x:f>
        <x:v>0</x:v>
      </x:c>
    </x:row>
    <x:row r="213" ht="46" customHeight="1">
      <x:c r="A213" s="2" t="n">
        <x:v>206</x:v>
      </x:c>
      <x:c r="B213" s="2" t="n">
        <x:v>206</x:v>
      </x:c>
      <x:c r="C213" s="12" t="n">
        <x:f>'Салық календары'!J213</x:f>
        <x:v>46703</x:v>
      </x:c>
      <x:c r="D213" s="13" t="str">
        <x:v>Социаллық салық төлеми</x:v>
      </x:c>
      <x:c r="E213" s="14" t="n">
        <x:v>46706</x:v>
      </x:c>
      <x:c r="F213" s="14" t="str">
        <x:f>IF('Салық календары'!F213="","",'Салық календары'!F213)</x:f>
      </x:c>
      <x:c r="G213" s="2" t="str">
        <x:v>2027-10</x:v>
      </x:c>
      <x:c r="H213" s="2" t="str">
        <x:v>I</x:v>
      </x:c>
      <x:c r="I213" s="10" t="str">
        <x:f>IF(AND(COUNTIFS('Клиентлер'!$T$8:$T$31,1)=24,COUNT('Клиентлер'!$I$8:$I$31)=24),COUNTIFS('Клиентлер'!$I$8:$I$31,1,'Клиентлер'!$T$8:$T$31,1),"")</x:f>
      </x:c>
      <x:c r="J213" s="10"/>
      <x:c r="K213" s="2" t="n">
        <x:f>SUMIFS('Күнлик есабат'!$F$8:$F$507,'Күнлик есабат'!$C$8:$C$507,A213,'Күнлик есабат'!$L$8:$L$507,0,'Күнлик есабат'!$M$8:$M$507,0)-SUMIFS('Күнлик есабат'!$H$8:$H$507,'Күнлик есабат'!$C$8:$C$507,A213,'Күнлик есабат'!$L$8:$L$507,0,'Күнлик есабат'!$M$8:$M$507,0)</x:f>
        <x:v>0</x:v>
      </x:c>
      <x:c r="L213" s="2" t="n">
        <x:f>SUMIFS('Күнлик есабат'!$G$8:$G$507,'Күнлик есабат'!$C$8:$C$507,A213,'Күнлик есабат'!$L$8:$L$507,0,'Күнлик есабат'!$M$8:$M$507,0)</x:f>
        <x:v>0</x:v>
      </x:c>
      <x:c r="M213" s="2" t="str">
        <x:f>IF(I213="","",MAX(I213-K213,0))</x:f>
      </x:c>
      <x:c r="N213" s="16" t="str">
        <x:f>IF(OR(I213="",I213=0),"",MIN(K213/I213,1))</x:f>
      </x:c>
      <x:c r="O213" s="2" t="n">
        <x:f>24-COUNTIFS('Клиентлер'!$T$8:$T$31,1)</x:f>
        <x:v>24</x:v>
      </x:c>
      <x:c r="P213" s="2" t="n">
        <x:f>IF(AND('Салық календары'!G213=1,ISNUMBER('Салық календары'!F213)),1,0)</x:f>
        <x:v>0</x:v>
      </x:c>
      <x:c r="Q213" s="2" t="str">
        <x:v>Салық</x:v>
      </x:c>
      <x:c r="R213" s="10"/>
      <x:c r="S213" s="2" t="n">
        <x:f>IF(COUNT(I213)=1,1,0)</x:f>
        <x:v>0</x:v>
      </x:c>
    </x:row>
    <x:row r="214" ht="46" customHeight="1">
      <x:c r="A214" s="2" t="n">
        <x:v>207</x:v>
      </x:c>
      <x:c r="B214" s="2" t="n">
        <x:v>207</x:v>
      </x:c>
      <x:c r="C214" s="12" t="n">
        <x:f>'Салық календары'!J214</x:f>
        <x:v>46698</x:v>
      </x:c>
      <x:c r="D214" s="13" t="str">
        <x:v>Акциз есабаты ҳәм төлемин тексериў</x:v>
      </x:c>
      <x:c r="E214" s="14" t="n">
        <x:v>46701</x:v>
      </x:c>
      <x:c r="F214" s="14" t="str">
        <x:f>IF('Салық календары'!F214="","",'Салық календары'!F214)</x:f>
      </x:c>
      <x:c r="G214" s="2" t="str">
        <x:v>2027-10</x:v>
      </x:c>
      <x:c r="H214" s="2" t="str">
        <x:v>N</x:v>
      </x:c>
      <x:c r="I214" s="10" t="str">
        <x:f>IF(AND(COUNTIFS('Клиентлер'!$T$8:$T$31,1)=24,COUNT('Клиентлер'!$N$8:$N$31)=24),COUNTIFS('Клиентлер'!$N$8:$N$31,1,'Клиентлер'!$T$8:$T$31,1),"")</x:f>
      </x:c>
      <x:c r="J214" s="10"/>
      <x:c r="K214" s="2" t="n">
        <x:f>SUMIFS('Күнлик есабат'!$F$8:$F$507,'Күнлик есабат'!$C$8:$C$507,A214,'Күнлик есабат'!$L$8:$L$507,0,'Күнлик есабат'!$M$8:$M$507,0)-SUMIFS('Күнлик есабат'!$H$8:$H$507,'Күнлик есабат'!$C$8:$C$507,A214,'Күнлик есабат'!$L$8:$L$507,0,'Күнлик есабат'!$M$8:$M$507,0)</x:f>
        <x:v>0</x:v>
      </x:c>
      <x:c r="L214" s="2" t="n">
        <x:f>SUMIFS('Күнлик есабат'!$G$8:$G$507,'Күнлик есабат'!$C$8:$C$507,A214,'Күнлик есабат'!$L$8:$L$507,0,'Күнлик есабат'!$M$8:$M$507,0)</x:f>
        <x:v>0</x:v>
      </x:c>
      <x:c r="M214" s="2" t="str">
        <x:f>IF(I214="","",MAX(I214-K214,0))</x:f>
      </x:c>
      <x:c r="N214" s="16" t="str">
        <x:f>IF(OR(I214="",I214=0),"",MIN(K214/I214,1))</x:f>
      </x:c>
      <x:c r="O214" s="2" t="n">
        <x:f>24-COUNTIFS('Клиентлер'!$T$8:$T$31,1)</x:f>
        <x:v>24</x:v>
      </x:c>
      <x:c r="P214" s="2" t="n">
        <x:f>IF(AND('Салық календары'!G214=1,ISNUMBER('Салық календары'!F214)),1,0)</x:f>
        <x:v>0</x:v>
      </x:c>
      <x:c r="Q214" s="2" t="str">
        <x:v>Салық</x:v>
      </x:c>
      <x:c r="R214" s="10"/>
      <x:c r="S214" s="2" t="n">
        <x:f>IF(COUNT(I214)=1,1,0)</x:f>
        <x:v>0</x:v>
      </x:c>
    </x:row>
    <x:row r="215" ht="46" customHeight="1">
      <x:c r="A215" s="2" t="n">
        <x:v>208</x:v>
      </x:c>
      <x:c r="B215" s="2" t="n">
        <x:v>208</x:v>
      </x:c>
      <x:c r="C215" s="12" t="n">
        <x:f>'Салық календары'!J215</x:f>
        <x:v>46708</x:v>
      </x:c>
      <x:c r="D215" s="13" t="str">
        <x:v>Дивиденд ҳәм процент салығы есабаты</x:v>
      </x:c>
      <x:c r="E215" s="14" t="n">
        <x:v>46711</x:v>
      </x:c>
      <x:c r="F215" s="14" t="str">
        <x:f>IF('Салық календары'!F215="","",'Салық календары'!F215)</x:f>
      </x:c>
      <x:c r="G215" s="2" t="str">
        <x:v>2027-10</x:v>
      </x:c>
      <x:c r="H215" s="2" t="str">
        <x:v>O</x:v>
      </x:c>
      <x:c r="I215" s="10" t="str">
        <x:f>IF(AND(COUNTIFS('Клиентлер'!$T$8:$T$31,1)=24,COUNT('Клиентлер'!$O$8:$O$31)=24),COUNTIFS('Клиентлер'!$O$8:$O$31,1,'Клиентлер'!$T$8:$T$31,1),"")</x:f>
      </x:c>
      <x:c r="J215" s="10"/>
      <x:c r="K215" s="2" t="n">
        <x:f>SUMIFS('Күнлик есабат'!$F$8:$F$507,'Күнлик есабат'!$C$8:$C$507,A215,'Күнлик есабат'!$L$8:$L$507,0,'Күнлик есабат'!$M$8:$M$507,0)-SUMIFS('Күнлик есабат'!$H$8:$H$507,'Күнлик есабат'!$C$8:$C$507,A215,'Күнлик есабат'!$L$8:$L$507,0,'Күнлик есабат'!$M$8:$M$507,0)</x:f>
        <x:v>0</x:v>
      </x:c>
      <x:c r="L215" s="2" t="n">
        <x:f>SUMIFS('Күнлик есабат'!$G$8:$G$507,'Күнлик есабат'!$C$8:$C$507,A215,'Күнлик есабат'!$L$8:$L$507,0,'Күнлик есабат'!$M$8:$M$507,0)</x:f>
        <x:v>0</x:v>
      </x:c>
      <x:c r="M215" s="2" t="str">
        <x:f>IF(I215="","",MAX(I215-K215,0))</x:f>
      </x:c>
      <x:c r="N215" s="16" t="str">
        <x:f>IF(OR(I215="",I215=0),"",MIN(K215/I215,1))</x:f>
      </x:c>
      <x:c r="O215" s="2" t="n">
        <x:f>24-COUNTIFS('Клиентлер'!$T$8:$T$31,1)</x:f>
        <x:v>24</x:v>
      </x:c>
      <x:c r="P215" s="2" t="n">
        <x:f>IF(AND('Салық календары'!G215=1,ISNUMBER('Салық календары'!F215)),1,0)</x:f>
        <x:v>0</x:v>
      </x:c>
      <x:c r="Q215" s="2" t="str">
        <x:v>Салық</x:v>
      </x:c>
      <x:c r="R215" s="10"/>
      <x:c r="S215" s="2" t="n">
        <x:f>IF(COUNT(I215)=1,1,0)</x:f>
        <x:v>0</x:v>
      </x:c>
    </x:row>
    <x:row r="216" ht="46" customHeight="1">
      <x:c r="A216" s="2" t="n">
        <x:v>209</x:v>
      </x:c>
      <x:c r="B216" s="2" t="n">
        <x:v>209</x:v>
      </x:c>
      <x:c r="C216" s="12" t="n">
        <x:f>'Салық календары'!J216</x:f>
        <x:v>46708</x:v>
      </x:c>
      <x:c r="D216" s="13" t="str">
        <x:v>Норезидент дәраматы салығы есабаты</x:v>
      </x:c>
      <x:c r="E216" s="14" t="n">
        <x:v>46711</x:v>
      </x:c>
      <x:c r="F216" s="14" t="str">
        <x:f>IF('Салық календары'!F216="","",'Салық календары'!F216)</x:f>
      </x:c>
      <x:c r="G216" s="2" t="str">
        <x:v>2027-10</x:v>
      </x:c>
      <x:c r="H216" s="2" t="str">
        <x:v>P</x:v>
      </x:c>
      <x:c r="I216" s="10" t="str">
        <x:f>IF(AND(COUNTIFS('Клиентлер'!$T$8:$T$31,1)=24,COUNT('Клиентлер'!$P$8:$P$31)=24),COUNTIFS('Клиентлер'!$P$8:$P$31,1,'Клиентлер'!$T$8:$T$31,1),"")</x:f>
      </x:c>
      <x:c r="J216" s="10"/>
      <x:c r="K216" s="2" t="n">
        <x:f>SUMIFS('Күнлик есабат'!$F$8:$F$507,'Күнлик есабат'!$C$8:$C$507,A216,'Күнлик есабат'!$L$8:$L$507,0,'Күнлик есабат'!$M$8:$M$507,0)-SUMIFS('Күнлик есабат'!$H$8:$H$507,'Күнлик есабат'!$C$8:$C$507,A216,'Күнлик есабат'!$L$8:$L$507,0,'Күнлик есабат'!$M$8:$M$507,0)</x:f>
        <x:v>0</x:v>
      </x:c>
      <x:c r="L216" s="2" t="n">
        <x:f>SUMIFS('Күнлик есабат'!$G$8:$G$507,'Күнлик есабат'!$C$8:$C$507,A216,'Күнлик есабат'!$L$8:$L$507,0,'Күнлик есабат'!$M$8:$M$507,0)</x:f>
        <x:v>0</x:v>
      </x:c>
      <x:c r="M216" s="2" t="str">
        <x:f>IF(I216="","",MAX(I216-K216,0))</x:f>
      </x:c>
      <x:c r="N216" s="16" t="str">
        <x:f>IF(OR(I216="",I216=0),"",MIN(K216/I216,1))</x:f>
      </x:c>
      <x:c r="O216" s="2" t="n">
        <x:f>24-COUNTIFS('Клиентлер'!$T$8:$T$31,1)</x:f>
        <x:v>24</x:v>
      </x:c>
      <x:c r="P216" s="2" t="n">
        <x:f>IF(AND('Салық календары'!G216=1,ISNUMBER('Салық календары'!F216)),1,0)</x:f>
        <x:v>0</x:v>
      </x:c>
      <x:c r="Q216" s="2" t="str">
        <x:v>Салық</x:v>
      </x:c>
      <x:c r="R216" s="10"/>
      <x:c r="S216" s="2" t="n">
        <x:f>IF(COUNT(I216)=1,1,0)</x:f>
        <x:v>0</x:v>
      </x:c>
    </x:row>
    <x:row r="217" ht="46" customHeight="1">
      <x:c r="A217" s="2" t="n">
        <x:v>210</x:v>
      </x:c>
      <x:c r="B217" s="2" t="n">
        <x:v>210</x:v>
      </x:c>
      <x:c r="C217" s="12" t="n">
        <x:f>'Салық календары'!J217</x:f>
        <x:v>46708</x:v>
      </x:c>
      <x:c r="D217" s="13" t="str">
        <x:v>Жер қойнаўынан пайдаланыў есабаты</x:v>
      </x:c>
      <x:c r="E217" s="14" t="n">
        <x:v>46711</x:v>
      </x:c>
      <x:c r="F217" s="14" t="str">
        <x:f>IF('Салық календары'!F217="","",'Салық календары'!F217)</x:f>
      </x:c>
      <x:c r="G217" s="2" t="str">
        <x:v>2027-10</x:v>
      </x:c>
      <x:c r="H217" s="2" t="str">
        <x:v>Q</x:v>
      </x:c>
      <x:c r="I217" s="10" t="str">
        <x:f>IF(AND(COUNTIFS('Клиентлер'!$T$8:$T$31,1)=24,COUNT('Клиентлер'!$Q$8:$Q$31)=24),COUNTIFS('Клиентлер'!$Q$8:$Q$31,1,'Клиентлер'!$T$8:$T$31,1),"")</x:f>
      </x:c>
      <x:c r="J217" s="10"/>
      <x:c r="K217" s="2" t="n">
        <x:f>SUMIFS('Күнлик есабат'!$F$8:$F$507,'Күнлик есабат'!$C$8:$C$507,A217,'Күнлик есабат'!$L$8:$L$507,0,'Күнлик есабат'!$M$8:$M$507,0)-SUMIFS('Күнлик есабат'!$H$8:$H$507,'Күнлик есабат'!$C$8:$C$507,A217,'Күнлик есабат'!$L$8:$L$507,0,'Күнлик есабат'!$M$8:$M$507,0)</x:f>
        <x:v>0</x:v>
      </x:c>
      <x:c r="L217" s="2" t="n">
        <x:f>SUMIFS('Күнлик есабат'!$G$8:$G$507,'Күнлик есабат'!$C$8:$C$507,A217,'Күнлик есабат'!$L$8:$L$507,0,'Күнлик есабат'!$M$8:$M$507,0)</x:f>
        <x:v>0</x:v>
      </x:c>
      <x:c r="M217" s="2" t="str">
        <x:f>IF(I217="","",MAX(I217-K217,0))</x:f>
      </x:c>
      <x:c r="N217" s="16" t="str">
        <x:f>IF(OR(I217="",I217=0),"",MIN(K217/I217,1))</x:f>
      </x:c>
      <x:c r="O217" s="2" t="n">
        <x:f>24-COUNTIFS('Клиентлер'!$T$8:$T$31,1)</x:f>
        <x:v>24</x:v>
      </x:c>
      <x:c r="P217" s="2" t="n">
        <x:f>IF(AND('Салық календары'!G217=1,ISNUMBER('Салық календары'!F217)),1,0)</x:f>
        <x:v>0</x:v>
      </x:c>
      <x:c r="Q217" s="2" t="str">
        <x:v>Салық</x:v>
      </x:c>
      <x:c r="R217" s="10"/>
      <x:c r="S217" s="2" t="n">
        <x:f>IF(COUNT(I217)=1,1,0)</x:f>
        <x:v>0</x:v>
      </x:c>
    </x:row>
    <x:row r="218" ht="46" customHeight="1">
      <x:c r="A218" s="2" t="n">
        <x:v>211</x:v>
      </x:c>
      <x:c r="B218" s="2" t="n">
        <x:v>211</x:v>
      </x:c>
      <x:c r="C218" s="12" t="n">
        <x:f>'Салық календары'!J218</x:f>
        <x:v>46711</x:v>
      </x:c>
      <x:c r="D218" s="13" t="str">
        <x:v>Пайда салығы авансы</x:v>
      </x:c>
      <x:c r="E218" s="14" t="n">
        <x:v>46714</x:v>
      </x:c>
      <x:c r="F218" s="14" t="str">
        <x:f>IF('Салық календары'!F218="","",'Салық календары'!F218)</x:f>
      </x:c>
      <x:c r="G218" s="2" t="str">
        <x:v>2027-11</x:v>
      </x:c>
      <x:c r="H218" s="2" t="str">
        <x:v>M</x:v>
      </x:c>
      <x:c r="I218" s="10" t="str">
        <x:f>IF(AND(COUNTIFS('Клиентлер'!$T$8:$T$31,1)=24,COUNT('Клиентлер'!$M$8:$M$31)=24),COUNTIFS('Клиентлер'!$M$8:$M$31,1,'Клиентлер'!$T$8:$T$31,1),"")</x:f>
      </x:c>
      <x:c r="J218" s="10"/>
      <x:c r="K218" s="2" t="n">
        <x:f>SUMIFS('Күнлик есабат'!$F$8:$F$507,'Күнлик есабат'!$C$8:$C$507,A218,'Күнлик есабат'!$L$8:$L$507,0,'Күнлик есабат'!$M$8:$M$507,0)-SUMIFS('Күнлик есабат'!$H$8:$H$507,'Күнлик есабат'!$C$8:$C$507,A218,'Күнлик есабат'!$L$8:$L$507,0,'Күнлик есабат'!$M$8:$M$507,0)</x:f>
        <x:v>0</x:v>
      </x:c>
      <x:c r="L218" s="2" t="n">
        <x:f>SUMIFS('Күнлик есабат'!$G$8:$G$507,'Күнлик есабат'!$C$8:$C$507,A218,'Күнлик есабат'!$L$8:$L$507,0,'Күнлик есабат'!$M$8:$M$507,0)</x:f>
        <x:v>0</x:v>
      </x:c>
      <x:c r="M218" s="2" t="str">
        <x:f>IF(I218="","",MAX(I218-K218,0))</x:f>
      </x:c>
      <x:c r="N218" s="16" t="str">
        <x:f>IF(OR(I218="",I218=0),"",MIN(K218/I218,1))</x:f>
      </x:c>
      <x:c r="O218" s="2" t="n">
        <x:f>24-COUNTIFS('Клиентлер'!$T$8:$T$31,1)</x:f>
        <x:v>24</x:v>
      </x:c>
      <x:c r="P218" s="2" t="n">
        <x:f>IF(AND('Салық календары'!G218=1,ISNUMBER('Салық календары'!F218)),1,0)</x:f>
        <x:v>0</x:v>
      </x:c>
      <x:c r="Q218" s="2" t="str">
        <x:v>Салық</x:v>
      </x:c>
      <x:c r="R218" s="10"/>
      <x:c r="S218" s="2" t="n">
        <x:f>IF(COUNT(I218)=1,1,0)</x:f>
        <x:v>0</x:v>
      </x:c>
    </x:row>
    <x:row r="219" ht="46" customHeight="1">
      <x:c r="A219" s="2" t="n">
        <x:v>212</x:v>
      </x:c>
      <x:c r="B219" s="2" t="n">
        <x:v>212</x:v>
      </x:c>
      <x:c r="C219" s="12" t="n">
        <x:f>'Салық календары'!J219</x:f>
        <x:v>46698</x:v>
      </x:c>
      <x:c r="D219" s="13" t="str">
        <x:v>Мүлк салығы айлық авансы</x:v>
      </x:c>
      <x:c r="E219" s="14" t="n">
        <x:v>46701</x:v>
      </x:c>
      <x:c r="F219" s="14" t="str">
        <x:f>IF('Салық календары'!F219="","",'Салық календары'!F219)</x:f>
      </x:c>
      <x:c r="G219" s="2" t="str">
        <x:v>2027-11</x:v>
      </x:c>
      <x:c r="H219" s="2" t="str">
        <x:v>J</x:v>
      </x:c>
      <x:c r="I219" s="10" t="str">
        <x:f>IF(AND(COUNTIFS('Клиентлер'!$T$8:$T$31,1)=24,COUNT('Клиентлер'!$J$8:$J$31)=24),COUNTIFS('Клиентлер'!$J$8:$J$31,1,'Клиентлер'!$T$8:$T$31,1,'Клиентлер'!$G$8:$G$31,0),"")</x:f>
      </x:c>
      <x:c r="J219" s="10"/>
      <x:c r="K219" s="2" t="n">
        <x:f>SUMIFS('Күнлик есабат'!$F$8:$F$507,'Күнлик есабат'!$C$8:$C$507,A219,'Күнлик есабат'!$L$8:$L$507,0,'Күнлик есабат'!$M$8:$M$507,0)-SUMIFS('Күнлик есабат'!$H$8:$H$507,'Күнлик есабат'!$C$8:$C$507,A219,'Күнлик есабат'!$L$8:$L$507,0,'Күнлик есабат'!$M$8:$M$507,0)</x:f>
        <x:v>0</x:v>
      </x:c>
      <x:c r="L219" s="2" t="n">
        <x:f>SUMIFS('Күнлик есабат'!$G$8:$G$507,'Күнлик есабат'!$C$8:$C$507,A219,'Күнлик есабат'!$L$8:$L$507,0,'Күнлик есабат'!$M$8:$M$507,0)</x:f>
        <x:v>0</x:v>
      </x:c>
      <x:c r="M219" s="2" t="str">
        <x:f>IF(I219="","",MAX(I219-K219,0))</x:f>
      </x:c>
      <x:c r="N219" s="16" t="str">
        <x:f>IF(OR(I219="",I219=0),"",MIN(K219/I219,1))</x:f>
      </x:c>
      <x:c r="O219" s="2" t="n">
        <x:f>24-COUNTIFS('Клиентлер'!$T$8:$T$31,1)</x:f>
        <x:v>24</x:v>
      </x:c>
      <x:c r="P219" s="2" t="n">
        <x:f>IF(AND('Салық календары'!G219=1,ISNUMBER('Салық календары'!F219)),1,0)</x:f>
        <x:v>0</x:v>
      </x:c>
      <x:c r="Q219" s="2" t="str">
        <x:v>Салық</x:v>
      </x:c>
      <x:c r="R219" s="10"/>
      <x:c r="S219" s="2" t="n">
        <x:f>IF(COUNT(I219)=1,1,0)</x:f>
        <x:v>0</x:v>
      </x:c>
    </x:row>
    <x:row r="220" ht="46" customHeight="1">
      <x:c r="A220" s="2" t="n">
        <x:v>213</x:v>
      </x:c>
      <x:c r="B220" s="2" t="n">
        <x:v>213</x:v>
      </x:c>
      <x:c r="C220" s="12" t="n">
        <x:f>'Салық календары'!J220</x:f>
        <x:v>46698</x:v>
      </x:c>
      <x:c r="D220" s="13" t="str">
        <x:v>Жер салығы айлық төлеми</x:v>
      </x:c>
      <x:c r="E220" s="14" t="n">
        <x:v>46701</x:v>
      </x:c>
      <x:c r="F220" s="14" t="str">
        <x:f>IF('Салық календары'!F220="","",'Салық календары'!F220)</x:f>
      </x:c>
      <x:c r="G220" s="2" t="str">
        <x:v>2027-11</x:v>
      </x:c>
      <x:c r="H220" s="2" t="str">
        <x:v>K</x:v>
      </x:c>
      <x:c r="I220" s="10" t="str">
        <x:f>IF(AND(COUNTIFS('Клиентлер'!$T$8:$T$31,1)=24,COUNT('Клиентлер'!$K$8:$K$31)=24),COUNTIFS('Клиентлер'!$K$8:$K$31,1,'Клиентлер'!$T$8:$T$31,1,'Клиентлер'!$G$8:$G$31,0),"")</x:f>
      </x:c>
      <x:c r="J220" s="10"/>
      <x:c r="K220" s="2" t="n">
        <x:f>SUMIFS('Күнлик есабат'!$F$8:$F$507,'Күнлик есабат'!$C$8:$C$507,A220,'Күнлик есабат'!$L$8:$L$507,0,'Күнлик есабат'!$M$8:$M$507,0)-SUMIFS('Күнлик есабат'!$H$8:$H$507,'Күнлик есабат'!$C$8:$C$507,A220,'Күнлик есабат'!$L$8:$L$507,0,'Күнлик есабат'!$M$8:$M$507,0)</x:f>
        <x:v>0</x:v>
      </x:c>
      <x:c r="L220" s="2" t="n">
        <x:f>SUMIFS('Күнлик есабат'!$G$8:$G$507,'Күнлик есабат'!$C$8:$C$507,A220,'Күнлик есабат'!$L$8:$L$507,0,'Күнлик есабат'!$M$8:$M$507,0)</x:f>
        <x:v>0</x:v>
      </x:c>
      <x:c r="M220" s="2" t="str">
        <x:f>IF(I220="","",MAX(I220-K220,0))</x:f>
      </x:c>
      <x:c r="N220" s="16" t="str">
        <x:f>IF(OR(I220="",I220=0),"",MIN(K220/I220,1))</x:f>
      </x:c>
      <x:c r="O220" s="2" t="n">
        <x:f>24-COUNTIFS('Клиентлер'!$T$8:$T$31,1)</x:f>
        <x:v>24</x:v>
      </x:c>
      <x:c r="P220" s="2" t="n">
        <x:f>IF(AND('Салық календары'!G220=1,ISNUMBER('Салық календары'!F220)),1,0)</x:f>
        <x:v>0</x:v>
      </x:c>
      <x:c r="Q220" s="2" t="str">
        <x:v>Салық</x:v>
      </x:c>
      <x:c r="R220" s="10"/>
      <x:c r="S220" s="2" t="n">
        <x:f>IF(COUNT(I220)=1,1,0)</x:f>
        <x:v>0</x:v>
      </x:c>
    </x:row>
    <x:row r="221" ht="46" customHeight="1">
      <x:c r="A221" s="2" t="n">
        <x:v>214</x:v>
      </x:c>
      <x:c r="B221" s="2" t="n">
        <x:v>214</x:v>
      </x:c>
      <x:c r="C221" s="12" t="n">
        <x:f>'Салық календары'!J221</x:f>
        <x:v>46708</x:v>
      </x:c>
      <x:c r="D221" s="13" t="str">
        <x:v>Суў салығы айлық авансы</x:v>
      </x:c>
      <x:c r="E221" s="14" t="n">
        <x:v>46711</x:v>
      </x:c>
      <x:c r="F221" s="14" t="str">
        <x:f>IF('Салық календары'!F221="","",'Салық календары'!F221)</x:f>
      </x:c>
      <x:c r="G221" s="2" t="str">
        <x:v>2027-11</x:v>
      </x:c>
      <x:c r="H221" s="2" t="str">
        <x:v>V</x:v>
      </x:c>
      <x:c r="I221" s="10" t="str">
        <x:f>IF(AND(COUNTIFS('Клиентлер'!$T$8:$T$31,1)=24,COUNT('Клиентлер'!$V$8:$V$31)=24),COUNTIFS('Клиентлер'!$V$8:$V$31,1,'Клиентлер'!$T$8:$T$31,1,'Клиентлер'!$G$8:$G$31,0),"")</x:f>
      </x:c>
      <x:c r="J221" s="10"/>
      <x:c r="K221" s="2" t="n">
        <x:f>SUMIFS('Күнлик есабат'!$F$8:$F$507,'Күнлик есабат'!$C$8:$C$507,A221,'Күнлик есабат'!$L$8:$L$507,0,'Күнлик есабат'!$M$8:$M$507,0)-SUMIFS('Күнлик есабат'!$H$8:$H$507,'Күнлик есабат'!$C$8:$C$507,A221,'Күнлик есабат'!$L$8:$L$507,0,'Күнлик есабат'!$M$8:$M$507,0)</x:f>
        <x:v>0</x:v>
      </x:c>
      <x:c r="L221" s="2" t="n">
        <x:f>SUMIFS('Күнлик есабат'!$G$8:$G$507,'Күнлик есабат'!$C$8:$C$507,A221,'Күнлик есабат'!$L$8:$L$507,0,'Күнлик есабат'!$M$8:$M$507,0)</x:f>
        <x:v>0</x:v>
      </x:c>
      <x:c r="M221" s="2" t="str">
        <x:f>IF(I221="","",MAX(I221-K221,0))</x:f>
      </x:c>
      <x:c r="N221" s="16" t="str">
        <x:f>IF(OR(I221="",I221=0),"",MIN(K221/I221,1))</x:f>
      </x:c>
      <x:c r="O221" s="2" t="n">
        <x:f>24-COUNTIFS('Клиентлер'!$T$8:$T$31,1)</x:f>
        <x:v>24</x:v>
      </x:c>
      <x:c r="P221" s="2" t="n">
        <x:f>IF(AND('Салық календары'!G221=1,ISNUMBER('Салық календары'!F221)),1,0)</x:f>
        <x:v>0</x:v>
      </x:c>
      <x:c r="Q221" s="2" t="str">
        <x:v>Салық</x:v>
      </x:c>
      <x:c r="R221" s="10"/>
      <x:c r="S221" s="2" t="n">
        <x:f>IF(COUNT(I221)=1,1,0)</x:f>
        <x:v>0</x:v>
      </x:c>
    </x:row>
    <x:row r="222" ht="46" customHeight="1">
      <x:c r="A222" s="2" t="n">
        <x:v>215</x:v>
      </x:c>
      <x:c r="B222" s="2" t="n">
        <x:v>215</x:v>
      </x:c>
      <x:c r="C222" s="12" t="n">
        <x:f>'Салық календары'!J222</x:f>
        <x:v>46738</x:v>
      </x:c>
      <x:c r="D222" s="13" t="str">
        <x:v>ҚҚС есабаты</x:v>
      </x:c>
      <x:c r="E222" s="14" t="n">
        <x:v>46741</x:v>
      </x:c>
      <x:c r="F222" s="14" t="str">
        <x:f>IF('Салық календары'!F222="","",'Салық календары'!F222)</x:f>
      </x:c>
      <x:c r="G222" s="2" t="str">
        <x:v>2027-11</x:v>
      </x:c>
      <x:c r="H222" s="2" t="str">
        <x:v>F</x:v>
      </x:c>
      <x:c r="I222" s="10" t="str">
        <x:f>IF(AND(COUNTIFS('Клиентлер'!$T$8:$T$31,1)=24,COUNT('Клиентлер'!$F$8:$F$31)=24),COUNTIFS('Клиентлер'!$F$8:$F$31,1,'Клиентлер'!$T$8:$T$31,1),"")</x:f>
      </x:c>
      <x:c r="J222" s="10"/>
      <x:c r="K222" s="2" t="n">
        <x:f>SUMIFS('Күнлик есабат'!$F$8:$F$507,'Күнлик есабат'!$C$8:$C$507,A222,'Күнлик есабат'!$L$8:$L$507,0,'Күнлик есабат'!$M$8:$M$507,0)-SUMIFS('Күнлик есабат'!$H$8:$H$507,'Күнлик есабат'!$C$8:$C$507,A222,'Күнлик есабат'!$L$8:$L$507,0,'Күнлик есабат'!$M$8:$M$507,0)</x:f>
        <x:v>0</x:v>
      </x:c>
      <x:c r="L222" s="2" t="n">
        <x:f>SUMIFS('Күнлик есабат'!$G$8:$G$507,'Күнлик есабат'!$C$8:$C$507,A222,'Күнлик есабат'!$L$8:$L$507,0,'Күнлик есабат'!$M$8:$M$507,0)</x:f>
        <x:v>0</x:v>
      </x:c>
      <x:c r="M222" s="2" t="str">
        <x:f>IF(I222="","",MAX(I222-K222,0))</x:f>
      </x:c>
      <x:c r="N222" s="16" t="str">
        <x:f>IF(OR(I222="",I222=0),"",MIN(K222/I222,1))</x:f>
      </x:c>
      <x:c r="O222" s="2" t="n">
        <x:f>24-COUNTIFS('Клиентлер'!$T$8:$T$31,1)</x:f>
        <x:v>24</x:v>
      </x:c>
      <x:c r="P222" s="2" t="n">
        <x:f>IF(AND('Салық календары'!G222=1,ISNUMBER('Салық календары'!F222)),1,0)</x:f>
        <x:v>0</x:v>
      </x:c>
      <x:c r="Q222" s="2" t="str">
        <x:v>Салық</x:v>
      </x:c>
      <x:c r="R222" s="10"/>
      <x:c r="S222" s="2" t="n">
        <x:f>IF(COUNT(I222)=1,1,0)</x:f>
        <x:v>0</x:v>
      </x:c>
    </x:row>
    <x:row r="223" ht="46" customHeight="1">
      <x:c r="A223" s="2" t="n">
        <x:v>216</x:v>
      </x:c>
      <x:c r="B223" s="2" t="n">
        <x:v>216</x:v>
      </x:c>
      <x:c r="C223" s="12" t="n">
        <x:f>'Салық календары'!J223</x:f>
        <x:v>46738</x:v>
      </x:c>
      <x:c r="D223" s="13" t="str">
        <x:v>ҚҚС төлеми</x:v>
      </x:c>
      <x:c r="E223" s="14" t="n">
        <x:v>46741</x:v>
      </x:c>
      <x:c r="F223" s="14" t="str">
        <x:f>IF('Салық календары'!F223="","",'Салық календары'!F223)</x:f>
      </x:c>
      <x:c r="G223" s="2" t="str">
        <x:v>2027-11</x:v>
      </x:c>
      <x:c r="H223" s="2" t="str">
        <x:v>F</x:v>
      </x:c>
      <x:c r="I223" s="10" t="str">
        <x:f>IF(AND(COUNTIFS('Клиентлер'!$T$8:$T$31,1)=24,COUNT('Клиентлер'!$F$8:$F$31)=24),COUNTIFS('Клиентлер'!$F$8:$F$31,1,'Клиентлер'!$T$8:$T$31,1),"")</x:f>
      </x:c>
      <x:c r="J223" s="10"/>
      <x:c r="K223" s="2" t="n">
        <x:f>SUMIFS('Күнлик есабат'!$F$8:$F$507,'Күнлик есабат'!$C$8:$C$507,A223,'Күнлик есабат'!$L$8:$L$507,0,'Күнлик есабат'!$M$8:$M$507,0)-SUMIFS('Күнлик есабат'!$H$8:$H$507,'Күнлик есабат'!$C$8:$C$507,A223,'Күнлик есабат'!$L$8:$L$507,0,'Күнлик есабат'!$M$8:$M$507,0)</x:f>
        <x:v>0</x:v>
      </x:c>
      <x:c r="L223" s="2" t="n">
        <x:f>SUMIFS('Күнлик есабат'!$G$8:$G$507,'Күнлик есабат'!$C$8:$C$507,A223,'Күнлик есабат'!$L$8:$L$507,0,'Күнлик есабат'!$M$8:$M$507,0)</x:f>
        <x:v>0</x:v>
      </x:c>
      <x:c r="M223" s="2" t="str">
        <x:f>IF(I223="","",MAX(I223-K223,0))</x:f>
      </x:c>
      <x:c r="N223" s="16" t="str">
        <x:f>IF(OR(I223="",I223=0),"",MIN(K223/I223,1))</x:f>
      </x:c>
      <x:c r="O223" s="2" t="n">
        <x:f>24-COUNTIFS('Клиентлер'!$T$8:$T$31,1)</x:f>
        <x:v>24</x:v>
      </x:c>
      <x:c r="P223" s="2" t="n">
        <x:f>IF(AND('Салық календары'!G223=1,ISNUMBER('Салық календары'!F223)),1,0)</x:f>
        <x:v>0</x:v>
      </x:c>
      <x:c r="Q223" s="2" t="str">
        <x:v>Салық</x:v>
      </x:c>
      <x:c r="R223" s="10"/>
      <x:c r="S223" s="2" t="n">
        <x:f>IF(COUNT(I223)=1,1,0)</x:f>
        <x:v>0</x:v>
      </x:c>
    </x:row>
    <x:row r="224" ht="46" customHeight="1">
      <x:c r="A224" s="2" t="n">
        <x:v>217</x:v>
      </x:c>
      <x:c r="B224" s="2" t="n">
        <x:v>217</x:v>
      </x:c>
      <x:c r="C224" s="12" t="n">
        <x:f>'Салық календары'!J224</x:f>
        <x:v>46733</x:v>
      </x:c>
      <x:c r="D224" s="13" t="str">
        <x:v>Айланба салығы есабаты</x:v>
      </x:c>
      <x:c r="E224" s="14" t="n">
        <x:v>46736</x:v>
      </x:c>
      <x:c r="F224" s="14" t="str">
        <x:f>IF('Салық календары'!F224="","",'Салық календары'!F224)</x:f>
      </x:c>
      <x:c r="G224" s="2" t="str">
        <x:v>2027-11</x:v>
      </x:c>
      <x:c r="H224" s="2" t="str">
        <x:v>G</x:v>
      </x:c>
      <x:c r="I224" s="10" t="str">
        <x:f>IF(AND(COUNTIFS('Клиентлер'!$T$8:$T$31,1)=24,COUNT('Клиентлер'!$G$8:$G$31)=24),COUNTIFS('Клиентлер'!$G$8:$G$31,1,'Клиентлер'!$T$8:$T$31,1),"")</x:f>
      </x:c>
      <x:c r="J224" s="10"/>
      <x:c r="K224" s="2" t="n">
        <x:f>SUMIFS('Күнлик есабат'!$F$8:$F$507,'Күнлик есабат'!$C$8:$C$507,A224,'Күнлик есабат'!$L$8:$L$507,0,'Күнлик есабат'!$M$8:$M$507,0)-SUMIFS('Күнлик есабат'!$H$8:$H$507,'Күнлик есабат'!$C$8:$C$507,A224,'Күнлик есабат'!$L$8:$L$507,0,'Күнлик есабат'!$M$8:$M$507,0)</x:f>
        <x:v>0</x:v>
      </x:c>
      <x:c r="L224" s="2" t="n">
        <x:f>SUMIFS('Күнлик есабат'!$G$8:$G$507,'Күнлик есабат'!$C$8:$C$507,A224,'Күнлик есабат'!$L$8:$L$507,0,'Күнлик есабат'!$M$8:$M$507,0)</x:f>
        <x:v>0</x:v>
      </x:c>
      <x:c r="M224" s="2" t="str">
        <x:f>IF(I224="","",MAX(I224-K224,0))</x:f>
      </x:c>
      <x:c r="N224" s="16" t="str">
        <x:f>IF(OR(I224="",I224=0),"",MIN(K224/I224,1))</x:f>
      </x:c>
      <x:c r="O224" s="2" t="n">
        <x:f>24-COUNTIFS('Клиентлер'!$T$8:$T$31,1)</x:f>
        <x:v>24</x:v>
      </x:c>
      <x:c r="P224" s="2" t="n">
        <x:f>IF(AND('Салық календары'!G224=1,ISNUMBER('Салық календары'!F224)),1,0)</x:f>
        <x:v>0</x:v>
      </x:c>
      <x:c r="Q224" s="2" t="str">
        <x:v>Салық</x:v>
      </x:c>
      <x:c r="R224" s="10"/>
      <x:c r="S224" s="2" t="n">
        <x:f>IF(COUNT(I224)=1,1,0)</x:f>
        <x:v>0</x:v>
      </x:c>
    </x:row>
    <x:row r="225" ht="46" customHeight="1">
      <x:c r="A225" s="2" t="n">
        <x:v>218</x:v>
      </x:c>
      <x:c r="B225" s="2" t="n">
        <x:v>218</x:v>
      </x:c>
      <x:c r="C225" s="12" t="n">
        <x:f>'Салық календары'!J225</x:f>
        <x:v>46733</x:v>
      </x:c>
      <x:c r="D225" s="13" t="str">
        <x:v>Айланба салығы төлеми</x:v>
      </x:c>
      <x:c r="E225" s="14" t="n">
        <x:v>46736</x:v>
      </x:c>
      <x:c r="F225" s="14" t="str">
        <x:f>IF('Салық календары'!F225="","",'Салық календары'!F225)</x:f>
      </x:c>
      <x:c r="G225" s="2" t="str">
        <x:v>2027-11</x:v>
      </x:c>
      <x:c r="H225" s="2" t="str">
        <x:v>G</x:v>
      </x:c>
      <x:c r="I225" s="10" t="str">
        <x:f>IF(AND(COUNTIFS('Клиентлер'!$T$8:$T$31,1)=24,COUNT('Клиентлер'!$G$8:$G$31)=24),COUNTIFS('Клиентлер'!$G$8:$G$31,1,'Клиентлер'!$T$8:$T$31,1),"")</x:f>
      </x:c>
      <x:c r="J225" s="10"/>
      <x:c r="K225" s="2" t="n">
        <x:f>SUMIFS('Күнлик есабат'!$F$8:$F$507,'Күнлик есабат'!$C$8:$C$507,A225,'Күнлик есабат'!$L$8:$L$507,0,'Күнлик есабат'!$M$8:$M$507,0)-SUMIFS('Күнлик есабат'!$H$8:$H$507,'Күнлик есабат'!$C$8:$C$507,A225,'Күнлик есабат'!$L$8:$L$507,0,'Күнлик есабат'!$M$8:$M$507,0)</x:f>
        <x:v>0</x:v>
      </x:c>
      <x:c r="L225" s="2" t="n">
        <x:f>SUMIFS('Күнлик есабат'!$G$8:$G$507,'Күнлик есабат'!$C$8:$C$507,A225,'Күнлик есабат'!$L$8:$L$507,0,'Күнлик есабат'!$M$8:$M$507,0)</x:f>
        <x:v>0</x:v>
      </x:c>
      <x:c r="M225" s="2" t="str">
        <x:f>IF(I225="","",MAX(I225-K225,0))</x:f>
      </x:c>
      <x:c r="N225" s="16" t="str">
        <x:f>IF(OR(I225="",I225=0),"",MIN(K225/I225,1))</x:f>
      </x:c>
      <x:c r="O225" s="2" t="n">
        <x:f>24-COUNTIFS('Клиентлер'!$T$8:$T$31,1)</x:f>
        <x:v>24</x:v>
      </x:c>
      <x:c r="P225" s="2" t="n">
        <x:f>IF(AND('Салық календары'!G225=1,ISNUMBER('Салық календары'!F225)),1,0)</x:f>
        <x:v>0</x:v>
      </x:c>
      <x:c r="Q225" s="2" t="str">
        <x:v>Салық</x:v>
      </x:c>
      <x:c r="R225" s="10"/>
      <x:c r="S225" s="2" t="n">
        <x:f>IF(COUNT(I225)=1,1,0)</x:f>
        <x:v>0</x:v>
      </x:c>
    </x:row>
    <x:row r="226" ht="46" customHeight="1">
      <x:c r="A226" s="2" t="n">
        <x:v>219</x:v>
      </x:c>
      <x:c r="B226" s="2" t="n">
        <x:v>219</x:v>
      </x:c>
      <x:c r="C226" s="12" t="n">
        <x:f>'Салық календары'!J226</x:f>
        <x:v>46733</x:v>
      </x:c>
      <x:c r="D226" s="13" t="str">
        <x:v>Дәрамат салығы есабаты</x:v>
      </x:c>
      <x:c r="E226" s="14" t="n">
        <x:v>46736</x:v>
      </x:c>
      <x:c r="F226" s="14" t="str">
        <x:f>IF('Салық календары'!F226="","",'Салық календары'!F226)</x:f>
      </x:c>
      <x:c r="G226" s="2" t="str">
        <x:v>2027-11</x:v>
      </x:c>
      <x:c r="H226" s="2" t="str">
        <x:v>I</x:v>
      </x:c>
      <x:c r="I226" s="10" t="str">
        <x:f>IF(AND(COUNTIFS('Клиентлер'!$T$8:$T$31,1)=24,COUNT('Клиентлер'!$I$8:$I$31)=24),COUNTIFS('Клиентлер'!$I$8:$I$31,1,'Клиентлер'!$T$8:$T$31,1),"")</x:f>
      </x:c>
      <x:c r="J226" s="10"/>
      <x:c r="K226" s="2" t="n">
        <x:f>SUMIFS('Күнлик есабат'!$F$8:$F$507,'Күнлик есабат'!$C$8:$C$507,A226,'Күнлик есабат'!$L$8:$L$507,0,'Күнлик есабат'!$M$8:$M$507,0)-SUMIFS('Күнлик есабат'!$H$8:$H$507,'Күнлик есабат'!$C$8:$C$507,A226,'Күнлик есабат'!$L$8:$L$507,0,'Күнлик есабат'!$M$8:$M$507,0)</x:f>
        <x:v>0</x:v>
      </x:c>
      <x:c r="L226" s="2" t="n">
        <x:f>SUMIFS('Күнлик есабат'!$G$8:$G$507,'Күнлик есабат'!$C$8:$C$507,A226,'Күнлик есабат'!$L$8:$L$507,0,'Күнлик есабат'!$M$8:$M$507,0)</x:f>
        <x:v>0</x:v>
      </x:c>
      <x:c r="M226" s="2" t="str">
        <x:f>IF(I226="","",MAX(I226-K226,0))</x:f>
      </x:c>
      <x:c r="N226" s="16" t="str">
        <x:f>IF(OR(I226="",I226=0),"",MIN(K226/I226,1))</x:f>
      </x:c>
      <x:c r="O226" s="2" t="n">
        <x:f>24-COUNTIFS('Клиентлер'!$T$8:$T$31,1)</x:f>
        <x:v>24</x:v>
      </x:c>
      <x:c r="P226" s="2" t="n">
        <x:f>IF(AND('Салық календары'!G226=1,ISNUMBER('Салық календары'!F226)),1,0)</x:f>
        <x:v>0</x:v>
      </x:c>
      <x:c r="Q226" s="2" t="str">
        <x:v>Салық</x:v>
      </x:c>
      <x:c r="R226" s="10"/>
      <x:c r="S226" s="2" t="n">
        <x:f>IF(COUNT(I226)=1,1,0)</x:f>
        <x:v>0</x:v>
      </x:c>
    </x:row>
    <x:row r="227" ht="46" customHeight="1">
      <x:c r="A227" s="2" t="n">
        <x:v>220</x:v>
      </x:c>
      <x:c r="B227" s="2" t="n">
        <x:v>220</x:v>
      </x:c>
      <x:c r="C227" s="12" t="n">
        <x:f>'Салық календары'!J227</x:f>
        <x:v>46733</x:v>
      </x:c>
      <x:c r="D227" s="13" t="str">
        <x:v>Социаллық салық есабаты</x:v>
      </x:c>
      <x:c r="E227" s="14" t="n">
        <x:v>46736</x:v>
      </x:c>
      <x:c r="F227" s="14" t="str">
        <x:f>IF('Салық календары'!F227="","",'Салық календары'!F227)</x:f>
      </x:c>
      <x:c r="G227" s="2" t="str">
        <x:v>2027-11</x:v>
      </x:c>
      <x:c r="H227" s="2" t="str">
        <x:v>I</x:v>
      </x:c>
      <x:c r="I227" s="10" t="str">
        <x:f>IF(AND(COUNTIFS('Клиентлер'!$T$8:$T$31,1)=24,COUNT('Клиентлер'!$I$8:$I$31)=24),COUNTIFS('Клиентлер'!$I$8:$I$31,1,'Клиентлер'!$T$8:$T$31,1),"")</x:f>
      </x:c>
      <x:c r="J227" s="10"/>
      <x:c r="K227" s="2" t="n">
        <x:f>SUMIFS('Күнлик есабат'!$F$8:$F$507,'Күнлик есабат'!$C$8:$C$507,A227,'Күнлик есабат'!$L$8:$L$507,0,'Күнлик есабат'!$M$8:$M$507,0)-SUMIFS('Күнлик есабат'!$H$8:$H$507,'Күнлик есабат'!$C$8:$C$507,A227,'Күнлик есабат'!$L$8:$L$507,0,'Күнлик есабат'!$M$8:$M$507,0)</x:f>
        <x:v>0</x:v>
      </x:c>
      <x:c r="L227" s="2" t="n">
        <x:f>SUMIFS('Күнлик есабат'!$G$8:$G$507,'Күнлик есабат'!$C$8:$C$507,A227,'Күнлик есабат'!$L$8:$L$507,0,'Күнлик есабат'!$M$8:$M$507,0)</x:f>
        <x:v>0</x:v>
      </x:c>
      <x:c r="M227" s="2" t="str">
        <x:f>IF(I227="","",MAX(I227-K227,0))</x:f>
      </x:c>
      <x:c r="N227" s="16" t="str">
        <x:f>IF(OR(I227="",I227=0),"",MIN(K227/I227,1))</x:f>
      </x:c>
      <x:c r="O227" s="2" t="n">
        <x:f>24-COUNTIFS('Клиентлер'!$T$8:$T$31,1)</x:f>
        <x:v>24</x:v>
      </x:c>
      <x:c r="P227" s="2" t="n">
        <x:f>IF(AND('Салық календары'!G227=1,ISNUMBER('Салық календары'!F227)),1,0)</x:f>
        <x:v>0</x:v>
      </x:c>
      <x:c r="Q227" s="2" t="str">
        <x:v>Салық</x:v>
      </x:c>
      <x:c r="R227" s="10"/>
      <x:c r="S227" s="2" t="n">
        <x:f>IF(COUNT(I227)=1,1,0)</x:f>
        <x:v>0</x:v>
      </x:c>
    </x:row>
    <x:row r="228" ht="46" customHeight="1">
      <x:c r="A228" s="2" t="n">
        <x:v>221</x:v>
      </x:c>
      <x:c r="B228" s="2" t="n">
        <x:v>221</x:v>
      </x:c>
      <x:c r="C228" s="12" t="n">
        <x:f>'Салық календары'!J228</x:f>
        <x:v>46733</x:v>
      </x:c>
      <x:c r="D228" s="13" t="str">
        <x:v>Социаллық салық төлеми</x:v>
      </x:c>
      <x:c r="E228" s="14" t="n">
        <x:v>46736</x:v>
      </x:c>
      <x:c r="F228" s="14" t="str">
        <x:f>IF('Салық календары'!F228="","",'Салық календары'!F228)</x:f>
      </x:c>
      <x:c r="G228" s="2" t="str">
        <x:v>2027-11</x:v>
      </x:c>
      <x:c r="H228" s="2" t="str">
        <x:v>I</x:v>
      </x:c>
      <x:c r="I228" s="10" t="str">
        <x:f>IF(AND(COUNTIFS('Клиентлер'!$T$8:$T$31,1)=24,COUNT('Клиентлер'!$I$8:$I$31)=24),COUNTIFS('Клиентлер'!$I$8:$I$31,1,'Клиентлер'!$T$8:$T$31,1),"")</x:f>
      </x:c>
      <x:c r="J228" s="10"/>
      <x:c r="K228" s="2" t="n">
        <x:f>SUMIFS('Күнлик есабат'!$F$8:$F$507,'Күнлик есабат'!$C$8:$C$507,A228,'Күнлик есабат'!$L$8:$L$507,0,'Күнлик есабат'!$M$8:$M$507,0)-SUMIFS('Күнлик есабат'!$H$8:$H$507,'Күнлик есабат'!$C$8:$C$507,A228,'Күнлик есабат'!$L$8:$L$507,0,'Күнлик есабат'!$M$8:$M$507,0)</x:f>
        <x:v>0</x:v>
      </x:c>
      <x:c r="L228" s="2" t="n">
        <x:f>SUMIFS('Күнлик есабат'!$G$8:$G$507,'Күнлик есабат'!$C$8:$C$507,A228,'Күнлик есабат'!$L$8:$L$507,0,'Күнлик есабат'!$M$8:$M$507,0)</x:f>
        <x:v>0</x:v>
      </x:c>
      <x:c r="M228" s="2" t="str">
        <x:f>IF(I228="","",MAX(I228-K228,0))</x:f>
      </x:c>
      <x:c r="N228" s="16" t="str">
        <x:f>IF(OR(I228="",I228=0),"",MIN(K228/I228,1))</x:f>
      </x:c>
      <x:c r="O228" s="2" t="n">
        <x:f>24-COUNTIFS('Клиентлер'!$T$8:$T$31,1)</x:f>
        <x:v>24</x:v>
      </x:c>
      <x:c r="P228" s="2" t="n">
        <x:f>IF(AND('Салық календары'!G228=1,ISNUMBER('Салық календары'!F228)),1,0)</x:f>
        <x:v>0</x:v>
      </x:c>
      <x:c r="Q228" s="2" t="str">
        <x:v>Салық</x:v>
      </x:c>
      <x:c r="R228" s="10"/>
      <x:c r="S228" s="2" t="n">
        <x:f>IF(COUNT(I228)=1,1,0)</x:f>
        <x:v>0</x:v>
      </x:c>
    </x:row>
    <x:row r="229" ht="46" customHeight="1">
      <x:c r="A229" s="2" t="n">
        <x:v>222</x:v>
      </x:c>
      <x:c r="B229" s="2" t="n">
        <x:v>222</x:v>
      </x:c>
      <x:c r="C229" s="12" t="n">
        <x:f>'Салық календары'!J229</x:f>
        <x:v>46728</x:v>
      </x:c>
      <x:c r="D229" s="13" t="str">
        <x:v>Акциз есабаты ҳәм төлемин тексериў</x:v>
      </x:c>
      <x:c r="E229" s="14" t="n">
        <x:v>46731</x:v>
      </x:c>
      <x:c r="F229" s="14" t="str">
        <x:f>IF('Салық календары'!F229="","",'Салық календары'!F229)</x:f>
      </x:c>
      <x:c r="G229" s="2" t="str">
        <x:v>2027-11</x:v>
      </x:c>
      <x:c r="H229" s="2" t="str">
        <x:v>N</x:v>
      </x:c>
      <x:c r="I229" s="10" t="str">
        <x:f>IF(AND(COUNTIFS('Клиентлер'!$T$8:$T$31,1)=24,COUNT('Клиентлер'!$N$8:$N$31)=24),COUNTIFS('Клиентлер'!$N$8:$N$31,1,'Клиентлер'!$T$8:$T$31,1),"")</x:f>
      </x:c>
      <x:c r="J229" s="10"/>
      <x:c r="K229" s="2" t="n">
        <x:f>SUMIFS('Күнлик есабат'!$F$8:$F$507,'Күнлик есабат'!$C$8:$C$507,A229,'Күнлик есабат'!$L$8:$L$507,0,'Күнлик есабат'!$M$8:$M$507,0)-SUMIFS('Күнлик есабат'!$H$8:$H$507,'Күнлик есабат'!$C$8:$C$507,A229,'Күнлик есабат'!$L$8:$L$507,0,'Күнлик есабат'!$M$8:$M$507,0)</x:f>
        <x:v>0</x:v>
      </x:c>
      <x:c r="L229" s="2" t="n">
        <x:f>SUMIFS('Күнлик есабат'!$G$8:$G$507,'Күнлик есабат'!$C$8:$C$507,A229,'Күнлик есабат'!$L$8:$L$507,0,'Күнлик есабат'!$M$8:$M$507,0)</x:f>
        <x:v>0</x:v>
      </x:c>
      <x:c r="M229" s="2" t="str">
        <x:f>IF(I229="","",MAX(I229-K229,0))</x:f>
      </x:c>
      <x:c r="N229" s="16" t="str">
        <x:f>IF(OR(I229="",I229=0),"",MIN(K229/I229,1))</x:f>
      </x:c>
      <x:c r="O229" s="2" t="n">
        <x:f>24-COUNTIFS('Клиентлер'!$T$8:$T$31,1)</x:f>
        <x:v>24</x:v>
      </x:c>
      <x:c r="P229" s="2" t="n">
        <x:f>IF(AND('Салық календары'!G229=1,ISNUMBER('Салық календары'!F229)),1,0)</x:f>
        <x:v>0</x:v>
      </x:c>
      <x:c r="Q229" s="2" t="str">
        <x:v>Салық</x:v>
      </x:c>
      <x:c r="R229" s="10"/>
      <x:c r="S229" s="2" t="n">
        <x:f>IF(COUNT(I229)=1,1,0)</x:f>
        <x:v>0</x:v>
      </x:c>
    </x:row>
    <x:row r="230" ht="46" customHeight="1">
      <x:c r="A230" s="2" t="n">
        <x:v>223</x:v>
      </x:c>
      <x:c r="B230" s="2" t="n">
        <x:v>223</x:v>
      </x:c>
      <x:c r="C230" s="12" t="n">
        <x:f>'Салық календары'!J230</x:f>
        <x:v>46738</x:v>
      </x:c>
      <x:c r="D230" s="13" t="str">
        <x:v>Дивиденд ҳәм процент салығы есабаты</x:v>
      </x:c>
      <x:c r="E230" s="14" t="n">
        <x:v>46741</x:v>
      </x:c>
      <x:c r="F230" s="14" t="str">
        <x:f>IF('Салық календары'!F230="","",'Салық календары'!F230)</x:f>
      </x:c>
      <x:c r="G230" s="2" t="str">
        <x:v>2027-11</x:v>
      </x:c>
      <x:c r="H230" s="2" t="str">
        <x:v>O</x:v>
      </x:c>
      <x:c r="I230" s="10" t="str">
        <x:f>IF(AND(COUNTIFS('Клиентлер'!$T$8:$T$31,1)=24,COUNT('Клиентлер'!$O$8:$O$31)=24),COUNTIFS('Клиентлер'!$O$8:$O$31,1,'Клиентлер'!$T$8:$T$31,1),"")</x:f>
      </x:c>
      <x:c r="J230" s="10"/>
      <x:c r="K230" s="2" t="n">
        <x:f>SUMIFS('Күнлик есабат'!$F$8:$F$507,'Күнлик есабат'!$C$8:$C$507,A230,'Күнлик есабат'!$L$8:$L$507,0,'Күнлик есабат'!$M$8:$M$507,0)-SUMIFS('Күнлик есабат'!$H$8:$H$507,'Күнлик есабат'!$C$8:$C$507,A230,'Күнлик есабат'!$L$8:$L$507,0,'Күнлик есабат'!$M$8:$M$507,0)</x:f>
        <x:v>0</x:v>
      </x:c>
      <x:c r="L230" s="2" t="n">
        <x:f>SUMIFS('Күнлик есабат'!$G$8:$G$507,'Күнлик есабат'!$C$8:$C$507,A230,'Күнлик есабат'!$L$8:$L$507,0,'Күнлик есабат'!$M$8:$M$507,0)</x:f>
        <x:v>0</x:v>
      </x:c>
      <x:c r="M230" s="2" t="str">
        <x:f>IF(I230="","",MAX(I230-K230,0))</x:f>
      </x:c>
      <x:c r="N230" s="16" t="str">
        <x:f>IF(OR(I230="",I230=0),"",MIN(K230/I230,1))</x:f>
      </x:c>
      <x:c r="O230" s="2" t="n">
        <x:f>24-COUNTIFS('Клиентлер'!$T$8:$T$31,1)</x:f>
        <x:v>24</x:v>
      </x:c>
      <x:c r="P230" s="2" t="n">
        <x:f>IF(AND('Салық календары'!G230=1,ISNUMBER('Салық календары'!F230)),1,0)</x:f>
        <x:v>0</x:v>
      </x:c>
      <x:c r="Q230" s="2" t="str">
        <x:v>Салық</x:v>
      </x:c>
      <x:c r="R230" s="10"/>
      <x:c r="S230" s="2" t="n">
        <x:f>IF(COUNT(I230)=1,1,0)</x:f>
        <x:v>0</x:v>
      </x:c>
    </x:row>
    <x:row r="231" ht="46" customHeight="1">
      <x:c r="A231" s="2" t="n">
        <x:v>224</x:v>
      </x:c>
      <x:c r="B231" s="2" t="n">
        <x:v>224</x:v>
      </x:c>
      <x:c r="C231" s="12" t="n">
        <x:f>'Салық календары'!J231</x:f>
        <x:v>46738</x:v>
      </x:c>
      <x:c r="D231" s="13" t="str">
        <x:v>Норезидент дәраматы салығы есабаты</x:v>
      </x:c>
      <x:c r="E231" s="14" t="n">
        <x:v>46741</x:v>
      </x:c>
      <x:c r="F231" s="14" t="str">
        <x:f>IF('Салық календары'!F231="","",'Салық календары'!F231)</x:f>
      </x:c>
      <x:c r="G231" s="2" t="str">
        <x:v>2027-11</x:v>
      </x:c>
      <x:c r="H231" s="2" t="str">
        <x:v>P</x:v>
      </x:c>
      <x:c r="I231" s="10" t="str">
        <x:f>IF(AND(COUNTIFS('Клиентлер'!$T$8:$T$31,1)=24,COUNT('Клиентлер'!$P$8:$P$31)=24),COUNTIFS('Клиентлер'!$P$8:$P$31,1,'Клиентлер'!$T$8:$T$31,1),"")</x:f>
      </x:c>
      <x:c r="J231" s="10"/>
      <x:c r="K231" s="2" t="n">
        <x:f>SUMIFS('Күнлик есабат'!$F$8:$F$507,'Күнлик есабат'!$C$8:$C$507,A231,'Күнлик есабат'!$L$8:$L$507,0,'Күнлик есабат'!$M$8:$M$507,0)-SUMIFS('Күнлик есабат'!$H$8:$H$507,'Күнлик есабат'!$C$8:$C$507,A231,'Күнлик есабат'!$L$8:$L$507,0,'Күнлик есабат'!$M$8:$M$507,0)</x:f>
        <x:v>0</x:v>
      </x:c>
      <x:c r="L231" s="2" t="n">
        <x:f>SUMIFS('Күнлик есабат'!$G$8:$G$507,'Күнлик есабат'!$C$8:$C$507,A231,'Күнлик есабат'!$L$8:$L$507,0,'Күнлик есабат'!$M$8:$M$507,0)</x:f>
        <x:v>0</x:v>
      </x:c>
      <x:c r="M231" s="2" t="str">
        <x:f>IF(I231="","",MAX(I231-K231,0))</x:f>
      </x:c>
      <x:c r="N231" s="16" t="str">
        <x:f>IF(OR(I231="",I231=0),"",MIN(K231/I231,1))</x:f>
      </x:c>
      <x:c r="O231" s="2" t="n">
        <x:f>24-COUNTIFS('Клиентлер'!$T$8:$T$31,1)</x:f>
        <x:v>24</x:v>
      </x:c>
      <x:c r="P231" s="2" t="n">
        <x:f>IF(AND('Салық календары'!G231=1,ISNUMBER('Салық календары'!F231)),1,0)</x:f>
        <x:v>0</x:v>
      </x:c>
      <x:c r="Q231" s="2" t="str">
        <x:v>Салық</x:v>
      </x:c>
      <x:c r="R231" s="10"/>
      <x:c r="S231" s="2" t="n">
        <x:f>IF(COUNT(I231)=1,1,0)</x:f>
        <x:v>0</x:v>
      </x:c>
    </x:row>
    <x:row r="232" ht="46" customHeight="1">
      <x:c r="A232" s="2" t="n">
        <x:v>225</x:v>
      </x:c>
      <x:c r="B232" s="2" t="n">
        <x:v>225</x:v>
      </x:c>
      <x:c r="C232" s="12" t="n">
        <x:f>'Салық календары'!J232</x:f>
        <x:v>46738</x:v>
      </x:c>
      <x:c r="D232" s="13" t="str">
        <x:v>Жер қойнаўынан пайдаланыў есабаты</x:v>
      </x:c>
      <x:c r="E232" s="14" t="n">
        <x:v>46741</x:v>
      </x:c>
      <x:c r="F232" s="14" t="str">
        <x:f>IF('Салық календары'!F232="","",'Салық календары'!F232)</x:f>
      </x:c>
      <x:c r="G232" s="2" t="str">
        <x:v>2027-11</x:v>
      </x:c>
      <x:c r="H232" s="2" t="str">
        <x:v>Q</x:v>
      </x:c>
      <x:c r="I232" s="10" t="str">
        <x:f>IF(AND(COUNTIFS('Клиентлер'!$T$8:$T$31,1)=24,COUNT('Клиентлер'!$Q$8:$Q$31)=24),COUNTIFS('Клиентлер'!$Q$8:$Q$31,1,'Клиентлер'!$T$8:$T$31,1),"")</x:f>
      </x:c>
      <x:c r="J232" s="10"/>
      <x:c r="K232" s="2" t="n">
        <x:f>SUMIFS('Күнлик есабат'!$F$8:$F$507,'Күнлик есабат'!$C$8:$C$507,A232,'Күнлик есабат'!$L$8:$L$507,0,'Күнлик есабат'!$M$8:$M$507,0)-SUMIFS('Күнлик есабат'!$H$8:$H$507,'Күнлик есабат'!$C$8:$C$507,A232,'Күнлик есабат'!$L$8:$L$507,0,'Күнлик есабат'!$M$8:$M$507,0)</x:f>
        <x:v>0</x:v>
      </x:c>
      <x:c r="L232" s="2" t="n">
        <x:f>SUMIFS('Күнлик есабат'!$G$8:$G$507,'Күнлик есабат'!$C$8:$C$507,A232,'Күнлик есабат'!$L$8:$L$507,0,'Күнлик есабат'!$M$8:$M$507,0)</x:f>
        <x:v>0</x:v>
      </x:c>
      <x:c r="M232" s="2" t="str">
        <x:f>IF(I232="","",MAX(I232-K232,0))</x:f>
      </x:c>
      <x:c r="N232" s="16" t="str">
        <x:f>IF(OR(I232="",I232=0),"",MIN(K232/I232,1))</x:f>
      </x:c>
      <x:c r="O232" s="2" t="n">
        <x:f>24-COUNTIFS('Клиентлер'!$T$8:$T$31,1)</x:f>
        <x:v>24</x:v>
      </x:c>
      <x:c r="P232" s="2" t="n">
        <x:f>IF(AND('Салық календары'!G232=1,ISNUMBER('Салық календары'!F232)),1,0)</x:f>
        <x:v>0</x:v>
      </x:c>
      <x:c r="Q232" s="2" t="str">
        <x:v>Салық</x:v>
      </x:c>
      <x:c r="R232" s="10"/>
      <x:c r="S232" s="2" t="n">
        <x:f>IF(COUNT(I232)=1,1,0)</x:f>
        <x:v>0</x:v>
      </x:c>
    </x:row>
    <x:row r="233" ht="46" customHeight="1">
      <x:c r="A233" s="2" t="n">
        <x:v>226</x:v>
      </x:c>
      <x:c r="B233" s="2" t="n">
        <x:v>226</x:v>
      </x:c>
      <x:c r="C233" s="12" t="n">
        <x:f>'Салық календары'!J233</x:f>
        <x:v>46741</x:v>
      </x:c>
      <x:c r="D233" s="13" t="str">
        <x:v>Пайда салығы авансы</x:v>
      </x:c>
      <x:c r="E233" s="14" t="n">
        <x:v>46744</x:v>
      </x:c>
      <x:c r="F233" s="14" t="str">
        <x:f>IF('Салық календары'!F233="","",'Салық календары'!F233)</x:f>
      </x:c>
      <x:c r="G233" s="2" t="str">
        <x:v>2027-12</x:v>
      </x:c>
      <x:c r="H233" s="2" t="str">
        <x:v>M</x:v>
      </x:c>
      <x:c r="I233" s="10" t="str">
        <x:f>IF(AND(COUNTIFS('Клиентлер'!$T$8:$T$31,1)=24,COUNT('Клиентлер'!$M$8:$M$31)=24),COUNTIFS('Клиентлер'!$M$8:$M$31,1,'Клиентлер'!$T$8:$T$31,1),"")</x:f>
      </x:c>
      <x:c r="J233" s="10"/>
      <x:c r="K233" s="2" t="n">
        <x:f>SUMIFS('Күнлик есабат'!$F$8:$F$507,'Күнлик есабат'!$C$8:$C$507,A233,'Күнлик есабат'!$L$8:$L$507,0,'Күнлик есабат'!$M$8:$M$507,0)-SUMIFS('Күнлик есабат'!$H$8:$H$507,'Күнлик есабат'!$C$8:$C$507,A233,'Күнлик есабат'!$L$8:$L$507,0,'Күнлик есабат'!$M$8:$M$507,0)</x:f>
        <x:v>0</x:v>
      </x:c>
      <x:c r="L233" s="2" t="n">
        <x:f>SUMIFS('Күнлик есабат'!$G$8:$G$507,'Күнлик есабат'!$C$8:$C$507,A233,'Күнлик есабат'!$L$8:$L$507,0,'Күнлик есабат'!$M$8:$M$507,0)</x:f>
        <x:v>0</x:v>
      </x:c>
      <x:c r="M233" s="2" t="str">
        <x:f>IF(I233="","",MAX(I233-K233,0))</x:f>
      </x:c>
      <x:c r="N233" s="16" t="str">
        <x:f>IF(OR(I233="",I233=0),"",MIN(K233/I233,1))</x:f>
      </x:c>
      <x:c r="O233" s="2" t="n">
        <x:f>24-COUNTIFS('Клиентлер'!$T$8:$T$31,1)</x:f>
        <x:v>24</x:v>
      </x:c>
      <x:c r="P233" s="2" t="n">
        <x:f>IF(AND('Салық календары'!G233=1,ISNUMBER('Салық календары'!F233)),1,0)</x:f>
        <x:v>0</x:v>
      </x:c>
      <x:c r="Q233" s="2" t="str">
        <x:v>Салық</x:v>
      </x:c>
      <x:c r="R233" s="10"/>
      <x:c r="S233" s="2" t="n">
        <x:f>IF(COUNT(I233)=1,1,0)</x:f>
        <x:v>0</x:v>
      </x:c>
    </x:row>
    <x:row r="234" ht="46" customHeight="1">
      <x:c r="A234" s="2" t="n">
        <x:v>227</x:v>
      </x:c>
      <x:c r="B234" s="2" t="n">
        <x:v>227</x:v>
      </x:c>
      <x:c r="C234" s="12" t="n">
        <x:f>'Салық календары'!J234</x:f>
        <x:v>46728</x:v>
      </x:c>
      <x:c r="D234" s="13" t="str">
        <x:v>Мүлк салығы айлық авансы</x:v>
      </x:c>
      <x:c r="E234" s="14" t="n">
        <x:v>46731</x:v>
      </x:c>
      <x:c r="F234" s="14" t="str">
        <x:f>IF('Салық календары'!F234="","",'Салық календары'!F234)</x:f>
      </x:c>
      <x:c r="G234" s="2" t="str">
        <x:v>2027-12</x:v>
      </x:c>
      <x:c r="H234" s="2" t="str">
        <x:v>J</x:v>
      </x:c>
      <x:c r="I234" s="10" t="str">
        <x:f>IF(AND(COUNTIFS('Клиентлер'!$T$8:$T$31,1)=24,COUNT('Клиентлер'!$J$8:$J$31)=24),COUNTIFS('Клиентлер'!$J$8:$J$31,1,'Клиентлер'!$T$8:$T$31,1,'Клиентлер'!$G$8:$G$31,0),"")</x:f>
      </x:c>
      <x:c r="J234" s="10"/>
      <x:c r="K234" s="2" t="n">
        <x:f>SUMIFS('Күнлик есабат'!$F$8:$F$507,'Күнлик есабат'!$C$8:$C$507,A234,'Күнлик есабат'!$L$8:$L$507,0,'Күнлик есабат'!$M$8:$M$507,0)-SUMIFS('Күнлик есабат'!$H$8:$H$507,'Күнлик есабат'!$C$8:$C$507,A234,'Күнлик есабат'!$L$8:$L$507,0,'Күнлик есабат'!$M$8:$M$507,0)</x:f>
        <x:v>0</x:v>
      </x:c>
      <x:c r="L234" s="2" t="n">
        <x:f>SUMIFS('Күнлик есабат'!$G$8:$G$507,'Күнлик есабат'!$C$8:$C$507,A234,'Күнлик есабат'!$L$8:$L$507,0,'Күнлик есабат'!$M$8:$M$507,0)</x:f>
        <x:v>0</x:v>
      </x:c>
      <x:c r="M234" s="2" t="str">
        <x:f>IF(I234="","",MAX(I234-K234,0))</x:f>
      </x:c>
      <x:c r="N234" s="16" t="str">
        <x:f>IF(OR(I234="",I234=0),"",MIN(K234/I234,1))</x:f>
      </x:c>
      <x:c r="O234" s="2" t="n">
        <x:f>24-COUNTIFS('Клиентлер'!$T$8:$T$31,1)</x:f>
        <x:v>24</x:v>
      </x:c>
      <x:c r="P234" s="2" t="n">
        <x:f>IF(AND('Салық календары'!G234=1,ISNUMBER('Салық календары'!F234)),1,0)</x:f>
        <x:v>0</x:v>
      </x:c>
      <x:c r="Q234" s="2" t="str">
        <x:v>Салық</x:v>
      </x:c>
      <x:c r="R234" s="10"/>
      <x:c r="S234" s="2" t="n">
        <x:f>IF(COUNT(I234)=1,1,0)</x:f>
        <x:v>0</x:v>
      </x:c>
    </x:row>
    <x:row r="235" ht="46" customHeight="1">
      <x:c r="A235" s="2" t="n">
        <x:v>228</x:v>
      </x:c>
      <x:c r="B235" s="2" t="n">
        <x:v>228</x:v>
      </x:c>
      <x:c r="C235" s="12" t="n">
        <x:f>'Салық календары'!J235</x:f>
        <x:v>46728</x:v>
      </x:c>
      <x:c r="D235" s="13" t="str">
        <x:v>Жер салығы айлық төлеми</x:v>
      </x:c>
      <x:c r="E235" s="14" t="n">
        <x:v>46731</x:v>
      </x:c>
      <x:c r="F235" s="14" t="str">
        <x:f>IF('Салық календары'!F235="","",'Салық календары'!F235)</x:f>
      </x:c>
      <x:c r="G235" s="2" t="str">
        <x:v>2027-12</x:v>
      </x:c>
      <x:c r="H235" s="2" t="str">
        <x:v>K</x:v>
      </x:c>
      <x:c r="I235" s="10" t="str">
        <x:f>IF(AND(COUNTIFS('Клиентлер'!$T$8:$T$31,1)=24,COUNT('Клиентлер'!$K$8:$K$31)=24),COUNTIFS('Клиентлер'!$K$8:$K$31,1,'Клиентлер'!$T$8:$T$31,1,'Клиентлер'!$G$8:$G$31,0),"")</x:f>
      </x:c>
      <x:c r="J235" s="10"/>
      <x:c r="K235" s="2" t="n">
        <x:f>SUMIFS('Күнлик есабат'!$F$8:$F$507,'Күнлик есабат'!$C$8:$C$507,A235,'Күнлик есабат'!$L$8:$L$507,0,'Күнлик есабат'!$M$8:$M$507,0)-SUMIFS('Күнлик есабат'!$H$8:$H$507,'Күнлик есабат'!$C$8:$C$507,A235,'Күнлик есабат'!$L$8:$L$507,0,'Күнлик есабат'!$M$8:$M$507,0)</x:f>
        <x:v>0</x:v>
      </x:c>
      <x:c r="L235" s="2" t="n">
        <x:f>SUMIFS('Күнлик есабат'!$G$8:$G$507,'Күнлик есабат'!$C$8:$C$507,A235,'Күнлик есабат'!$L$8:$L$507,0,'Күнлик есабат'!$M$8:$M$507,0)</x:f>
        <x:v>0</x:v>
      </x:c>
      <x:c r="M235" s="2" t="str">
        <x:f>IF(I235="","",MAX(I235-K235,0))</x:f>
      </x:c>
      <x:c r="N235" s="16" t="str">
        <x:f>IF(OR(I235="",I235=0),"",MIN(K235/I235,1))</x:f>
      </x:c>
      <x:c r="O235" s="2" t="n">
        <x:f>24-COUNTIFS('Клиентлер'!$T$8:$T$31,1)</x:f>
        <x:v>24</x:v>
      </x:c>
      <x:c r="P235" s="2" t="n">
        <x:f>IF(AND('Салық календары'!G235=1,ISNUMBER('Салық календары'!F235)),1,0)</x:f>
        <x:v>0</x:v>
      </x:c>
      <x:c r="Q235" s="2" t="str">
        <x:v>Салық</x:v>
      </x:c>
      <x:c r="R235" s="10"/>
      <x:c r="S235" s="2" t="n">
        <x:f>IF(COUNT(I235)=1,1,0)</x:f>
        <x:v>0</x:v>
      </x:c>
    </x:row>
    <x:row r="236" ht="46" customHeight="1">
      <x:c r="A236" s="2" t="n">
        <x:v>229</x:v>
      </x:c>
      <x:c r="B236" s="2" t="n">
        <x:v>229</x:v>
      </x:c>
      <x:c r="C236" s="12" t="n">
        <x:f>'Салық календары'!J236</x:f>
        <x:v>46738</x:v>
      </x:c>
      <x:c r="D236" s="13" t="str">
        <x:v>Суў салығы айлық авансы</x:v>
      </x:c>
      <x:c r="E236" s="14" t="n">
        <x:v>46741</x:v>
      </x:c>
      <x:c r="F236" s="14" t="str">
        <x:f>IF('Салық календары'!F236="","",'Салық календары'!F236)</x:f>
      </x:c>
      <x:c r="G236" s="2" t="str">
        <x:v>2027-12</x:v>
      </x:c>
      <x:c r="H236" s="2" t="str">
        <x:v>V</x:v>
      </x:c>
      <x:c r="I236" s="10" t="str">
        <x:f>IF(AND(COUNTIFS('Клиентлер'!$T$8:$T$31,1)=24,COUNT('Клиентлер'!$V$8:$V$31)=24),COUNTIFS('Клиентлер'!$V$8:$V$31,1,'Клиентлер'!$T$8:$T$31,1,'Клиентлер'!$G$8:$G$31,0),"")</x:f>
      </x:c>
      <x:c r="J236" s="10"/>
      <x:c r="K236" s="2" t="n">
        <x:f>SUMIFS('Күнлик есабат'!$F$8:$F$507,'Күнлик есабат'!$C$8:$C$507,A236,'Күнлик есабат'!$L$8:$L$507,0,'Күнлик есабат'!$M$8:$M$507,0)-SUMIFS('Күнлик есабат'!$H$8:$H$507,'Күнлик есабат'!$C$8:$C$507,A236,'Күнлик есабат'!$L$8:$L$507,0,'Күнлик есабат'!$M$8:$M$507,0)</x:f>
        <x:v>0</x:v>
      </x:c>
      <x:c r="L236" s="2" t="n">
        <x:f>SUMIFS('Күнлик есабат'!$G$8:$G$507,'Күнлик есабат'!$C$8:$C$507,A236,'Күнлик есабат'!$L$8:$L$507,0,'Күнлик есабат'!$M$8:$M$507,0)</x:f>
        <x:v>0</x:v>
      </x:c>
      <x:c r="M236" s="2" t="str">
        <x:f>IF(I236="","",MAX(I236-K236,0))</x:f>
      </x:c>
      <x:c r="N236" s="16" t="str">
        <x:f>IF(OR(I236="",I236=0),"",MIN(K236/I236,1))</x:f>
      </x:c>
      <x:c r="O236" s="2" t="n">
        <x:f>24-COUNTIFS('Клиентлер'!$T$8:$T$31,1)</x:f>
        <x:v>24</x:v>
      </x:c>
      <x:c r="P236" s="2" t="n">
        <x:f>IF(AND('Салық календары'!G236=1,ISNUMBER('Салық календары'!F236)),1,0)</x:f>
        <x:v>0</x:v>
      </x:c>
      <x:c r="Q236" s="2" t="str">
        <x:v>Салық</x:v>
      </x:c>
      <x:c r="R236" s="10"/>
      <x:c r="S236" s="2" t="n">
        <x:f>IF(COUNT(I236)=1,1,0)</x:f>
        <x:v>0</x:v>
      </x:c>
    </x:row>
    <x:row r="237" ht="46" customHeight="1">
      <x:c r="A237" s="2" t="n">
        <x:v>230</x:v>
      </x:c>
      <x:c r="B237" s="2" t="n">
        <x:v>230</x:v>
      </x:c>
      <x:c r="C237" s="12" t="n">
        <x:f>'Салық календары'!J237</x:f>
        <x:v>46769</x:v>
      </x:c>
      <x:c r="D237" s="13" t="str">
        <x:v>ҚҚС есабаты</x:v>
      </x:c>
      <x:c r="E237" s="14" t="n">
        <x:v>46772</x:v>
      </x:c>
      <x:c r="F237" s="14" t="str">
        <x:f>IF('Салық календары'!F237="","",'Салық календары'!F237)</x:f>
      </x:c>
      <x:c r="G237" s="2" t="str">
        <x:v>2027-12</x:v>
      </x:c>
      <x:c r="H237" s="2" t="str">
        <x:v>F</x:v>
      </x:c>
      <x:c r="I237" s="10" t="str">
        <x:f>IF(AND(COUNTIFS('Клиентлер'!$T$8:$T$31,1)=24,COUNT('Клиентлер'!$F$8:$F$31)=24),COUNTIFS('Клиентлер'!$F$8:$F$31,1,'Клиентлер'!$T$8:$T$31,1),"")</x:f>
      </x:c>
      <x:c r="J237" s="10"/>
      <x:c r="K237" s="2" t="n">
        <x:f>SUMIFS('Күнлик есабат'!$F$8:$F$507,'Күнлик есабат'!$C$8:$C$507,A237,'Күнлик есабат'!$L$8:$L$507,0,'Күнлик есабат'!$M$8:$M$507,0)-SUMIFS('Күнлик есабат'!$H$8:$H$507,'Күнлик есабат'!$C$8:$C$507,A237,'Күнлик есабат'!$L$8:$L$507,0,'Күнлик есабат'!$M$8:$M$507,0)</x:f>
        <x:v>0</x:v>
      </x:c>
      <x:c r="L237" s="2" t="n">
        <x:f>SUMIFS('Күнлик есабат'!$G$8:$G$507,'Күнлик есабат'!$C$8:$C$507,A237,'Күнлик есабат'!$L$8:$L$507,0,'Күнлик есабат'!$M$8:$M$507,0)</x:f>
        <x:v>0</x:v>
      </x:c>
      <x:c r="M237" s="2" t="str">
        <x:f>IF(I237="","",MAX(I237-K237,0))</x:f>
      </x:c>
      <x:c r="N237" s="16" t="str">
        <x:f>IF(OR(I237="",I237=0),"",MIN(K237/I237,1))</x:f>
      </x:c>
      <x:c r="O237" s="2" t="n">
        <x:f>24-COUNTIFS('Клиентлер'!$T$8:$T$31,1)</x:f>
        <x:v>24</x:v>
      </x:c>
      <x:c r="P237" s="2" t="n">
        <x:f>IF(AND('Салық календары'!G237=1,ISNUMBER('Салық календары'!F237)),1,0)</x:f>
        <x:v>0</x:v>
      </x:c>
      <x:c r="Q237" s="2" t="str">
        <x:v>Салық</x:v>
      </x:c>
      <x:c r="R237" s="10"/>
      <x:c r="S237" s="2" t="n">
        <x:f>IF(COUNT(I237)=1,1,0)</x:f>
        <x:v>0</x:v>
      </x:c>
    </x:row>
    <x:row r="238" ht="46" customHeight="1">
      <x:c r="A238" s="2" t="n">
        <x:v>231</x:v>
      </x:c>
      <x:c r="B238" s="2" t="n">
        <x:v>231</x:v>
      </x:c>
      <x:c r="C238" s="12" t="n">
        <x:f>'Салық календары'!J238</x:f>
        <x:v>46769</x:v>
      </x:c>
      <x:c r="D238" s="13" t="str">
        <x:v>ҚҚС төлеми</x:v>
      </x:c>
      <x:c r="E238" s="14" t="n">
        <x:v>46772</x:v>
      </x:c>
      <x:c r="F238" s="14" t="str">
        <x:f>IF('Салық календары'!F238="","",'Салық календары'!F238)</x:f>
      </x:c>
      <x:c r="G238" s="2" t="str">
        <x:v>2027-12</x:v>
      </x:c>
      <x:c r="H238" s="2" t="str">
        <x:v>F</x:v>
      </x:c>
      <x:c r="I238" s="10" t="str">
        <x:f>IF(AND(COUNTIFS('Клиентлер'!$T$8:$T$31,1)=24,COUNT('Клиентлер'!$F$8:$F$31)=24),COUNTIFS('Клиентлер'!$F$8:$F$31,1,'Клиентлер'!$T$8:$T$31,1),"")</x:f>
      </x:c>
      <x:c r="J238" s="10"/>
      <x:c r="K238" s="2" t="n">
        <x:f>SUMIFS('Күнлик есабат'!$F$8:$F$507,'Күнлик есабат'!$C$8:$C$507,A238,'Күнлик есабат'!$L$8:$L$507,0,'Күнлик есабат'!$M$8:$M$507,0)-SUMIFS('Күнлик есабат'!$H$8:$H$507,'Күнлик есабат'!$C$8:$C$507,A238,'Күнлик есабат'!$L$8:$L$507,0,'Күнлик есабат'!$M$8:$M$507,0)</x:f>
        <x:v>0</x:v>
      </x:c>
      <x:c r="L238" s="2" t="n">
        <x:f>SUMIFS('Күнлик есабат'!$G$8:$G$507,'Күнлик есабат'!$C$8:$C$507,A238,'Күнлик есабат'!$L$8:$L$507,0,'Күнлик есабат'!$M$8:$M$507,0)</x:f>
        <x:v>0</x:v>
      </x:c>
      <x:c r="M238" s="2" t="str">
        <x:f>IF(I238="","",MAX(I238-K238,0))</x:f>
      </x:c>
      <x:c r="N238" s="16" t="str">
        <x:f>IF(OR(I238="",I238=0),"",MIN(K238/I238,1))</x:f>
      </x:c>
      <x:c r="O238" s="2" t="n">
        <x:f>24-COUNTIFS('Клиентлер'!$T$8:$T$31,1)</x:f>
        <x:v>24</x:v>
      </x:c>
      <x:c r="P238" s="2" t="n">
        <x:f>IF(AND('Салық календары'!G238=1,ISNUMBER('Салық календары'!F238)),1,0)</x:f>
        <x:v>0</x:v>
      </x:c>
      <x:c r="Q238" s="2" t="str">
        <x:v>Салық</x:v>
      </x:c>
      <x:c r="R238" s="10"/>
      <x:c r="S238" s="2" t="n">
        <x:f>IF(COUNT(I238)=1,1,0)</x:f>
        <x:v>0</x:v>
      </x:c>
    </x:row>
    <x:row r="239" ht="46" customHeight="1">
      <x:c r="A239" s="2" t="n">
        <x:v>232</x:v>
      </x:c>
      <x:c r="B239" s="2" t="n">
        <x:v>232</x:v>
      </x:c>
      <x:c r="C239" s="12" t="n">
        <x:f>'Салық календары'!J239</x:f>
        <x:v>46764</x:v>
      </x:c>
      <x:c r="D239" s="13" t="str">
        <x:v>Айланба салығы есабаты</x:v>
      </x:c>
      <x:c r="E239" s="14" t="n">
        <x:v>46767</x:v>
      </x:c>
      <x:c r="F239" s="14" t="str">
        <x:f>IF('Салық календары'!F239="","",'Салық календары'!F239)</x:f>
      </x:c>
      <x:c r="G239" s="2" t="str">
        <x:v>2027-12</x:v>
      </x:c>
      <x:c r="H239" s="2" t="str">
        <x:v>G</x:v>
      </x:c>
      <x:c r="I239" s="10" t="str">
        <x:f>IF(AND(COUNTIFS('Клиентлер'!$T$8:$T$31,1)=24,COUNT('Клиентлер'!$G$8:$G$31)=24),COUNTIFS('Клиентлер'!$G$8:$G$31,1,'Клиентлер'!$T$8:$T$31,1),"")</x:f>
      </x:c>
      <x:c r="J239" s="10"/>
      <x:c r="K239" s="2" t="n">
        <x:f>SUMIFS('Күнлик есабат'!$F$8:$F$507,'Күнлик есабат'!$C$8:$C$507,A239,'Күнлик есабат'!$L$8:$L$507,0,'Күнлик есабат'!$M$8:$M$507,0)-SUMIFS('Күнлик есабат'!$H$8:$H$507,'Күнлик есабат'!$C$8:$C$507,A239,'Күнлик есабат'!$L$8:$L$507,0,'Күнлик есабат'!$M$8:$M$507,0)</x:f>
        <x:v>0</x:v>
      </x:c>
      <x:c r="L239" s="2" t="n">
        <x:f>SUMIFS('Күнлик есабат'!$G$8:$G$507,'Күнлик есабат'!$C$8:$C$507,A239,'Күнлик есабат'!$L$8:$L$507,0,'Күнлик есабат'!$M$8:$M$507,0)</x:f>
        <x:v>0</x:v>
      </x:c>
      <x:c r="M239" s="2" t="str">
        <x:f>IF(I239="","",MAX(I239-K239,0))</x:f>
      </x:c>
      <x:c r="N239" s="16" t="str">
        <x:f>IF(OR(I239="",I239=0),"",MIN(K239/I239,1))</x:f>
      </x:c>
      <x:c r="O239" s="2" t="n">
        <x:f>24-COUNTIFS('Клиентлер'!$T$8:$T$31,1)</x:f>
        <x:v>24</x:v>
      </x:c>
      <x:c r="P239" s="2" t="n">
        <x:f>IF(AND('Салық календары'!G239=1,ISNUMBER('Салық календары'!F239)),1,0)</x:f>
        <x:v>0</x:v>
      </x:c>
      <x:c r="Q239" s="2" t="str">
        <x:v>Салық</x:v>
      </x:c>
      <x:c r="R239" s="10"/>
      <x:c r="S239" s="2" t="n">
        <x:f>IF(COUNT(I239)=1,1,0)</x:f>
        <x:v>0</x:v>
      </x:c>
    </x:row>
    <x:row r="240" ht="46" customHeight="1">
      <x:c r="A240" s="2" t="n">
        <x:v>233</x:v>
      </x:c>
      <x:c r="B240" s="2" t="n">
        <x:v>233</x:v>
      </x:c>
      <x:c r="C240" s="12" t="n">
        <x:f>'Салық календары'!J240</x:f>
        <x:v>46764</x:v>
      </x:c>
      <x:c r="D240" s="13" t="str">
        <x:v>Айланба салығы төлеми</x:v>
      </x:c>
      <x:c r="E240" s="14" t="n">
        <x:v>46767</x:v>
      </x:c>
      <x:c r="F240" s="14" t="str">
        <x:f>IF('Салық календары'!F240="","",'Салық календары'!F240)</x:f>
      </x:c>
      <x:c r="G240" s="2" t="str">
        <x:v>2027-12</x:v>
      </x:c>
      <x:c r="H240" s="2" t="str">
        <x:v>G</x:v>
      </x:c>
      <x:c r="I240" s="10" t="str">
        <x:f>IF(AND(COUNTIFS('Клиентлер'!$T$8:$T$31,1)=24,COUNT('Клиентлер'!$G$8:$G$31)=24),COUNTIFS('Клиентлер'!$G$8:$G$31,1,'Клиентлер'!$T$8:$T$31,1),"")</x:f>
      </x:c>
      <x:c r="J240" s="10"/>
      <x:c r="K240" s="2" t="n">
        <x:f>SUMIFS('Күнлик есабат'!$F$8:$F$507,'Күнлик есабат'!$C$8:$C$507,A240,'Күнлик есабат'!$L$8:$L$507,0,'Күнлик есабат'!$M$8:$M$507,0)-SUMIFS('Күнлик есабат'!$H$8:$H$507,'Күнлик есабат'!$C$8:$C$507,A240,'Күнлик есабат'!$L$8:$L$507,0,'Күнлик есабат'!$M$8:$M$507,0)</x:f>
        <x:v>0</x:v>
      </x:c>
      <x:c r="L240" s="2" t="n">
        <x:f>SUMIFS('Күнлик есабат'!$G$8:$G$507,'Күнлик есабат'!$C$8:$C$507,A240,'Күнлик есабат'!$L$8:$L$507,0,'Күнлик есабат'!$M$8:$M$507,0)</x:f>
        <x:v>0</x:v>
      </x:c>
      <x:c r="M240" s="2" t="str">
        <x:f>IF(I240="","",MAX(I240-K240,0))</x:f>
      </x:c>
      <x:c r="N240" s="16" t="str">
        <x:f>IF(OR(I240="",I240=0),"",MIN(K240/I240,1))</x:f>
      </x:c>
      <x:c r="O240" s="2" t="n">
        <x:f>24-COUNTIFS('Клиентлер'!$T$8:$T$31,1)</x:f>
        <x:v>24</x:v>
      </x:c>
      <x:c r="P240" s="2" t="n">
        <x:f>IF(AND('Салық календары'!G240=1,ISNUMBER('Салық календары'!F240)),1,0)</x:f>
        <x:v>0</x:v>
      </x:c>
      <x:c r="Q240" s="2" t="str">
        <x:v>Салық</x:v>
      </x:c>
      <x:c r="R240" s="10"/>
      <x:c r="S240" s="2" t="n">
        <x:f>IF(COUNT(I240)=1,1,0)</x:f>
        <x:v>0</x:v>
      </x:c>
    </x:row>
    <x:row r="241" ht="46" customHeight="1">
      <x:c r="A241" s="2" t="n">
        <x:v>234</x:v>
      </x:c>
      <x:c r="B241" s="2" t="n">
        <x:v>234</x:v>
      </x:c>
      <x:c r="C241" s="12" t="n">
        <x:f>'Салық календары'!J241</x:f>
        <x:v>46764</x:v>
      </x:c>
      <x:c r="D241" s="13" t="str">
        <x:v>Дәрамат салығы есабаты</x:v>
      </x:c>
      <x:c r="E241" s="14" t="n">
        <x:v>46767</x:v>
      </x:c>
      <x:c r="F241" s="14" t="str">
        <x:f>IF('Салық календары'!F241="","",'Салық календары'!F241)</x:f>
      </x:c>
      <x:c r="G241" s="2" t="str">
        <x:v>2027-12</x:v>
      </x:c>
      <x:c r="H241" s="2" t="str">
        <x:v>I</x:v>
      </x:c>
      <x:c r="I241" s="10" t="str">
        <x:f>IF(AND(COUNTIFS('Клиентлер'!$T$8:$T$31,1)=24,COUNT('Клиентлер'!$I$8:$I$31)=24),COUNTIFS('Клиентлер'!$I$8:$I$31,1,'Клиентлер'!$T$8:$T$31,1),"")</x:f>
      </x:c>
      <x:c r="J241" s="10"/>
      <x:c r="K241" s="2" t="n">
        <x:f>SUMIFS('Күнлик есабат'!$F$8:$F$507,'Күнлик есабат'!$C$8:$C$507,A241,'Күнлик есабат'!$L$8:$L$507,0,'Күнлик есабат'!$M$8:$M$507,0)-SUMIFS('Күнлик есабат'!$H$8:$H$507,'Күнлик есабат'!$C$8:$C$507,A241,'Күнлик есабат'!$L$8:$L$507,0,'Күнлик есабат'!$M$8:$M$507,0)</x:f>
        <x:v>0</x:v>
      </x:c>
      <x:c r="L241" s="2" t="n">
        <x:f>SUMIFS('Күнлик есабат'!$G$8:$G$507,'Күнлик есабат'!$C$8:$C$507,A241,'Күнлик есабат'!$L$8:$L$507,0,'Күнлик есабат'!$M$8:$M$507,0)</x:f>
        <x:v>0</x:v>
      </x:c>
      <x:c r="M241" s="2" t="str">
        <x:f>IF(I241="","",MAX(I241-K241,0))</x:f>
      </x:c>
      <x:c r="N241" s="16" t="str">
        <x:f>IF(OR(I241="",I241=0),"",MIN(K241/I241,1))</x:f>
      </x:c>
      <x:c r="O241" s="2" t="n">
        <x:f>24-COUNTIFS('Клиентлер'!$T$8:$T$31,1)</x:f>
        <x:v>24</x:v>
      </x:c>
      <x:c r="P241" s="2" t="n">
        <x:f>IF(AND('Салық календары'!G241=1,ISNUMBER('Салық календары'!F241)),1,0)</x:f>
        <x:v>0</x:v>
      </x:c>
      <x:c r="Q241" s="2" t="str">
        <x:v>Салық</x:v>
      </x:c>
      <x:c r="R241" s="10"/>
      <x:c r="S241" s="2" t="n">
        <x:f>IF(COUNT(I241)=1,1,0)</x:f>
        <x:v>0</x:v>
      </x:c>
    </x:row>
    <x:row r="242" ht="46" customHeight="1">
      <x:c r="A242" s="2" t="n">
        <x:v>235</x:v>
      </x:c>
      <x:c r="B242" s="2" t="n">
        <x:v>235</x:v>
      </x:c>
      <x:c r="C242" s="12" t="n">
        <x:f>'Салық календары'!J242</x:f>
        <x:v>46764</x:v>
      </x:c>
      <x:c r="D242" s="13" t="str">
        <x:v>Социаллық салық есабаты</x:v>
      </x:c>
      <x:c r="E242" s="14" t="n">
        <x:v>46767</x:v>
      </x:c>
      <x:c r="F242" s="14" t="str">
        <x:f>IF('Салық календары'!F242="","",'Салық календары'!F242)</x:f>
      </x:c>
      <x:c r="G242" s="2" t="str">
        <x:v>2027-12</x:v>
      </x:c>
      <x:c r="H242" s="2" t="str">
        <x:v>I</x:v>
      </x:c>
      <x:c r="I242" s="10" t="str">
        <x:f>IF(AND(COUNTIFS('Клиентлер'!$T$8:$T$31,1)=24,COUNT('Клиентлер'!$I$8:$I$31)=24),COUNTIFS('Клиентлер'!$I$8:$I$31,1,'Клиентлер'!$T$8:$T$31,1),"")</x:f>
      </x:c>
      <x:c r="J242" s="10"/>
      <x:c r="K242" s="2" t="n">
        <x:f>SUMIFS('Күнлик есабат'!$F$8:$F$507,'Күнлик есабат'!$C$8:$C$507,A242,'Күнлик есабат'!$L$8:$L$507,0,'Күнлик есабат'!$M$8:$M$507,0)-SUMIFS('Күнлик есабат'!$H$8:$H$507,'Күнлик есабат'!$C$8:$C$507,A242,'Күнлик есабат'!$L$8:$L$507,0,'Күнлик есабат'!$M$8:$M$507,0)</x:f>
        <x:v>0</x:v>
      </x:c>
      <x:c r="L242" s="2" t="n">
        <x:f>SUMIFS('Күнлик есабат'!$G$8:$G$507,'Күнлик есабат'!$C$8:$C$507,A242,'Күнлик есабат'!$L$8:$L$507,0,'Күнлик есабат'!$M$8:$M$507,0)</x:f>
        <x:v>0</x:v>
      </x:c>
      <x:c r="M242" s="2" t="str">
        <x:f>IF(I242="","",MAX(I242-K242,0))</x:f>
      </x:c>
      <x:c r="N242" s="16" t="str">
        <x:f>IF(OR(I242="",I242=0),"",MIN(K242/I242,1))</x:f>
      </x:c>
      <x:c r="O242" s="2" t="n">
        <x:f>24-COUNTIFS('Клиентлер'!$T$8:$T$31,1)</x:f>
        <x:v>24</x:v>
      </x:c>
      <x:c r="P242" s="2" t="n">
        <x:f>IF(AND('Салық календары'!G242=1,ISNUMBER('Салық календары'!F242)),1,0)</x:f>
        <x:v>0</x:v>
      </x:c>
      <x:c r="Q242" s="2" t="str">
        <x:v>Салық</x:v>
      </x:c>
      <x:c r="R242" s="10"/>
      <x:c r="S242" s="2" t="n">
        <x:f>IF(COUNT(I242)=1,1,0)</x:f>
        <x:v>0</x:v>
      </x:c>
    </x:row>
    <x:row r="243" ht="46" customHeight="1">
      <x:c r="A243" s="2" t="n">
        <x:v>236</x:v>
      </x:c>
      <x:c r="B243" s="2" t="n">
        <x:v>236</x:v>
      </x:c>
      <x:c r="C243" s="12" t="n">
        <x:f>'Салық календары'!J243</x:f>
        <x:v>46764</x:v>
      </x:c>
      <x:c r="D243" s="13" t="str">
        <x:v>Социаллық салық төлеми</x:v>
      </x:c>
      <x:c r="E243" s="14" t="n">
        <x:v>46767</x:v>
      </x:c>
      <x:c r="F243" s="14" t="str">
        <x:f>IF('Салық календары'!F243="","",'Салық календары'!F243)</x:f>
      </x:c>
      <x:c r="G243" s="2" t="str">
        <x:v>2027-12</x:v>
      </x:c>
      <x:c r="H243" s="2" t="str">
        <x:v>I</x:v>
      </x:c>
      <x:c r="I243" s="10" t="str">
        <x:f>IF(AND(COUNTIFS('Клиентлер'!$T$8:$T$31,1)=24,COUNT('Клиентлер'!$I$8:$I$31)=24),COUNTIFS('Клиентлер'!$I$8:$I$31,1,'Клиентлер'!$T$8:$T$31,1),"")</x:f>
      </x:c>
      <x:c r="J243" s="10"/>
      <x:c r="K243" s="2" t="n">
        <x:f>SUMIFS('Күнлик есабат'!$F$8:$F$507,'Күнлик есабат'!$C$8:$C$507,A243,'Күнлик есабат'!$L$8:$L$507,0,'Күнлик есабат'!$M$8:$M$507,0)-SUMIFS('Күнлик есабат'!$H$8:$H$507,'Күнлик есабат'!$C$8:$C$507,A243,'Күнлик есабат'!$L$8:$L$507,0,'Күнлик есабат'!$M$8:$M$507,0)</x:f>
        <x:v>0</x:v>
      </x:c>
      <x:c r="L243" s="2" t="n">
        <x:f>SUMIFS('Күнлик есабат'!$G$8:$G$507,'Күнлик есабат'!$C$8:$C$507,A243,'Күнлик есабат'!$L$8:$L$507,0,'Күнлик есабат'!$M$8:$M$507,0)</x:f>
        <x:v>0</x:v>
      </x:c>
      <x:c r="M243" s="2" t="str">
        <x:f>IF(I243="","",MAX(I243-K243,0))</x:f>
      </x:c>
      <x:c r="N243" s="16" t="str">
        <x:f>IF(OR(I243="",I243=0),"",MIN(K243/I243,1))</x:f>
      </x:c>
      <x:c r="O243" s="2" t="n">
        <x:f>24-COUNTIFS('Клиентлер'!$T$8:$T$31,1)</x:f>
        <x:v>24</x:v>
      </x:c>
      <x:c r="P243" s="2" t="n">
        <x:f>IF(AND('Салық календары'!G243=1,ISNUMBER('Салық календары'!F243)),1,0)</x:f>
        <x:v>0</x:v>
      </x:c>
      <x:c r="Q243" s="2" t="str">
        <x:v>Салық</x:v>
      </x:c>
      <x:c r="R243" s="10"/>
      <x:c r="S243" s="2" t="n">
        <x:f>IF(COUNT(I243)=1,1,0)</x:f>
        <x:v>0</x:v>
      </x:c>
    </x:row>
    <x:row r="244" ht="46" customHeight="1">
      <x:c r="A244" s="2" t="n">
        <x:v>237</x:v>
      </x:c>
      <x:c r="B244" s="2" t="n">
        <x:v>237</x:v>
      </x:c>
      <x:c r="C244" s="12" t="n">
        <x:f>'Салық календары'!J244</x:f>
        <x:v>46759</x:v>
      </x:c>
      <x:c r="D244" s="13" t="str">
        <x:v>Акциз есабаты ҳәм төлемин тексериў</x:v>
      </x:c>
      <x:c r="E244" s="14" t="n">
        <x:v>46762</x:v>
      </x:c>
      <x:c r="F244" s="14" t="str">
        <x:f>IF('Салық календары'!F244="","",'Салық календары'!F244)</x:f>
      </x:c>
      <x:c r="G244" s="2" t="str">
        <x:v>2027-12</x:v>
      </x:c>
      <x:c r="H244" s="2" t="str">
        <x:v>N</x:v>
      </x:c>
      <x:c r="I244" s="10" t="str">
        <x:f>IF(AND(COUNTIFS('Клиентлер'!$T$8:$T$31,1)=24,COUNT('Клиентлер'!$N$8:$N$31)=24),COUNTIFS('Клиентлер'!$N$8:$N$31,1,'Клиентлер'!$T$8:$T$31,1),"")</x:f>
      </x:c>
      <x:c r="J244" s="10"/>
      <x:c r="K244" s="2" t="n">
        <x:f>SUMIFS('Күнлик есабат'!$F$8:$F$507,'Күнлик есабат'!$C$8:$C$507,A244,'Күнлик есабат'!$L$8:$L$507,0,'Күнлик есабат'!$M$8:$M$507,0)-SUMIFS('Күнлик есабат'!$H$8:$H$507,'Күнлик есабат'!$C$8:$C$507,A244,'Күнлик есабат'!$L$8:$L$507,0,'Күнлик есабат'!$M$8:$M$507,0)</x:f>
        <x:v>0</x:v>
      </x:c>
      <x:c r="L244" s="2" t="n">
        <x:f>SUMIFS('Күнлик есабат'!$G$8:$G$507,'Күнлик есабат'!$C$8:$C$507,A244,'Күнлик есабат'!$L$8:$L$507,0,'Күнлик есабат'!$M$8:$M$507,0)</x:f>
        <x:v>0</x:v>
      </x:c>
      <x:c r="M244" s="2" t="str">
        <x:f>IF(I244="","",MAX(I244-K244,0))</x:f>
      </x:c>
      <x:c r="N244" s="16" t="str">
        <x:f>IF(OR(I244="",I244=0),"",MIN(K244/I244,1))</x:f>
      </x:c>
      <x:c r="O244" s="2" t="n">
        <x:f>24-COUNTIFS('Клиентлер'!$T$8:$T$31,1)</x:f>
        <x:v>24</x:v>
      </x:c>
      <x:c r="P244" s="2" t="n">
        <x:f>IF(AND('Салық календары'!G244=1,ISNUMBER('Салық календары'!F244)),1,0)</x:f>
        <x:v>0</x:v>
      </x:c>
      <x:c r="Q244" s="2" t="str">
        <x:v>Салық</x:v>
      </x:c>
      <x:c r="R244" s="10"/>
      <x:c r="S244" s="2" t="n">
        <x:f>IF(COUNT(I244)=1,1,0)</x:f>
        <x:v>0</x:v>
      </x:c>
    </x:row>
    <x:row r="245" ht="46" customHeight="1">
      <x:c r="A245" s="2" t="n">
        <x:v>238</x:v>
      </x:c>
      <x:c r="B245" s="2" t="n">
        <x:v>238</x:v>
      </x:c>
      <x:c r="C245" s="12" t="n">
        <x:f>'Салық календары'!J245</x:f>
        <x:v>46769</x:v>
      </x:c>
      <x:c r="D245" s="13" t="str">
        <x:v>Дивиденд ҳәм процент салығы есабаты</x:v>
      </x:c>
      <x:c r="E245" s="14" t="n">
        <x:v>46772</x:v>
      </x:c>
      <x:c r="F245" s="14" t="str">
        <x:f>IF('Салық календары'!F245="","",'Салық календары'!F245)</x:f>
      </x:c>
      <x:c r="G245" s="2" t="str">
        <x:v>2027-12</x:v>
      </x:c>
      <x:c r="H245" s="2" t="str">
        <x:v>O</x:v>
      </x:c>
      <x:c r="I245" s="10" t="str">
        <x:f>IF(AND(COUNTIFS('Клиентлер'!$T$8:$T$31,1)=24,COUNT('Клиентлер'!$O$8:$O$31)=24),COUNTIFS('Клиентлер'!$O$8:$O$31,1,'Клиентлер'!$T$8:$T$31,1),"")</x:f>
      </x:c>
      <x:c r="J245" s="10"/>
      <x:c r="K245" s="2" t="n">
        <x:f>SUMIFS('Күнлик есабат'!$F$8:$F$507,'Күнлик есабат'!$C$8:$C$507,A245,'Күнлик есабат'!$L$8:$L$507,0,'Күнлик есабат'!$M$8:$M$507,0)-SUMIFS('Күнлик есабат'!$H$8:$H$507,'Күнлик есабат'!$C$8:$C$507,A245,'Күнлик есабат'!$L$8:$L$507,0,'Күнлик есабат'!$M$8:$M$507,0)</x:f>
        <x:v>0</x:v>
      </x:c>
      <x:c r="L245" s="2" t="n">
        <x:f>SUMIFS('Күнлик есабат'!$G$8:$G$507,'Күнлик есабат'!$C$8:$C$507,A245,'Күнлик есабат'!$L$8:$L$507,0,'Күнлик есабат'!$M$8:$M$507,0)</x:f>
        <x:v>0</x:v>
      </x:c>
      <x:c r="M245" s="2" t="str">
        <x:f>IF(I245="","",MAX(I245-K245,0))</x:f>
      </x:c>
      <x:c r="N245" s="16" t="str">
        <x:f>IF(OR(I245="",I245=0),"",MIN(K245/I245,1))</x:f>
      </x:c>
      <x:c r="O245" s="2" t="n">
        <x:f>24-COUNTIFS('Клиентлер'!$T$8:$T$31,1)</x:f>
        <x:v>24</x:v>
      </x:c>
      <x:c r="P245" s="2" t="n">
        <x:f>IF(AND('Салық календары'!G245=1,ISNUMBER('Салық календары'!F245)),1,0)</x:f>
        <x:v>0</x:v>
      </x:c>
      <x:c r="Q245" s="2" t="str">
        <x:v>Салық</x:v>
      </x:c>
      <x:c r="R245" s="10"/>
      <x:c r="S245" s="2" t="n">
        <x:f>IF(COUNT(I245)=1,1,0)</x:f>
        <x:v>0</x:v>
      </x:c>
    </x:row>
    <x:row r="246" ht="46" customHeight="1">
      <x:c r="A246" s="2" t="n">
        <x:v>239</x:v>
      </x:c>
      <x:c r="B246" s="2" t="n">
        <x:v>239</x:v>
      </x:c>
      <x:c r="C246" s="12" t="n">
        <x:f>'Салық календары'!J246</x:f>
        <x:v>46769</x:v>
      </x:c>
      <x:c r="D246" s="13" t="str">
        <x:v>Норезидент дәраматы салығы есабаты</x:v>
      </x:c>
      <x:c r="E246" s="14" t="n">
        <x:v>46772</x:v>
      </x:c>
      <x:c r="F246" s="14" t="str">
        <x:f>IF('Салық календары'!F246="","",'Салық календары'!F246)</x:f>
      </x:c>
      <x:c r="G246" s="2" t="str">
        <x:v>2027-12</x:v>
      </x:c>
      <x:c r="H246" s="2" t="str">
        <x:v>P</x:v>
      </x:c>
      <x:c r="I246" s="10" t="str">
        <x:f>IF(AND(COUNTIFS('Клиентлер'!$T$8:$T$31,1)=24,COUNT('Клиентлер'!$P$8:$P$31)=24),COUNTIFS('Клиентлер'!$P$8:$P$31,1,'Клиентлер'!$T$8:$T$31,1),"")</x:f>
      </x:c>
      <x:c r="J246" s="10"/>
      <x:c r="K246" s="2" t="n">
        <x:f>SUMIFS('Күнлик есабат'!$F$8:$F$507,'Күнлик есабат'!$C$8:$C$507,A246,'Күнлик есабат'!$L$8:$L$507,0,'Күнлик есабат'!$M$8:$M$507,0)-SUMIFS('Күнлик есабат'!$H$8:$H$507,'Күнлик есабат'!$C$8:$C$507,A246,'Күнлик есабат'!$L$8:$L$507,0,'Күнлик есабат'!$M$8:$M$507,0)</x:f>
        <x:v>0</x:v>
      </x:c>
      <x:c r="L246" s="2" t="n">
        <x:f>SUMIFS('Күнлик есабат'!$G$8:$G$507,'Күнлик есабат'!$C$8:$C$507,A246,'Күнлик есабат'!$L$8:$L$507,0,'Күнлик есабат'!$M$8:$M$507,0)</x:f>
        <x:v>0</x:v>
      </x:c>
      <x:c r="M246" s="2" t="str">
        <x:f>IF(I246="","",MAX(I246-K246,0))</x:f>
      </x:c>
      <x:c r="N246" s="16" t="str">
        <x:f>IF(OR(I246="",I246=0),"",MIN(K246/I246,1))</x:f>
      </x:c>
      <x:c r="O246" s="2" t="n">
        <x:f>24-COUNTIFS('Клиентлер'!$T$8:$T$31,1)</x:f>
        <x:v>24</x:v>
      </x:c>
      <x:c r="P246" s="2" t="n">
        <x:f>IF(AND('Салық календары'!G246=1,ISNUMBER('Салық календары'!F246)),1,0)</x:f>
        <x:v>0</x:v>
      </x:c>
      <x:c r="Q246" s="2" t="str">
        <x:v>Салық</x:v>
      </x:c>
      <x:c r="R246" s="10"/>
      <x:c r="S246" s="2" t="n">
        <x:f>IF(COUNT(I246)=1,1,0)</x:f>
        <x:v>0</x:v>
      </x:c>
    </x:row>
    <x:row r="247" ht="46" customHeight="1">
      <x:c r="A247" s="2" t="n">
        <x:v>240</x:v>
      </x:c>
      <x:c r="B247" s="2" t="n">
        <x:v>240</x:v>
      </x:c>
      <x:c r="C247" s="12" t="n">
        <x:f>'Салық календары'!J247</x:f>
        <x:v>46769</x:v>
      </x:c>
      <x:c r="D247" s="13" t="str">
        <x:v>Жер қойнаўынан пайдаланыў есабаты</x:v>
      </x:c>
      <x:c r="E247" s="14" t="n">
        <x:v>46772</x:v>
      </x:c>
      <x:c r="F247" s="14" t="str">
        <x:f>IF('Салық календары'!F247="","",'Салық календары'!F247)</x:f>
      </x:c>
      <x:c r="G247" s="2" t="str">
        <x:v>2027-12</x:v>
      </x:c>
      <x:c r="H247" s="2" t="str">
        <x:v>Q</x:v>
      </x:c>
      <x:c r="I247" s="10" t="str">
        <x:f>IF(AND(COUNTIFS('Клиентлер'!$T$8:$T$31,1)=24,COUNT('Клиентлер'!$Q$8:$Q$31)=24),COUNTIFS('Клиентлер'!$Q$8:$Q$31,1,'Клиентлер'!$T$8:$T$31,1),"")</x:f>
      </x:c>
      <x:c r="J247" s="10"/>
      <x:c r="K247" s="2" t="n">
        <x:f>SUMIFS('Күнлик есабат'!$F$8:$F$507,'Күнлик есабат'!$C$8:$C$507,A247,'Күнлик есабат'!$L$8:$L$507,0,'Күнлик есабат'!$M$8:$M$507,0)-SUMIFS('Күнлик есабат'!$H$8:$H$507,'Күнлик есабат'!$C$8:$C$507,A247,'Күнлик есабат'!$L$8:$L$507,0,'Күнлик есабат'!$M$8:$M$507,0)</x:f>
        <x:v>0</x:v>
      </x:c>
      <x:c r="L247" s="2" t="n">
        <x:f>SUMIFS('Күнлик есабат'!$G$8:$G$507,'Күнлик есабат'!$C$8:$C$507,A247,'Күнлик есабат'!$L$8:$L$507,0,'Күнлик есабат'!$M$8:$M$507,0)</x:f>
        <x:v>0</x:v>
      </x:c>
      <x:c r="M247" s="2" t="str">
        <x:f>IF(I247="","",MAX(I247-K247,0))</x:f>
      </x:c>
      <x:c r="N247" s="16" t="str">
        <x:f>IF(OR(I247="",I247=0),"",MIN(K247/I247,1))</x:f>
      </x:c>
      <x:c r="O247" s="2" t="n">
        <x:f>24-COUNTIFS('Клиентлер'!$T$8:$T$31,1)</x:f>
        <x:v>24</x:v>
      </x:c>
      <x:c r="P247" s="2" t="n">
        <x:f>IF(AND('Салық календары'!G247=1,ISNUMBER('Салық календары'!F247)),1,0)</x:f>
        <x:v>0</x:v>
      </x:c>
      <x:c r="Q247" s="2" t="str">
        <x:v>Салық</x:v>
      </x:c>
      <x:c r="R247" s="10"/>
      <x:c r="S247" s="2" t="n">
        <x:f>IF(COUNT(I247)=1,1,0)</x:f>
        <x:v>0</x:v>
      </x:c>
    </x:row>
    <x:row r="248" ht="46" customHeight="1">
      <x:c r="A248" s="2" t="n">
        <x:v>241</x:v>
      </x:c>
      <x:c r="B248" s="2" t="n">
        <x:v>241</x:v>
      </x:c>
      <x:c r="C248" s="12" t="n">
        <x:f>'Салық календары'!J248</x:f>
        <x:v>46444</x:v>
      </x:c>
      <x:c r="D248" s="13" t="str">
        <x:v>Пайда салығы жыллық есабаты</x:v>
      </x:c>
      <x:c r="E248" s="14" t="n">
        <x:v>46447</x:v>
      </x:c>
      <x:c r="F248" s="14" t="str">
        <x:f>IF('Салық календары'!F248="","",'Салық календары'!F248)</x:f>
      </x:c>
      <x:c r="G248" s="2" t="str">
        <x:v>2026</x:v>
      </x:c>
      <x:c r="H248" s="2" t="str">
        <x:v>H</x:v>
      </x:c>
      <x:c r="I248" s="10" t="str">
        <x:f>IF(AND(COUNTIFS('Клиентлер'!$T$8:$T$31,1)=24,COUNT('Клиентлер'!$H$8:$H$31)=24),COUNTIFS('Клиентлер'!$H$8:$H$31,1,'Клиентлер'!$T$8:$T$31,1),"")</x:f>
      </x:c>
      <x:c r="J248" s="10"/>
      <x:c r="K248" s="2" t="n">
        <x:f>SUMIFS('Күнлик есабат'!$F$8:$F$507,'Күнлик есабат'!$C$8:$C$507,A248,'Күнлик есабат'!$L$8:$L$507,0,'Күнлик есабат'!$M$8:$M$507,0)-SUMIFS('Күнлик есабат'!$H$8:$H$507,'Күнлик есабат'!$C$8:$C$507,A248,'Күнлик есабат'!$L$8:$L$507,0,'Күнлик есабат'!$M$8:$M$507,0)</x:f>
        <x:v>0</x:v>
      </x:c>
      <x:c r="L248" s="2" t="n">
        <x:f>SUMIFS('Күнлик есабат'!$G$8:$G$507,'Күнлик есабат'!$C$8:$C$507,A248,'Күнлик есабат'!$L$8:$L$507,0,'Күнлик есабат'!$M$8:$M$507,0)</x:f>
        <x:v>0</x:v>
      </x:c>
      <x:c r="M248" s="2" t="str">
        <x:f>IF(I248="","",MAX(I248-K248,0))</x:f>
      </x:c>
      <x:c r="N248" s="16" t="str">
        <x:f>IF(OR(I248="",I248=0),"",MIN(K248/I248,1))</x:f>
      </x:c>
      <x:c r="O248" s="2" t="n">
        <x:f>24-COUNTIFS('Клиентлер'!$T$8:$T$31,1)</x:f>
        <x:v>24</x:v>
      </x:c>
      <x:c r="P248" s="2" t="n">
        <x:f>IF(AND('Салық календары'!G248=1,ISNUMBER('Салық календары'!F248)),1,0)</x:f>
        <x:v>0</x:v>
      </x:c>
      <x:c r="Q248" s="2" t="str">
        <x:v>Салық</x:v>
      </x:c>
      <x:c r="R248" s="10"/>
      <x:c r="S248" s="2" t="n">
        <x:f>IF(COUNT(I248)=1,1,0)</x:f>
        <x:v>0</x:v>
      </x:c>
    </x:row>
    <x:row r="249" ht="46" customHeight="1">
      <x:c r="A249" s="2" t="n">
        <x:v>242</x:v>
      </x:c>
      <x:c r="B249" s="2" t="n">
        <x:v>242</x:v>
      </x:c>
      <x:c r="C249" s="12" t="n">
        <x:f>'Салық календары'!J249</x:f>
        <x:v>46430</x:v>
      </x:c>
      <x:c r="D249" s="13" t="str">
        <x:v>Айланба салығы жыллық есабаты</x:v>
      </x:c>
      <x:c r="E249" s="14" t="n">
        <x:v>46433</x:v>
      </x:c>
      <x:c r="F249" s="14" t="str">
        <x:f>IF('Салық календары'!F249="","",'Салық календары'!F249)</x:f>
      </x:c>
      <x:c r="G249" s="2" t="str">
        <x:v>2026</x:v>
      </x:c>
      <x:c r="H249" s="2" t="str">
        <x:v>G</x:v>
      </x:c>
      <x:c r="I249" s="10" t="str">
        <x:f>IF(AND(COUNTIFS('Клиентлер'!$T$8:$T$31,1)=24,COUNT('Клиентлер'!$G$8:$G$31)=24),COUNTIFS('Клиентлер'!$G$8:$G$31,1,'Клиентлер'!$T$8:$T$31,1),"")</x:f>
      </x:c>
      <x:c r="J249" s="10"/>
      <x:c r="K249" s="2" t="n">
        <x:f>SUMIFS('Күнлик есабат'!$F$8:$F$507,'Күнлик есабат'!$C$8:$C$507,A249,'Күнлик есабат'!$L$8:$L$507,0,'Күнлик есабат'!$M$8:$M$507,0)-SUMIFS('Күнлик есабат'!$H$8:$H$507,'Күнлик есабат'!$C$8:$C$507,A249,'Күнлик есабат'!$L$8:$L$507,0,'Күнлик есабат'!$M$8:$M$507,0)</x:f>
        <x:v>0</x:v>
      </x:c>
      <x:c r="L249" s="2" t="n">
        <x:f>SUMIFS('Күнлик есабат'!$G$8:$G$507,'Күнлик есабат'!$C$8:$C$507,A249,'Күнлик есабат'!$L$8:$L$507,0,'Күнлик есабат'!$M$8:$M$507,0)</x:f>
        <x:v>0</x:v>
      </x:c>
      <x:c r="M249" s="2" t="str">
        <x:f>IF(I249="","",MAX(I249-K249,0))</x:f>
      </x:c>
      <x:c r="N249" s="16" t="str">
        <x:f>IF(OR(I249="",I249=0),"",MIN(K249/I249,1))</x:f>
      </x:c>
      <x:c r="O249" s="2" t="n">
        <x:f>24-COUNTIFS('Клиентлер'!$T$8:$T$31,1)</x:f>
        <x:v>24</x:v>
      </x:c>
      <x:c r="P249" s="2" t="n">
        <x:f>IF(AND('Салық календары'!G249=1,ISNUMBER('Салық календары'!F249)),1,0)</x:f>
        <x:v>0</x:v>
      </x:c>
      <x:c r="Q249" s="2" t="str">
        <x:v>Салық</x:v>
      </x:c>
      <x:c r="R249" s="10"/>
      <x:c r="S249" s="2" t="n">
        <x:f>IF(COUNT(I249)=1,1,0)</x:f>
        <x:v>0</x:v>
      </x:c>
    </x:row>
    <x:row r="250" ht="46" customHeight="1">
      <x:c r="A250" s="2" t="n">
        <x:v>243</x:v>
      </x:c>
      <x:c r="B250" s="2" t="n">
        <x:v>243</x:v>
      </x:c>
      <x:c r="C250" s="12" t="n">
        <x:f>'Салық календары'!J250</x:f>
        <x:v>46430</x:v>
      </x:c>
      <x:c r="D250" s="13" t="str">
        <x:v>Айлық салықлары жыллық есабаты</x:v>
      </x:c>
      <x:c r="E250" s="14" t="n">
        <x:v>46433</x:v>
      </x:c>
      <x:c r="F250" s="14" t="str">
        <x:f>IF('Салық календары'!F250="","",'Салық календары'!F250)</x:f>
      </x:c>
      <x:c r="G250" s="2" t="str">
        <x:v>2026</x:v>
      </x:c>
      <x:c r="H250" s="2" t="str">
        <x:v>I</x:v>
      </x:c>
      <x:c r="I250" s="10" t="str">
        <x:f>IF(AND(COUNTIFS('Клиентлер'!$T$8:$T$31,1)=24,COUNT('Клиентлер'!$I$8:$I$31)=24),COUNTIFS('Клиентлер'!$I$8:$I$31,1,'Клиентлер'!$T$8:$T$31,1),"")</x:f>
      </x:c>
      <x:c r="J250" s="10"/>
      <x:c r="K250" s="2" t="n">
        <x:f>SUMIFS('Күнлик есабат'!$F$8:$F$507,'Күнлик есабат'!$C$8:$C$507,A250,'Күнлик есабат'!$L$8:$L$507,0,'Күнлик есабат'!$M$8:$M$507,0)-SUMIFS('Күнлик есабат'!$H$8:$H$507,'Күнлик есабат'!$C$8:$C$507,A250,'Күнлик есабат'!$L$8:$L$507,0,'Күнлик есабат'!$M$8:$M$507,0)</x:f>
        <x:v>0</x:v>
      </x:c>
      <x:c r="L250" s="2" t="n">
        <x:f>SUMIFS('Күнлик есабат'!$G$8:$G$507,'Күнлик есабат'!$C$8:$C$507,A250,'Күнлик есабат'!$L$8:$L$507,0,'Күнлик есабат'!$M$8:$M$507,0)</x:f>
        <x:v>0</x:v>
      </x:c>
      <x:c r="M250" s="2" t="str">
        <x:f>IF(I250="","",MAX(I250-K250,0))</x:f>
      </x:c>
      <x:c r="N250" s="16" t="str">
        <x:f>IF(OR(I250="",I250=0),"",MIN(K250/I250,1))</x:f>
      </x:c>
      <x:c r="O250" s="2" t="n">
        <x:f>24-COUNTIFS('Клиентлер'!$T$8:$T$31,1)</x:f>
        <x:v>24</x:v>
      </x:c>
      <x:c r="P250" s="2" t="n">
        <x:f>IF(AND('Салық календары'!G250=1,ISNUMBER('Салық календары'!F250)),1,0)</x:f>
        <x:v>0</x:v>
      </x:c>
      <x:c r="Q250" s="2" t="str">
        <x:v>Салық</x:v>
      </x:c>
      <x:c r="R250" s="10"/>
      <x:c r="S250" s="2" t="n">
        <x:f>IF(COUNT(I250)=1,1,0)</x:f>
        <x:v>0</x:v>
      </x:c>
    </x:row>
    <x:row r="251" ht="46" customHeight="1">
      <x:c r="A251" s="2" t="n">
        <x:v>244</x:v>
      </x:c>
      <x:c r="B251" s="2" t="n">
        <x:v>244</x:v>
      </x:c>
      <x:c r="C251" s="12" t="n">
        <x:f>'Салық календары'!J251</x:f>
        <x:v>46810</x:v>
      </x:c>
      <x:c r="D251" s="13" t="str">
        <x:v>Пайда салығы жыллық есабаты</x:v>
      </x:c>
      <x:c r="E251" s="14" t="n">
        <x:v>46813</x:v>
      </x:c>
      <x:c r="F251" s="14" t="str">
        <x:f>IF('Салық календары'!F251="","",'Салық календары'!F251)</x:f>
      </x:c>
      <x:c r="G251" s="2" t="str">
        <x:v>2027</x:v>
      </x:c>
      <x:c r="H251" s="2" t="str">
        <x:v>H</x:v>
      </x:c>
      <x:c r="I251" s="10" t="str">
        <x:f>IF(AND(COUNTIFS('Клиентлер'!$T$8:$T$31,1)=24,COUNT('Клиентлер'!$H$8:$H$31)=24),COUNTIFS('Клиентлер'!$H$8:$H$31,1,'Клиентлер'!$T$8:$T$31,1),"")</x:f>
      </x:c>
      <x:c r="J251" s="10"/>
      <x:c r="K251" s="2" t="n">
        <x:f>SUMIFS('Күнлик есабат'!$F$8:$F$507,'Күнлик есабат'!$C$8:$C$507,A251,'Күнлик есабат'!$L$8:$L$507,0,'Күнлик есабат'!$M$8:$M$507,0)-SUMIFS('Күнлик есабат'!$H$8:$H$507,'Күнлик есабат'!$C$8:$C$507,A251,'Күнлик есабат'!$L$8:$L$507,0,'Күнлик есабат'!$M$8:$M$507,0)</x:f>
        <x:v>0</x:v>
      </x:c>
      <x:c r="L251" s="2" t="n">
        <x:f>SUMIFS('Күнлик есабат'!$G$8:$G$507,'Күнлик есабат'!$C$8:$C$507,A251,'Күнлик есабат'!$L$8:$L$507,0,'Күнлик есабат'!$M$8:$M$507,0)</x:f>
        <x:v>0</x:v>
      </x:c>
      <x:c r="M251" s="2" t="str">
        <x:f>IF(I251="","",MAX(I251-K251,0))</x:f>
      </x:c>
      <x:c r="N251" s="16" t="str">
        <x:f>IF(OR(I251="",I251=0),"",MIN(K251/I251,1))</x:f>
      </x:c>
      <x:c r="O251" s="2" t="n">
        <x:f>24-COUNTIFS('Клиентлер'!$T$8:$T$31,1)</x:f>
        <x:v>24</x:v>
      </x:c>
      <x:c r="P251" s="2" t="n">
        <x:f>IF(AND('Салық календары'!G251=1,ISNUMBER('Салық календары'!F251)),1,0)</x:f>
        <x:v>0</x:v>
      </x:c>
      <x:c r="Q251" s="2" t="str">
        <x:v>Салық</x:v>
      </x:c>
      <x:c r="R251" s="10"/>
      <x:c r="S251" s="2" t="n">
        <x:f>IF(COUNT(I251)=1,1,0)</x:f>
        <x:v>0</x:v>
      </x:c>
    </x:row>
    <x:row r="252" ht="46" customHeight="1">
      <x:c r="A252" s="2" t="n">
        <x:v>245</x:v>
      </x:c>
      <x:c r="B252" s="2" t="n">
        <x:v>245</x:v>
      </x:c>
      <x:c r="C252" s="12" t="n">
        <x:f>'Салық календары'!J252</x:f>
        <x:v>46795</x:v>
      </x:c>
      <x:c r="D252" s="13" t="str">
        <x:v>Айланба салығы жыллық есабаты</x:v>
      </x:c>
      <x:c r="E252" s="14" t="n">
        <x:v>46798</x:v>
      </x:c>
      <x:c r="F252" s="14" t="str">
        <x:f>IF('Салық календары'!F252="","",'Салық календары'!F252)</x:f>
      </x:c>
      <x:c r="G252" s="2" t="str">
        <x:v>2027</x:v>
      </x:c>
      <x:c r="H252" s="2" t="str">
        <x:v>G</x:v>
      </x:c>
      <x:c r="I252" s="10" t="str">
        <x:f>IF(AND(COUNTIFS('Клиентлер'!$T$8:$T$31,1)=24,COUNT('Клиентлер'!$G$8:$G$31)=24),COUNTIFS('Клиентлер'!$G$8:$G$31,1,'Клиентлер'!$T$8:$T$31,1),"")</x:f>
      </x:c>
      <x:c r="J252" s="10"/>
      <x:c r="K252" s="2" t="n">
        <x:f>SUMIFS('Күнлик есабат'!$F$8:$F$507,'Күнлик есабат'!$C$8:$C$507,A252,'Күнлик есабат'!$L$8:$L$507,0,'Күнлик есабат'!$M$8:$M$507,0)-SUMIFS('Күнлик есабат'!$H$8:$H$507,'Күнлик есабат'!$C$8:$C$507,A252,'Күнлик есабат'!$L$8:$L$507,0,'Күнлик есабат'!$M$8:$M$507,0)</x:f>
        <x:v>0</x:v>
      </x:c>
      <x:c r="L252" s="2" t="n">
        <x:f>SUMIFS('Күнлик есабат'!$G$8:$G$507,'Күнлик есабат'!$C$8:$C$507,A252,'Күнлик есабат'!$L$8:$L$507,0,'Күнлик есабат'!$M$8:$M$507,0)</x:f>
        <x:v>0</x:v>
      </x:c>
      <x:c r="M252" s="2" t="str">
        <x:f>IF(I252="","",MAX(I252-K252,0))</x:f>
      </x:c>
      <x:c r="N252" s="16" t="str">
        <x:f>IF(OR(I252="",I252=0),"",MIN(K252/I252,1))</x:f>
      </x:c>
      <x:c r="O252" s="2" t="n">
        <x:f>24-COUNTIFS('Клиентлер'!$T$8:$T$31,1)</x:f>
        <x:v>24</x:v>
      </x:c>
      <x:c r="P252" s="2" t="n">
        <x:f>IF(AND('Салық календары'!G252=1,ISNUMBER('Салық календары'!F252)),1,0)</x:f>
        <x:v>0</x:v>
      </x:c>
      <x:c r="Q252" s="2" t="str">
        <x:v>Салық</x:v>
      </x:c>
      <x:c r="R252" s="10"/>
      <x:c r="S252" s="2" t="n">
        <x:f>IF(COUNT(I252)=1,1,0)</x:f>
        <x:v>0</x:v>
      </x:c>
    </x:row>
    <x:row r="253" ht="46" customHeight="1">
      <x:c r="A253" s="2" t="n">
        <x:v>246</x:v>
      </x:c>
      <x:c r="B253" s="2" t="n">
        <x:v>246</x:v>
      </x:c>
      <x:c r="C253" s="12" t="n">
        <x:f>'Салық календары'!J253</x:f>
        <x:v>46795</x:v>
      </x:c>
      <x:c r="D253" s="13" t="str">
        <x:v>Айлық салықлары жыллық есабаты</x:v>
      </x:c>
      <x:c r="E253" s="14" t="n">
        <x:v>46798</x:v>
      </x:c>
      <x:c r="F253" s="14" t="str">
        <x:f>IF('Салық календары'!F253="","",'Салық календары'!F253)</x:f>
      </x:c>
      <x:c r="G253" s="2" t="str">
        <x:v>2027</x:v>
      </x:c>
      <x:c r="H253" s="2" t="str">
        <x:v>I</x:v>
      </x:c>
      <x:c r="I253" s="10" t="str">
        <x:f>IF(AND(COUNTIFS('Клиентлер'!$T$8:$T$31,1)=24,COUNT('Клиентлер'!$I$8:$I$31)=24),COUNTIFS('Клиентлер'!$I$8:$I$31,1,'Клиентлер'!$T$8:$T$31,1),"")</x:f>
      </x:c>
      <x:c r="J253" s="10"/>
      <x:c r="K253" s="2" t="n">
        <x:f>SUMIFS('Күнлик есабат'!$F$8:$F$507,'Күнлик есабат'!$C$8:$C$507,A253,'Күнлик есабат'!$L$8:$L$507,0,'Күнлик есабат'!$M$8:$M$507,0)-SUMIFS('Күнлик есабат'!$H$8:$H$507,'Күнлик есабат'!$C$8:$C$507,A253,'Күнлик есабат'!$L$8:$L$507,0,'Күнлик есабат'!$M$8:$M$507,0)</x:f>
        <x:v>0</x:v>
      </x:c>
      <x:c r="L253" s="2" t="n">
        <x:f>SUMIFS('Күнлик есабат'!$G$8:$G$507,'Күнлик есабат'!$C$8:$C$507,A253,'Күнлик есабат'!$L$8:$L$507,0,'Күнлик есабат'!$M$8:$M$507,0)</x:f>
        <x:v>0</x:v>
      </x:c>
      <x:c r="M253" s="2" t="str">
        <x:f>IF(I253="","",MAX(I253-K253,0))</x:f>
      </x:c>
      <x:c r="N253" s="16" t="str">
        <x:f>IF(OR(I253="",I253=0),"",MIN(K253/I253,1))</x:f>
      </x:c>
      <x:c r="O253" s="2" t="n">
        <x:f>24-COUNTIFS('Клиентлер'!$T$8:$T$31,1)</x:f>
        <x:v>24</x:v>
      </x:c>
      <x:c r="P253" s="2" t="n">
        <x:f>IF(AND('Салық календары'!G253=1,ISNUMBER('Салық календары'!F253)),1,0)</x:f>
        <x:v>0</x:v>
      </x:c>
      <x:c r="Q253" s="2" t="str">
        <x:v>Салық</x:v>
      </x:c>
      <x:c r="R253" s="10"/>
      <x:c r="S253" s="2" t="n">
        <x:f>IF(COUNT(I253)=1,1,0)</x:f>
        <x:v>0</x:v>
      </x:c>
    </x:row>
    <x:row r="254" ht="46" customHeight="1">
      <x:c r="A254" s="2" t="n">
        <x:v>247</x:v>
      </x:c>
      <x:c r="B254" s="2" t="n">
        <x:v>247</x:v>
      </x:c>
      <x:c r="C254" s="12" t="n">
        <x:f>'Салық календары'!J254</x:f>
        <x:v>46404</x:v>
      </x:c>
      <x:c r="D254" s="13" t="str">
        <x:v>Жер салығы жыллық есабаты</x:v>
      </x:c>
      <x:c r="E254" s="14" t="n">
        <x:v>46407</x:v>
      </x:c>
      <x:c r="F254" s="14" t="str">
        <x:f>IF('Салық календары'!F254="","",'Салық календары'!F254)</x:f>
      </x:c>
      <x:c r="G254" s="2" t="str">
        <x:v>2027</x:v>
      </x:c>
      <x:c r="H254" s="2" t="str">
        <x:v>K</x:v>
      </x:c>
      <x:c r="I254" s="10" t="str">
        <x:f>IF(AND(COUNTIFS('Клиентлер'!$T$8:$T$31,1)=24,COUNT('Клиентлер'!$K$8:$K$31)=24),COUNTIFS('Клиентлер'!$K$8:$K$31,1,'Клиентлер'!$T$8:$T$31,1),"")</x:f>
      </x:c>
      <x:c r="J254" s="10"/>
      <x:c r="K254" s="2" t="n">
        <x:f>SUMIFS('Күнлик есабат'!$F$8:$F$507,'Күнлик есабат'!$C$8:$C$507,A254,'Күнлик есабат'!$L$8:$L$507,0,'Күнлик есабат'!$M$8:$M$507,0)-SUMIFS('Күнлик есабат'!$H$8:$H$507,'Күнлик есабат'!$C$8:$C$507,A254,'Күнлик есабат'!$L$8:$L$507,0,'Күнлик есабат'!$M$8:$M$507,0)</x:f>
        <x:v>0</x:v>
      </x:c>
      <x:c r="L254" s="2" t="n">
        <x:f>SUMIFS('Күнлик есабат'!$G$8:$G$507,'Күнлик есабат'!$C$8:$C$507,A254,'Күнлик есабат'!$L$8:$L$507,0,'Күнлик есабат'!$M$8:$M$507,0)</x:f>
        <x:v>0</x:v>
      </x:c>
      <x:c r="M254" s="2" t="str">
        <x:f>IF(I254="","",MAX(I254-K254,0))</x:f>
      </x:c>
      <x:c r="N254" s="16" t="str">
        <x:f>IF(OR(I254="",I254=0),"",MIN(K254/I254,1))</x:f>
      </x:c>
      <x:c r="O254" s="2" t="n">
        <x:f>24-COUNTIFS('Клиентлер'!$T$8:$T$31,1)</x:f>
        <x:v>24</x:v>
      </x:c>
      <x:c r="P254" s="2" t="n">
        <x:f>IF(AND('Салық календары'!G254=1,ISNUMBER('Салық календары'!F254)),1,0)</x:f>
        <x:v>0</x:v>
      </x:c>
      <x:c r="Q254" s="2" t="str">
        <x:v>Салық</x:v>
      </x:c>
      <x:c r="R254" s="10"/>
      <x:c r="S254" s="2" t="n">
        <x:f>IF(COUNT(I254)=1,1,0)</x:f>
        <x:v>0</x:v>
      </x:c>
    </x:row>
    <x:row r="255" ht="46" customHeight="1">
      <x:c r="A255" s="2" t="n">
        <x:v>248</x:v>
      </x:c>
      <x:c r="B255" s="2" t="n">
        <x:v>248</x:v>
      </x:c>
      <x:c r="C255" s="12" t="n">
        <x:f>'Салық календары'!J255</x:f>
        <x:v>46404</x:v>
      </x:c>
      <x:c r="D255" s="13" t="str">
        <x:v>Суў салығы аванс мағлыўматнамасы</x:v>
      </x:c>
      <x:c r="E255" s="14" t="n">
        <x:v>46407</x:v>
      </x:c>
      <x:c r="F255" s="14" t="str">
        <x:f>IF('Салық календары'!F255="","",'Салық календары'!F255)</x:f>
      </x:c>
      <x:c r="G255" s="2" t="str">
        <x:v>2027</x:v>
      </x:c>
      <x:c r="H255" s="2" t="str">
        <x:v>L</x:v>
      </x:c>
      <x:c r="I255" s="10" t="str">
        <x:f>IF(AND(COUNTIFS('Клиентлер'!$T$8:$T$31,1)=24,COUNT('Клиентлер'!$L$8:$L$31)=24),COUNTIFS('Клиентлер'!$L$8:$L$31,1,'Клиентлер'!$T$8:$T$31,1),"")</x:f>
      </x:c>
      <x:c r="J255" s="10"/>
      <x:c r="K255" s="2" t="n">
        <x:f>SUMIFS('Күнлик есабат'!$F$8:$F$507,'Күнлик есабат'!$C$8:$C$507,A255,'Күнлик есабат'!$L$8:$L$507,0,'Күнлик есабат'!$M$8:$M$507,0)-SUMIFS('Күнлик есабат'!$H$8:$H$507,'Күнлик есабат'!$C$8:$C$507,A255,'Күнлик есабат'!$L$8:$L$507,0,'Күнлик есабат'!$M$8:$M$507,0)</x:f>
        <x:v>0</x:v>
      </x:c>
      <x:c r="L255" s="2" t="n">
        <x:f>SUMIFS('Күнлик есабат'!$G$8:$G$507,'Күнлик есабат'!$C$8:$C$507,A255,'Күнлик есабат'!$L$8:$L$507,0,'Күнлик есабат'!$M$8:$M$507,0)</x:f>
        <x:v>0</x:v>
      </x:c>
      <x:c r="M255" s="2" t="str">
        <x:f>IF(I255="","",MAX(I255-K255,0))</x:f>
      </x:c>
      <x:c r="N255" s="16" t="str">
        <x:f>IF(OR(I255="",I255=0),"",MIN(K255/I255,1))</x:f>
      </x:c>
      <x:c r="O255" s="2" t="n">
        <x:f>24-COUNTIFS('Клиентлер'!$T$8:$T$31,1)</x:f>
        <x:v>24</x:v>
      </x:c>
      <x:c r="P255" s="2" t="n">
        <x:f>IF(AND('Салық календары'!G255=1,ISNUMBER('Салық календары'!F255)),1,0)</x:f>
        <x:v>0</x:v>
      </x:c>
      <x:c r="Q255" s="2" t="str">
        <x:v>Салық</x:v>
      </x:c>
      <x:c r="R255" s="10"/>
      <x:c r="S255" s="2" t="n">
        <x:f>IF(COUNT(I255)=1,1,0)</x:f>
        <x:v>0</x:v>
      </x:c>
    </x:row>
    <x:row r="256" ht="46" customHeight="1">
      <x:c r="A256" s="2" t="n">
        <x:v>249</x:v>
      </x:c>
      <x:c r="B256" s="2"/>
      <x:c r="C256" s="12" t="n">
        <x:v>46323</x:v>
      </x:c>
      <x:c r="D256" s="13" t="str">
        <x:v>Банк ҳәм касса есабын салыстырыў</x:v>
      </x:c>
      <x:c r="E256" s="14" t="n">
        <x:v>46326</x:v>
      </x:c>
      <x:c r="F256" s="14"/>
      <x:c r="G256" s="2" t="str">
        <x:v>2026-10</x:v>
      </x:c>
      <x:c r="H256" s="2" t="str">
        <x:v>Барлығы</x:v>
      </x:c>
      <x:c r="I256" s="10"/>
      <x:c r="J256" s="10"/>
      <x:c r="K256" s="2" t="n">
        <x:f>SUMIFS('Күнлик есабат'!$F$8:$F$507,'Күнлик есабат'!$C$8:$C$507,A256,'Күнлик есабат'!$L$8:$L$507,0,'Күнлик есабат'!$M$8:$M$507,0)-SUMIFS('Күнлик есабат'!$H$8:$H$507,'Күнлик есабат'!$C$8:$C$507,A256,'Күнлик есабат'!$L$8:$L$507,0,'Күнлик есабат'!$M$8:$M$507,0)</x:f>
        <x:v>0</x:v>
      </x:c>
      <x:c r="L256" s="2" t="n">
        <x:f>SUMIFS('Күнлик есабат'!$G$8:$G$507,'Күнлик есабат'!$C$8:$C$507,A256,'Күнлик есабат'!$L$8:$L$507,0,'Күнлик есабат'!$M$8:$M$507,0)</x:f>
        <x:v>0</x:v>
      </x:c>
      <x:c r="M256" s="2" t="str">
        <x:f>IF(I256="","",MAX(I256-K256,0))</x:f>
      </x:c>
      <x:c r="N256" s="16" t="str">
        <x:f>IF(OR(I256="",I256=0),"",MIN(K256/I256,1))</x:f>
      </x:c>
      <x:c r="O256" s="2" t="n">
        <x:f>24-COUNTIFS('Клиентлер'!$T$8:$T$31,1)</x:f>
        <x:v>24</x:v>
      </x:c>
      <x:c r="P256" s="2"/>
      <x:c r="Q256" s="2" t="str">
        <x:v>Ишки</x:v>
      </x:c>
      <x:c r="R256" s="10"/>
      <x:c r="S256" s="2" t="n">
        <x:f>IF(COUNT(I256)=1,1,0)</x:f>
        <x:v>0</x:v>
      </x:c>
    </x:row>
    <x:row r="257" ht="46" customHeight="1">
      <x:c r="A257" s="2" t="n">
        <x:v>250</x:v>
      </x:c>
      <x:c r="B257" s="2"/>
      <x:c r="C257" s="12" t="n">
        <x:v>46323</x:v>
      </x:c>
      <x:c r="D257" s="13" t="str">
        <x:v>1С ҳүжжетлерин толық киритиў</x:v>
      </x:c>
      <x:c r="E257" s="14" t="n">
        <x:v>46326</x:v>
      </x:c>
      <x:c r="F257" s="14"/>
      <x:c r="G257" s="2" t="str">
        <x:v>2026-10</x:v>
      </x:c>
      <x:c r="H257" s="2" t="str">
        <x:v>Барлығы</x:v>
      </x:c>
      <x:c r="I257" s="10"/>
      <x:c r="J257" s="10"/>
      <x:c r="K257" s="2" t="n">
        <x:f>SUMIFS('Күнлик есабат'!$F$8:$F$507,'Күнлик есабат'!$C$8:$C$507,A257,'Күнлик есабат'!$L$8:$L$507,0,'Күнлик есабат'!$M$8:$M$507,0)-SUMIFS('Күнлик есабат'!$H$8:$H$507,'Күнлик есабат'!$C$8:$C$507,A257,'Күнлик есабат'!$L$8:$L$507,0,'Күнлик есабат'!$M$8:$M$507,0)</x:f>
        <x:v>0</x:v>
      </x:c>
      <x:c r="L257" s="2" t="n">
        <x:f>SUMIFS('Күнлик есабат'!$G$8:$G$507,'Күнлик есабат'!$C$8:$C$507,A257,'Күнлик есабат'!$L$8:$L$507,0,'Күнлик есабат'!$M$8:$M$507,0)</x:f>
        <x:v>0</x:v>
      </x:c>
      <x:c r="M257" s="2" t="str">
        <x:f>IF(I257="","",MAX(I257-K257,0))</x:f>
      </x:c>
      <x:c r="N257" s="16" t="str">
        <x:f>IF(OR(I257="",I257=0),"",MIN(K257/I257,1))</x:f>
      </x:c>
      <x:c r="O257" s="2" t="n">
        <x:f>24-COUNTIFS('Клиентлер'!$T$8:$T$31,1)</x:f>
        <x:v>24</x:v>
      </x:c>
      <x:c r="P257" s="2"/>
      <x:c r="Q257" s="2" t="str">
        <x:v>Ишки</x:v>
      </x:c>
      <x:c r="R257" s="10"/>
      <x:c r="S257" s="2" t="n">
        <x:f>IF(COUNT(I257)=1,1,0)</x:f>
        <x:v>0</x:v>
      </x:c>
    </x:row>
    <x:row r="258" ht="46" customHeight="1">
      <x:c r="A258" s="2" t="n">
        <x:v>251</x:v>
      </x:c>
      <x:c r="B258" s="2"/>
      <x:c r="C258" s="12" t="n">
        <x:v>46323</x:v>
      </x:c>
      <x:c r="D258" s="13" t="str">
        <x:v>ККМ чеклери ҳәм фактураларды салыстырыў</x:v>
      </x:c>
      <x:c r="E258" s="14" t="n">
        <x:v>46326</x:v>
      </x:c>
      <x:c r="F258" s="14"/>
      <x:c r="G258" s="2" t="str">
        <x:v>2026-10</x:v>
      </x:c>
      <x:c r="H258" s="2" t="str">
        <x:v>Барлығы</x:v>
      </x:c>
      <x:c r="I258" s="10"/>
      <x:c r="J258" s="10"/>
      <x:c r="K258" s="2" t="n">
        <x:f>SUMIFS('Күнлик есабат'!$F$8:$F$507,'Күнлик есабат'!$C$8:$C$507,A258,'Күнлик есабат'!$L$8:$L$507,0,'Күнлик есабат'!$M$8:$M$507,0)-SUMIFS('Күнлик есабат'!$H$8:$H$507,'Күнлик есабат'!$C$8:$C$507,A258,'Күнлик есабат'!$L$8:$L$507,0,'Күнлик есабат'!$M$8:$M$507,0)</x:f>
        <x:v>0</x:v>
      </x:c>
      <x:c r="L258" s="2" t="n">
        <x:f>SUMIFS('Күнлик есабат'!$G$8:$G$507,'Күнлик есабат'!$C$8:$C$507,A258,'Күнлик есабат'!$L$8:$L$507,0,'Күнлик есабат'!$M$8:$M$507,0)</x:f>
        <x:v>0</x:v>
      </x:c>
      <x:c r="M258" s="2" t="str">
        <x:f>IF(I258="","",MAX(I258-K258,0))</x:f>
      </x:c>
      <x:c r="N258" s="16" t="str">
        <x:f>IF(OR(I258="",I258=0),"",MIN(K258/I258,1))</x:f>
      </x:c>
      <x:c r="O258" s="2" t="n">
        <x:f>24-COUNTIFS('Клиентлер'!$T$8:$T$31,1)</x:f>
        <x:v>24</x:v>
      </x:c>
      <x:c r="P258" s="2"/>
      <x:c r="Q258" s="2" t="str">
        <x:v>Ишки</x:v>
      </x:c>
      <x:c r="R258" s="10"/>
      <x:c r="S258" s="2" t="n">
        <x:f>IF(COUNT(I258)=1,1,0)</x:f>
        <x:v>0</x:v>
      </x:c>
    </x:row>
    <x:row r="259" ht="46" customHeight="1">
      <x:c r="A259" s="2" t="n">
        <x:v>252</x:v>
      </x:c>
      <x:c r="B259" s="2"/>
      <x:c r="C259" s="12" t="n">
        <x:v>46323</x:v>
      </x:c>
      <x:c r="D259" s="13" t="str">
        <x:v>Қойма кирим-шығымын тексериў</x:v>
      </x:c>
      <x:c r="E259" s="14" t="n">
        <x:v>46326</x:v>
      </x:c>
      <x:c r="F259" s="14"/>
      <x:c r="G259" s="2" t="str">
        <x:v>2026-10</x:v>
      </x:c>
      <x:c r="H259" s="2" t="str">
        <x:v>Барлығы</x:v>
      </x:c>
      <x:c r="I259" s="10"/>
      <x:c r="J259" s="10"/>
      <x:c r="K259" s="2" t="n">
        <x:f>SUMIFS('Күнлик есабат'!$F$8:$F$507,'Күнлик есабат'!$C$8:$C$507,A259,'Күнлик есабат'!$L$8:$L$507,0,'Күнлик есабат'!$M$8:$M$507,0)-SUMIFS('Күнлик есабат'!$H$8:$H$507,'Күнлик есабат'!$C$8:$C$507,A259,'Күнлик есабат'!$L$8:$L$507,0,'Күнлик есабат'!$M$8:$M$507,0)</x:f>
        <x:v>0</x:v>
      </x:c>
      <x:c r="L259" s="2" t="n">
        <x:f>SUMIFS('Күнлик есабат'!$G$8:$G$507,'Күнлик есабат'!$C$8:$C$507,A259,'Күнлик есабат'!$L$8:$L$507,0,'Күнлик есабат'!$M$8:$M$507,0)</x:f>
        <x:v>0</x:v>
      </x:c>
      <x:c r="M259" s="2" t="str">
        <x:f>IF(I259="","",MAX(I259-K259,0))</x:f>
      </x:c>
      <x:c r="N259" s="16" t="str">
        <x:f>IF(OR(I259="",I259=0),"",MIN(K259/I259,1))</x:f>
      </x:c>
      <x:c r="O259" s="2" t="n">
        <x:f>24-COUNTIFS('Клиентлер'!$T$8:$T$31,1)</x:f>
        <x:v>24</x:v>
      </x:c>
      <x:c r="P259" s="2"/>
      <x:c r="Q259" s="2" t="str">
        <x:v>Ишки</x:v>
      </x:c>
      <x:c r="R259" s="10"/>
      <x:c r="S259" s="2" t="n">
        <x:f>IF(COUNT(I259)=1,1,0)</x:f>
        <x:v>0</x:v>
      </x:c>
    </x:row>
    <x:row r="260" ht="46" customHeight="1">
      <x:c r="A260" s="2" t="n">
        <x:v>253</x:v>
      </x:c>
      <x:c r="B260" s="2"/>
      <x:c r="C260" s="12" t="n">
        <x:v>46323</x:v>
      </x:c>
      <x:c r="D260" s="13" t="str">
        <x:v>Дебитор-кредитор қарызларын салыстырыў</x:v>
      </x:c>
      <x:c r="E260" s="14" t="n">
        <x:v>46326</x:v>
      </x:c>
      <x:c r="F260" s="14"/>
      <x:c r="G260" s="2" t="str">
        <x:v>2026-10</x:v>
      </x:c>
      <x:c r="H260" s="2" t="str">
        <x:v>Барлығы</x:v>
      </x:c>
      <x:c r="I260" s="10"/>
      <x:c r="J260" s="10"/>
      <x:c r="K260" s="2" t="n">
        <x:f>SUMIFS('Күнлик есабат'!$F$8:$F$507,'Күнлик есабат'!$C$8:$C$507,A260,'Күнлик есабат'!$L$8:$L$507,0,'Күнлик есабат'!$M$8:$M$507,0)-SUMIFS('Күнлик есабат'!$H$8:$H$507,'Күнлик есабат'!$C$8:$C$507,A260,'Күнлик есабат'!$L$8:$L$507,0,'Күнлик есабат'!$M$8:$M$507,0)</x:f>
        <x:v>0</x:v>
      </x:c>
      <x:c r="L260" s="2" t="n">
        <x:f>SUMIFS('Күнлик есабат'!$G$8:$G$507,'Күнлик есабат'!$C$8:$C$507,A260,'Күнлик есабат'!$L$8:$L$507,0,'Күнлик есабат'!$M$8:$M$507,0)</x:f>
        <x:v>0</x:v>
      </x:c>
      <x:c r="M260" s="2" t="str">
        <x:f>IF(I260="","",MAX(I260-K260,0))</x:f>
      </x:c>
      <x:c r="N260" s="16" t="str">
        <x:f>IF(OR(I260="",I260=0),"",MIN(K260/I260,1))</x:f>
      </x:c>
      <x:c r="O260" s="2" t="n">
        <x:f>24-COUNTIFS('Клиентлер'!$T$8:$T$31,1)</x:f>
        <x:v>24</x:v>
      </x:c>
      <x:c r="P260" s="2"/>
      <x:c r="Q260" s="2" t="str">
        <x:v>Ишки</x:v>
      </x:c>
      <x:c r="R260" s="10"/>
      <x:c r="S260" s="2" t="n">
        <x:f>IF(COUNT(I260)=1,1,0)</x:f>
        <x:v>0</x:v>
      </x:c>
    </x:row>
    <x:row r="261" ht="46" customHeight="1">
      <x:c r="A261" s="2" t="n">
        <x:v>254</x:v>
      </x:c>
      <x:c r="B261" s="2"/>
      <x:c r="C261" s="12" t="n">
        <x:v>46323</x:v>
      </x:c>
      <x:c r="D261" s="13" t="str">
        <x:v>Айлық ҳәм кадр ҳүжжетлерин тексериў</x:v>
      </x:c>
      <x:c r="E261" s="14" t="n">
        <x:v>46326</x:v>
      </x:c>
      <x:c r="F261" s="14"/>
      <x:c r="G261" s="2" t="str">
        <x:v>2026-10</x:v>
      </x:c>
      <x:c r="H261" s="2" t="str">
        <x:v>Барлығы</x:v>
      </x:c>
      <x:c r="I261" s="10"/>
      <x:c r="J261" s="10"/>
      <x:c r="K261" s="2" t="n">
        <x:f>SUMIFS('Күнлик есабат'!$F$8:$F$507,'Күнлик есабат'!$C$8:$C$507,A261,'Күнлик есабат'!$L$8:$L$507,0,'Күнлик есабат'!$M$8:$M$507,0)-SUMIFS('Күнлик есабат'!$H$8:$H$507,'Күнлик есабат'!$C$8:$C$507,A261,'Күнлик есабат'!$L$8:$L$507,0,'Күнлик есабат'!$M$8:$M$507,0)</x:f>
        <x:v>0</x:v>
      </x:c>
      <x:c r="L261" s="2" t="n">
        <x:f>SUMIFS('Күнлик есабат'!$G$8:$G$507,'Күнлик есабат'!$C$8:$C$507,A261,'Күнлик есабат'!$L$8:$L$507,0,'Күнлик есабат'!$M$8:$M$507,0)</x:f>
        <x:v>0</x:v>
      </x:c>
      <x:c r="M261" s="2" t="str">
        <x:f>IF(I261="","",MAX(I261-K261,0))</x:f>
      </x:c>
      <x:c r="N261" s="16" t="str">
        <x:f>IF(OR(I261="",I261=0),"",MIN(K261/I261,1))</x:f>
      </x:c>
      <x:c r="O261" s="2" t="n">
        <x:f>24-COUNTIFS('Клиентлер'!$T$8:$T$31,1)</x:f>
        <x:v>24</x:v>
      </x:c>
      <x:c r="P261" s="2"/>
      <x:c r="Q261" s="2" t="str">
        <x:v>Ишки</x:v>
      </x:c>
      <x:c r="R261" s="10"/>
      <x:c r="S261" s="2" t="n">
        <x:f>IF(COUNT(I261)=1,1,0)</x:f>
        <x:v>0</x:v>
      </x:c>
    </x:row>
    <x:row r="262" ht="46" customHeight="1">
      <x:c r="A262" s="2" t="n">
        <x:v>255</x:v>
      </x:c>
      <x:c r="B262" s="2"/>
      <x:c r="C262" s="12" t="n">
        <x:v>46323</x:v>
      </x:c>
      <x:c r="D262" s="13" t="str">
        <x:v>Клиентке айлық жуўмақ бериў</x:v>
      </x:c>
      <x:c r="E262" s="14" t="n">
        <x:v>46326</x:v>
      </x:c>
      <x:c r="F262" s="14"/>
      <x:c r="G262" s="2" t="str">
        <x:v>2026-10</x:v>
      </x:c>
      <x:c r="H262" s="2" t="str">
        <x:v>Барлығы</x:v>
      </x:c>
      <x:c r="I262" s="10"/>
      <x:c r="J262" s="10"/>
      <x:c r="K262" s="2" t="n">
        <x:f>SUMIFS('Күнлик есабат'!$F$8:$F$507,'Күнлик есабат'!$C$8:$C$507,A262,'Күнлик есабат'!$L$8:$L$507,0,'Күнлик есабат'!$M$8:$M$507,0)-SUMIFS('Күнлик есабат'!$H$8:$H$507,'Күнлик есабат'!$C$8:$C$507,A262,'Күнлик есабат'!$L$8:$L$507,0,'Күнлик есабат'!$M$8:$M$507,0)</x:f>
        <x:v>0</x:v>
      </x:c>
      <x:c r="L262" s="2" t="n">
        <x:f>SUMIFS('Күнлик есабат'!$G$8:$G$507,'Күнлик есабат'!$C$8:$C$507,A262,'Күнлик есабат'!$L$8:$L$507,0,'Күнлик есабат'!$M$8:$M$507,0)</x:f>
        <x:v>0</x:v>
      </x:c>
      <x:c r="M262" s="2" t="str">
        <x:f>IF(I262="","",MAX(I262-K262,0))</x:f>
      </x:c>
      <x:c r="N262" s="16" t="str">
        <x:f>IF(OR(I262="",I262=0),"",MIN(K262/I262,1))</x:f>
      </x:c>
      <x:c r="O262" s="2" t="n">
        <x:f>24-COUNTIFS('Клиентлер'!$T$8:$T$31,1)</x:f>
        <x:v>24</x:v>
      </x:c>
      <x:c r="P262" s="2"/>
      <x:c r="Q262" s="2" t="str">
        <x:v>Ишки</x:v>
      </x:c>
      <x:c r="R262" s="10"/>
      <x:c r="S262" s="2" t="n">
        <x:f>IF(COUNT(I262)=1,1,0)</x:f>
        <x:v>0</x:v>
      </x:c>
    </x:row>
    <x:row r="263" ht="46" customHeight="1">
      <x:c r="A263" s="2" t="n">
        <x:v>256</x:v>
      </x:c>
      <x:c r="B263" s="2"/>
      <x:c r="C263" s="12" t="n">
        <x:v>46353</x:v>
      </x:c>
      <x:c r="D263" s="13" t="str">
        <x:v>Банк ҳәм касса есабын салыстырыў</x:v>
      </x:c>
      <x:c r="E263" s="14" t="n">
        <x:v>46356</x:v>
      </x:c>
      <x:c r="F263" s="14"/>
      <x:c r="G263" s="2" t="str">
        <x:v>2026-11</x:v>
      </x:c>
      <x:c r="H263" s="2" t="str">
        <x:v>Барлығы</x:v>
      </x:c>
      <x:c r="I263" s="10"/>
      <x:c r="J263" s="10"/>
      <x:c r="K263" s="2" t="n">
        <x:f>SUMIFS('Күнлик есабат'!$F$8:$F$507,'Күнлик есабат'!$C$8:$C$507,A263,'Күнлик есабат'!$L$8:$L$507,0,'Күнлик есабат'!$M$8:$M$507,0)-SUMIFS('Күнлик есабат'!$H$8:$H$507,'Күнлик есабат'!$C$8:$C$507,A263,'Күнлик есабат'!$L$8:$L$507,0,'Күнлик есабат'!$M$8:$M$507,0)</x:f>
        <x:v>0</x:v>
      </x:c>
      <x:c r="L263" s="2" t="n">
        <x:f>SUMIFS('Күнлик есабат'!$G$8:$G$507,'Күнлик есабат'!$C$8:$C$507,A263,'Күнлик есабат'!$L$8:$L$507,0,'Күнлик есабат'!$M$8:$M$507,0)</x:f>
        <x:v>0</x:v>
      </x:c>
      <x:c r="M263" s="2" t="str">
        <x:f>IF(I263="","",MAX(I263-K263,0))</x:f>
      </x:c>
      <x:c r="N263" s="16" t="str">
        <x:f>IF(OR(I263="",I263=0),"",MIN(K263/I263,1))</x:f>
      </x:c>
      <x:c r="O263" s="2" t="n">
        <x:f>24-COUNTIFS('Клиентлер'!$T$8:$T$31,1)</x:f>
        <x:v>24</x:v>
      </x:c>
      <x:c r="P263" s="2"/>
      <x:c r="Q263" s="2" t="str">
        <x:v>Ишки</x:v>
      </x:c>
      <x:c r="R263" s="10"/>
      <x:c r="S263" s="2" t="n">
        <x:f>IF(COUNT(I263)=1,1,0)</x:f>
        <x:v>0</x:v>
      </x:c>
    </x:row>
    <x:row r="264" ht="46" customHeight="1">
      <x:c r="A264" s="2" t="n">
        <x:v>257</x:v>
      </x:c>
      <x:c r="B264" s="2"/>
      <x:c r="C264" s="12" t="n">
        <x:v>46353</x:v>
      </x:c>
      <x:c r="D264" s="13" t="str">
        <x:v>1С ҳүжжетлерин толық киритиў</x:v>
      </x:c>
      <x:c r="E264" s="14" t="n">
        <x:v>46356</x:v>
      </x:c>
      <x:c r="F264" s="14"/>
      <x:c r="G264" s="2" t="str">
        <x:v>2026-11</x:v>
      </x:c>
      <x:c r="H264" s="2" t="str">
        <x:v>Барлығы</x:v>
      </x:c>
      <x:c r="I264" s="10"/>
      <x:c r="J264" s="10"/>
      <x:c r="K264" s="2" t="n">
        <x:f>SUMIFS('Күнлик есабат'!$F$8:$F$507,'Күнлик есабат'!$C$8:$C$507,A264,'Күнлик есабат'!$L$8:$L$507,0,'Күнлик есабат'!$M$8:$M$507,0)-SUMIFS('Күнлик есабат'!$H$8:$H$507,'Күнлик есабат'!$C$8:$C$507,A264,'Күнлик есабат'!$L$8:$L$507,0,'Күнлик есабат'!$M$8:$M$507,0)</x:f>
        <x:v>0</x:v>
      </x:c>
      <x:c r="L264" s="2" t="n">
        <x:f>SUMIFS('Күнлик есабат'!$G$8:$G$507,'Күнлик есабат'!$C$8:$C$507,A264,'Күнлик есабат'!$L$8:$L$507,0,'Күнлик есабат'!$M$8:$M$507,0)</x:f>
        <x:v>0</x:v>
      </x:c>
      <x:c r="M264" s="2" t="str">
        <x:f>IF(I264="","",MAX(I264-K264,0))</x:f>
      </x:c>
      <x:c r="N264" s="16" t="str">
        <x:f>IF(OR(I264="",I264=0),"",MIN(K264/I264,1))</x:f>
      </x:c>
      <x:c r="O264" s="2" t="n">
        <x:f>24-COUNTIFS('Клиентлер'!$T$8:$T$31,1)</x:f>
        <x:v>24</x:v>
      </x:c>
      <x:c r="P264" s="2"/>
      <x:c r="Q264" s="2" t="str">
        <x:v>Ишки</x:v>
      </x:c>
      <x:c r="R264" s="10"/>
      <x:c r="S264" s="2" t="n">
        <x:f>IF(COUNT(I264)=1,1,0)</x:f>
        <x:v>0</x:v>
      </x:c>
    </x:row>
    <x:row r="265" ht="46" customHeight="1">
      <x:c r="A265" s="2" t="n">
        <x:v>258</x:v>
      </x:c>
      <x:c r="B265" s="2"/>
      <x:c r="C265" s="12" t="n">
        <x:v>46353</x:v>
      </x:c>
      <x:c r="D265" s="13" t="str">
        <x:v>ККМ чеклери ҳәм фактураларды салыстырыў</x:v>
      </x:c>
      <x:c r="E265" s="14" t="n">
        <x:v>46356</x:v>
      </x:c>
      <x:c r="F265" s="14"/>
      <x:c r="G265" s="2" t="str">
        <x:v>2026-11</x:v>
      </x:c>
      <x:c r="H265" s="2" t="str">
        <x:v>Барлығы</x:v>
      </x:c>
      <x:c r="I265" s="10"/>
      <x:c r="J265" s="10"/>
      <x:c r="K265" s="2" t="n">
        <x:f>SUMIFS('Күнлик есабат'!$F$8:$F$507,'Күнлик есабат'!$C$8:$C$507,A265,'Күнлик есабат'!$L$8:$L$507,0,'Күнлик есабат'!$M$8:$M$507,0)-SUMIFS('Күнлик есабат'!$H$8:$H$507,'Күнлик есабат'!$C$8:$C$507,A265,'Күнлик есабат'!$L$8:$L$507,0,'Күнлик есабат'!$M$8:$M$507,0)</x:f>
        <x:v>0</x:v>
      </x:c>
      <x:c r="L265" s="2" t="n">
        <x:f>SUMIFS('Күнлик есабат'!$G$8:$G$507,'Күнлик есабат'!$C$8:$C$507,A265,'Күнлик есабат'!$L$8:$L$507,0,'Күнлик есабат'!$M$8:$M$507,0)</x:f>
        <x:v>0</x:v>
      </x:c>
      <x:c r="M265" s="2" t="str">
        <x:f>IF(I265="","",MAX(I265-K265,0))</x:f>
      </x:c>
      <x:c r="N265" s="16" t="str">
        <x:f>IF(OR(I265="",I265=0),"",MIN(K265/I265,1))</x:f>
      </x:c>
      <x:c r="O265" s="2" t="n">
        <x:f>24-COUNTIFS('Клиентлер'!$T$8:$T$31,1)</x:f>
        <x:v>24</x:v>
      </x:c>
      <x:c r="P265" s="2"/>
      <x:c r="Q265" s="2" t="str">
        <x:v>Ишки</x:v>
      </x:c>
      <x:c r="R265" s="10"/>
      <x:c r="S265" s="2" t="n">
        <x:f>IF(COUNT(I265)=1,1,0)</x:f>
        <x:v>0</x:v>
      </x:c>
    </x:row>
    <x:row r="266" ht="46" customHeight="1">
      <x:c r="A266" s="2" t="n">
        <x:v>259</x:v>
      </x:c>
      <x:c r="B266" s="2"/>
      <x:c r="C266" s="12" t="n">
        <x:v>46353</x:v>
      </x:c>
      <x:c r="D266" s="13" t="str">
        <x:v>Қойма кирим-шығымын тексериў</x:v>
      </x:c>
      <x:c r="E266" s="14" t="n">
        <x:v>46356</x:v>
      </x:c>
      <x:c r="F266" s="14"/>
      <x:c r="G266" s="2" t="str">
        <x:v>2026-11</x:v>
      </x:c>
      <x:c r="H266" s="2" t="str">
        <x:v>Барлығы</x:v>
      </x:c>
      <x:c r="I266" s="10"/>
      <x:c r="J266" s="10"/>
      <x:c r="K266" s="2" t="n">
        <x:f>SUMIFS('Күнлик есабат'!$F$8:$F$507,'Күнлик есабат'!$C$8:$C$507,A266,'Күнлик есабат'!$L$8:$L$507,0,'Күнлик есабат'!$M$8:$M$507,0)-SUMIFS('Күнлик есабат'!$H$8:$H$507,'Күнлик есабат'!$C$8:$C$507,A266,'Күнлик есабат'!$L$8:$L$507,0,'Күнлик есабат'!$M$8:$M$507,0)</x:f>
        <x:v>0</x:v>
      </x:c>
      <x:c r="L266" s="2" t="n">
        <x:f>SUMIFS('Күнлик есабат'!$G$8:$G$507,'Күнлик есабат'!$C$8:$C$507,A266,'Күнлик есабат'!$L$8:$L$507,0,'Күнлик есабат'!$M$8:$M$507,0)</x:f>
        <x:v>0</x:v>
      </x:c>
      <x:c r="M266" s="2" t="str">
        <x:f>IF(I266="","",MAX(I266-K266,0))</x:f>
      </x:c>
      <x:c r="N266" s="16" t="str">
        <x:f>IF(OR(I266="",I266=0),"",MIN(K266/I266,1))</x:f>
      </x:c>
      <x:c r="O266" s="2" t="n">
        <x:f>24-COUNTIFS('Клиентлер'!$T$8:$T$31,1)</x:f>
        <x:v>24</x:v>
      </x:c>
      <x:c r="P266" s="2"/>
      <x:c r="Q266" s="2" t="str">
        <x:v>Ишки</x:v>
      </x:c>
      <x:c r="R266" s="10"/>
      <x:c r="S266" s="2" t="n">
        <x:f>IF(COUNT(I266)=1,1,0)</x:f>
        <x:v>0</x:v>
      </x:c>
    </x:row>
    <x:row r="267" ht="46" customHeight="1">
      <x:c r="A267" s="2" t="n">
        <x:v>260</x:v>
      </x:c>
      <x:c r="B267" s="2"/>
      <x:c r="C267" s="12" t="n">
        <x:v>46353</x:v>
      </x:c>
      <x:c r="D267" s="13" t="str">
        <x:v>Дебитор-кредитор қарызларын салыстырыў</x:v>
      </x:c>
      <x:c r="E267" s="14" t="n">
        <x:v>46356</x:v>
      </x:c>
      <x:c r="F267" s="14"/>
      <x:c r="G267" s="2" t="str">
        <x:v>2026-11</x:v>
      </x:c>
      <x:c r="H267" s="2" t="str">
        <x:v>Барлығы</x:v>
      </x:c>
      <x:c r="I267" s="10"/>
      <x:c r="J267" s="10"/>
      <x:c r="K267" s="2" t="n">
        <x:f>SUMIFS('Күнлик есабат'!$F$8:$F$507,'Күнлик есабат'!$C$8:$C$507,A267,'Күнлик есабат'!$L$8:$L$507,0,'Күнлик есабат'!$M$8:$M$507,0)-SUMIFS('Күнлик есабат'!$H$8:$H$507,'Күнлик есабат'!$C$8:$C$507,A267,'Күнлик есабат'!$L$8:$L$507,0,'Күнлик есабат'!$M$8:$M$507,0)</x:f>
        <x:v>0</x:v>
      </x:c>
      <x:c r="L267" s="2" t="n">
        <x:f>SUMIFS('Күнлик есабат'!$G$8:$G$507,'Күнлик есабат'!$C$8:$C$507,A267,'Күнлик есабат'!$L$8:$L$507,0,'Күнлик есабат'!$M$8:$M$507,0)</x:f>
        <x:v>0</x:v>
      </x:c>
      <x:c r="M267" s="2" t="str">
        <x:f>IF(I267="","",MAX(I267-K267,0))</x:f>
      </x:c>
      <x:c r="N267" s="16" t="str">
        <x:f>IF(OR(I267="",I267=0),"",MIN(K267/I267,1))</x:f>
      </x:c>
      <x:c r="O267" s="2" t="n">
        <x:f>24-COUNTIFS('Клиентлер'!$T$8:$T$31,1)</x:f>
        <x:v>24</x:v>
      </x:c>
      <x:c r="P267" s="2"/>
      <x:c r="Q267" s="2" t="str">
        <x:v>Ишки</x:v>
      </x:c>
      <x:c r="R267" s="10"/>
      <x:c r="S267" s="2" t="n">
        <x:f>IF(COUNT(I267)=1,1,0)</x:f>
        <x:v>0</x:v>
      </x:c>
    </x:row>
    <x:row r="268" ht="46" customHeight="1">
      <x:c r="A268" s="2" t="n">
        <x:v>261</x:v>
      </x:c>
      <x:c r="B268" s="2"/>
      <x:c r="C268" s="12" t="n">
        <x:v>46353</x:v>
      </x:c>
      <x:c r="D268" s="13" t="str">
        <x:v>Айлық ҳәм кадр ҳүжжетлерин тексериў</x:v>
      </x:c>
      <x:c r="E268" s="14" t="n">
        <x:v>46356</x:v>
      </x:c>
      <x:c r="F268" s="14"/>
      <x:c r="G268" s="2" t="str">
        <x:v>2026-11</x:v>
      </x:c>
      <x:c r="H268" s="2" t="str">
        <x:v>Барлығы</x:v>
      </x:c>
      <x:c r="I268" s="10"/>
      <x:c r="J268" s="10"/>
      <x:c r="K268" s="2" t="n">
        <x:f>SUMIFS('Күнлик есабат'!$F$8:$F$507,'Күнлик есабат'!$C$8:$C$507,A268,'Күнлик есабат'!$L$8:$L$507,0,'Күнлик есабат'!$M$8:$M$507,0)-SUMIFS('Күнлик есабат'!$H$8:$H$507,'Күнлик есабат'!$C$8:$C$507,A268,'Күнлик есабат'!$L$8:$L$507,0,'Күнлик есабат'!$M$8:$M$507,0)</x:f>
        <x:v>0</x:v>
      </x:c>
      <x:c r="L268" s="2" t="n">
        <x:f>SUMIFS('Күнлик есабат'!$G$8:$G$507,'Күнлик есабат'!$C$8:$C$507,A268,'Күнлик есабат'!$L$8:$L$507,0,'Күнлик есабат'!$M$8:$M$507,0)</x:f>
        <x:v>0</x:v>
      </x:c>
      <x:c r="M268" s="2" t="str">
        <x:f>IF(I268="","",MAX(I268-K268,0))</x:f>
      </x:c>
      <x:c r="N268" s="16" t="str">
        <x:f>IF(OR(I268="",I268=0),"",MIN(K268/I268,1))</x:f>
      </x:c>
      <x:c r="O268" s="2" t="n">
        <x:f>24-COUNTIFS('Клиентлер'!$T$8:$T$31,1)</x:f>
        <x:v>24</x:v>
      </x:c>
      <x:c r="P268" s="2"/>
      <x:c r="Q268" s="2" t="str">
        <x:v>Ишки</x:v>
      </x:c>
      <x:c r="R268" s="10"/>
      <x:c r="S268" s="2" t="n">
        <x:f>IF(COUNT(I268)=1,1,0)</x:f>
        <x:v>0</x:v>
      </x:c>
    </x:row>
    <x:row r="269" ht="46" customHeight="1">
      <x:c r="A269" s="2" t="n">
        <x:v>262</x:v>
      </x:c>
      <x:c r="B269" s="2"/>
      <x:c r="C269" s="12" t="n">
        <x:v>46353</x:v>
      </x:c>
      <x:c r="D269" s="13" t="str">
        <x:v>Клиентке айлық жуўмақ бериў</x:v>
      </x:c>
      <x:c r="E269" s="14" t="n">
        <x:v>46356</x:v>
      </x:c>
      <x:c r="F269" s="14"/>
      <x:c r="G269" s="2" t="str">
        <x:v>2026-11</x:v>
      </x:c>
      <x:c r="H269" s="2" t="str">
        <x:v>Барлығы</x:v>
      </x:c>
      <x:c r="I269" s="10"/>
      <x:c r="J269" s="10"/>
      <x:c r="K269" s="2" t="n">
        <x:f>SUMIFS('Күнлик есабат'!$F$8:$F$507,'Күнлик есабат'!$C$8:$C$507,A269,'Күнлик есабат'!$L$8:$L$507,0,'Күнлик есабат'!$M$8:$M$507,0)-SUMIFS('Күнлик есабат'!$H$8:$H$507,'Күнлик есабат'!$C$8:$C$507,A269,'Күнлик есабат'!$L$8:$L$507,0,'Күнлик есабат'!$M$8:$M$507,0)</x:f>
        <x:v>0</x:v>
      </x:c>
      <x:c r="L269" s="2" t="n">
        <x:f>SUMIFS('Күнлик есабат'!$G$8:$G$507,'Күнлик есабат'!$C$8:$C$507,A269,'Күнлик есабат'!$L$8:$L$507,0,'Күнлик есабат'!$M$8:$M$507,0)</x:f>
        <x:v>0</x:v>
      </x:c>
      <x:c r="M269" s="2" t="str">
        <x:f>IF(I269="","",MAX(I269-K269,0))</x:f>
      </x:c>
      <x:c r="N269" s="16" t="str">
        <x:f>IF(OR(I269="",I269=0),"",MIN(K269/I269,1))</x:f>
      </x:c>
      <x:c r="O269" s="2" t="n">
        <x:f>24-COUNTIFS('Клиентлер'!$T$8:$T$31,1)</x:f>
        <x:v>24</x:v>
      </x:c>
      <x:c r="P269" s="2"/>
      <x:c r="Q269" s="2" t="str">
        <x:v>Ишки</x:v>
      </x:c>
      <x:c r="R269" s="10"/>
      <x:c r="S269" s="2" t="n">
        <x:f>IF(COUNT(I269)=1,1,0)</x:f>
        <x:v>0</x:v>
      </x:c>
    </x:row>
    <x:row r="270" ht="46" customHeight="1">
      <x:c r="A270" s="2" t="n">
        <x:v>263</x:v>
      </x:c>
      <x:c r="B270" s="2"/>
      <x:c r="C270" s="12" t="n">
        <x:v>46384</x:v>
      </x:c>
      <x:c r="D270" s="13" t="str">
        <x:v>Банк ҳәм касса есабын салыстырыў</x:v>
      </x:c>
      <x:c r="E270" s="14" t="n">
        <x:v>46387</x:v>
      </x:c>
      <x:c r="F270" s="14"/>
      <x:c r="G270" s="2" t="str">
        <x:v>2026-12</x:v>
      </x:c>
      <x:c r="H270" s="2" t="str">
        <x:v>Барлығы</x:v>
      </x:c>
      <x:c r="I270" s="10"/>
      <x:c r="J270" s="10"/>
      <x:c r="K270" s="2" t="n">
        <x:f>SUMIFS('Күнлик есабат'!$F$8:$F$507,'Күнлик есабат'!$C$8:$C$507,A270,'Күнлик есабат'!$L$8:$L$507,0,'Күнлик есабат'!$M$8:$M$507,0)-SUMIFS('Күнлик есабат'!$H$8:$H$507,'Күнлик есабат'!$C$8:$C$507,A270,'Күнлик есабат'!$L$8:$L$507,0,'Күнлик есабат'!$M$8:$M$507,0)</x:f>
        <x:v>0</x:v>
      </x:c>
      <x:c r="L270" s="2" t="n">
        <x:f>SUMIFS('Күнлик есабат'!$G$8:$G$507,'Күнлик есабат'!$C$8:$C$507,A270,'Күнлик есабат'!$L$8:$L$507,0,'Күнлик есабат'!$M$8:$M$507,0)</x:f>
        <x:v>0</x:v>
      </x:c>
      <x:c r="M270" s="2" t="str">
        <x:f>IF(I270="","",MAX(I270-K270,0))</x:f>
      </x:c>
      <x:c r="N270" s="16" t="str">
        <x:f>IF(OR(I270="",I270=0),"",MIN(K270/I270,1))</x:f>
      </x:c>
      <x:c r="O270" s="2" t="n">
        <x:f>24-COUNTIFS('Клиентлер'!$T$8:$T$31,1)</x:f>
        <x:v>24</x:v>
      </x:c>
      <x:c r="P270" s="2"/>
      <x:c r="Q270" s="2" t="str">
        <x:v>Ишки</x:v>
      </x:c>
      <x:c r="R270" s="10"/>
      <x:c r="S270" s="2" t="n">
        <x:f>IF(COUNT(I270)=1,1,0)</x:f>
        <x:v>0</x:v>
      </x:c>
    </x:row>
    <x:row r="271" ht="46" customHeight="1">
      <x:c r="A271" s="2" t="n">
        <x:v>264</x:v>
      </x:c>
      <x:c r="B271" s="2"/>
      <x:c r="C271" s="12" t="n">
        <x:v>46384</x:v>
      </x:c>
      <x:c r="D271" s="13" t="str">
        <x:v>1С ҳүжжетлерин толық киритиў</x:v>
      </x:c>
      <x:c r="E271" s="14" t="n">
        <x:v>46387</x:v>
      </x:c>
      <x:c r="F271" s="14"/>
      <x:c r="G271" s="2" t="str">
        <x:v>2026-12</x:v>
      </x:c>
      <x:c r="H271" s="2" t="str">
        <x:v>Барлығы</x:v>
      </x:c>
      <x:c r="I271" s="10"/>
      <x:c r="J271" s="10"/>
      <x:c r="K271" s="2" t="n">
        <x:f>SUMIFS('Күнлик есабат'!$F$8:$F$507,'Күнлик есабат'!$C$8:$C$507,A271,'Күнлик есабат'!$L$8:$L$507,0,'Күнлик есабат'!$M$8:$M$507,0)-SUMIFS('Күнлик есабат'!$H$8:$H$507,'Күнлик есабат'!$C$8:$C$507,A271,'Күнлик есабат'!$L$8:$L$507,0,'Күнлик есабат'!$M$8:$M$507,0)</x:f>
        <x:v>0</x:v>
      </x:c>
      <x:c r="L271" s="2" t="n">
        <x:f>SUMIFS('Күнлик есабат'!$G$8:$G$507,'Күнлик есабат'!$C$8:$C$507,A271,'Күнлик есабат'!$L$8:$L$507,0,'Күнлик есабат'!$M$8:$M$507,0)</x:f>
        <x:v>0</x:v>
      </x:c>
      <x:c r="M271" s="2" t="str">
        <x:f>IF(I271="","",MAX(I271-K271,0))</x:f>
      </x:c>
      <x:c r="N271" s="16" t="str">
        <x:f>IF(OR(I271="",I271=0),"",MIN(K271/I271,1))</x:f>
      </x:c>
      <x:c r="O271" s="2" t="n">
        <x:f>24-COUNTIFS('Клиентлер'!$T$8:$T$31,1)</x:f>
        <x:v>24</x:v>
      </x:c>
      <x:c r="P271" s="2"/>
      <x:c r="Q271" s="2" t="str">
        <x:v>Ишки</x:v>
      </x:c>
      <x:c r="R271" s="10"/>
      <x:c r="S271" s="2" t="n">
        <x:f>IF(COUNT(I271)=1,1,0)</x:f>
        <x:v>0</x:v>
      </x:c>
    </x:row>
    <x:row r="272" ht="46" customHeight="1">
      <x:c r="A272" s="2" t="n">
        <x:v>265</x:v>
      </x:c>
      <x:c r="B272" s="2"/>
      <x:c r="C272" s="12" t="n">
        <x:v>46384</x:v>
      </x:c>
      <x:c r="D272" s="13" t="str">
        <x:v>ККМ чеклери ҳәм фактураларды салыстырыў</x:v>
      </x:c>
      <x:c r="E272" s="14" t="n">
        <x:v>46387</x:v>
      </x:c>
      <x:c r="F272" s="14"/>
      <x:c r="G272" s="2" t="str">
        <x:v>2026-12</x:v>
      </x:c>
      <x:c r="H272" s="2" t="str">
        <x:v>Барлығы</x:v>
      </x:c>
      <x:c r="I272" s="10"/>
      <x:c r="J272" s="10"/>
      <x:c r="K272" s="2" t="n">
        <x:f>SUMIFS('Күнлик есабат'!$F$8:$F$507,'Күнлик есабат'!$C$8:$C$507,A272,'Күнлик есабат'!$L$8:$L$507,0,'Күнлик есабат'!$M$8:$M$507,0)-SUMIFS('Күнлик есабат'!$H$8:$H$507,'Күнлик есабат'!$C$8:$C$507,A272,'Күнлик есабат'!$L$8:$L$507,0,'Күнлик есабат'!$M$8:$M$507,0)</x:f>
        <x:v>0</x:v>
      </x:c>
      <x:c r="L272" s="2" t="n">
        <x:f>SUMIFS('Күнлик есабат'!$G$8:$G$507,'Күнлик есабат'!$C$8:$C$507,A272,'Күнлик есабат'!$L$8:$L$507,0,'Күнлик есабат'!$M$8:$M$507,0)</x:f>
        <x:v>0</x:v>
      </x:c>
      <x:c r="M272" s="2" t="str">
        <x:f>IF(I272="","",MAX(I272-K272,0))</x:f>
      </x:c>
      <x:c r="N272" s="16" t="str">
        <x:f>IF(OR(I272="",I272=0),"",MIN(K272/I272,1))</x:f>
      </x:c>
      <x:c r="O272" s="2" t="n">
        <x:f>24-COUNTIFS('Клиентлер'!$T$8:$T$31,1)</x:f>
        <x:v>24</x:v>
      </x:c>
      <x:c r="P272" s="2"/>
      <x:c r="Q272" s="2" t="str">
        <x:v>Ишки</x:v>
      </x:c>
      <x:c r="R272" s="10"/>
      <x:c r="S272" s="2" t="n">
        <x:f>IF(COUNT(I272)=1,1,0)</x:f>
        <x:v>0</x:v>
      </x:c>
    </x:row>
    <x:row r="273" ht="46" customHeight="1">
      <x:c r="A273" s="2" t="n">
        <x:v>266</x:v>
      </x:c>
      <x:c r="B273" s="2"/>
      <x:c r="C273" s="12" t="n">
        <x:v>46384</x:v>
      </x:c>
      <x:c r="D273" s="13" t="str">
        <x:v>Қойма кирим-шығымын тексериў</x:v>
      </x:c>
      <x:c r="E273" s="14" t="n">
        <x:v>46387</x:v>
      </x:c>
      <x:c r="F273" s="14"/>
      <x:c r="G273" s="2" t="str">
        <x:v>2026-12</x:v>
      </x:c>
      <x:c r="H273" s="2" t="str">
        <x:v>Барлығы</x:v>
      </x:c>
      <x:c r="I273" s="10"/>
      <x:c r="J273" s="10"/>
      <x:c r="K273" s="2" t="n">
        <x:f>SUMIFS('Күнлик есабат'!$F$8:$F$507,'Күнлик есабат'!$C$8:$C$507,A273,'Күнлик есабат'!$L$8:$L$507,0,'Күнлик есабат'!$M$8:$M$507,0)-SUMIFS('Күнлик есабат'!$H$8:$H$507,'Күнлик есабат'!$C$8:$C$507,A273,'Күнлик есабат'!$L$8:$L$507,0,'Күнлик есабат'!$M$8:$M$507,0)</x:f>
        <x:v>0</x:v>
      </x:c>
      <x:c r="L273" s="2" t="n">
        <x:f>SUMIFS('Күнлик есабат'!$G$8:$G$507,'Күнлик есабат'!$C$8:$C$507,A273,'Күнлик есабат'!$L$8:$L$507,0,'Күнлик есабат'!$M$8:$M$507,0)</x:f>
        <x:v>0</x:v>
      </x:c>
      <x:c r="M273" s="2" t="str">
        <x:f>IF(I273="","",MAX(I273-K273,0))</x:f>
      </x:c>
      <x:c r="N273" s="16" t="str">
        <x:f>IF(OR(I273="",I273=0),"",MIN(K273/I273,1))</x:f>
      </x:c>
      <x:c r="O273" s="2" t="n">
        <x:f>24-COUNTIFS('Клиентлер'!$T$8:$T$31,1)</x:f>
        <x:v>24</x:v>
      </x:c>
      <x:c r="P273" s="2"/>
      <x:c r="Q273" s="2" t="str">
        <x:v>Ишки</x:v>
      </x:c>
      <x:c r="R273" s="10"/>
      <x:c r="S273" s="2" t="n">
        <x:f>IF(COUNT(I273)=1,1,0)</x:f>
        <x:v>0</x:v>
      </x:c>
    </x:row>
    <x:row r="274" ht="46" customHeight="1">
      <x:c r="A274" s="2" t="n">
        <x:v>267</x:v>
      </x:c>
      <x:c r="B274" s="2"/>
      <x:c r="C274" s="12" t="n">
        <x:v>46384</x:v>
      </x:c>
      <x:c r="D274" s="13" t="str">
        <x:v>Дебитор-кредитор қарызларын салыстырыў</x:v>
      </x:c>
      <x:c r="E274" s="14" t="n">
        <x:v>46387</x:v>
      </x:c>
      <x:c r="F274" s="14"/>
      <x:c r="G274" s="2" t="str">
        <x:v>2026-12</x:v>
      </x:c>
      <x:c r="H274" s="2" t="str">
        <x:v>Барлығы</x:v>
      </x:c>
      <x:c r="I274" s="10"/>
      <x:c r="J274" s="10"/>
      <x:c r="K274" s="2" t="n">
        <x:f>SUMIFS('Күнлик есабат'!$F$8:$F$507,'Күнлик есабат'!$C$8:$C$507,A274,'Күнлик есабат'!$L$8:$L$507,0,'Күнлик есабат'!$M$8:$M$507,0)-SUMIFS('Күнлик есабат'!$H$8:$H$507,'Күнлик есабат'!$C$8:$C$507,A274,'Күнлик есабат'!$L$8:$L$507,0,'Күнлик есабат'!$M$8:$M$507,0)</x:f>
        <x:v>0</x:v>
      </x:c>
      <x:c r="L274" s="2" t="n">
        <x:f>SUMIFS('Күнлик есабат'!$G$8:$G$507,'Күнлик есабат'!$C$8:$C$507,A274,'Күнлик есабат'!$L$8:$L$507,0,'Күнлик есабат'!$M$8:$M$507,0)</x:f>
        <x:v>0</x:v>
      </x:c>
      <x:c r="M274" s="2" t="str">
        <x:f>IF(I274="","",MAX(I274-K274,0))</x:f>
      </x:c>
      <x:c r="N274" s="16" t="str">
        <x:f>IF(OR(I274="",I274=0),"",MIN(K274/I274,1))</x:f>
      </x:c>
      <x:c r="O274" s="2" t="n">
        <x:f>24-COUNTIFS('Клиентлер'!$T$8:$T$31,1)</x:f>
        <x:v>24</x:v>
      </x:c>
      <x:c r="P274" s="2"/>
      <x:c r="Q274" s="2" t="str">
        <x:v>Ишки</x:v>
      </x:c>
      <x:c r="R274" s="10"/>
      <x:c r="S274" s="2" t="n">
        <x:f>IF(COUNT(I274)=1,1,0)</x:f>
        <x:v>0</x:v>
      </x:c>
    </x:row>
    <x:row r="275" ht="46" customHeight="1">
      <x:c r="A275" s="2" t="n">
        <x:v>268</x:v>
      </x:c>
      <x:c r="B275" s="2"/>
      <x:c r="C275" s="12" t="n">
        <x:v>46384</x:v>
      </x:c>
      <x:c r="D275" s="13" t="str">
        <x:v>Айлық ҳәм кадр ҳүжжетлерин тексериў</x:v>
      </x:c>
      <x:c r="E275" s="14" t="n">
        <x:v>46387</x:v>
      </x:c>
      <x:c r="F275" s="14"/>
      <x:c r="G275" s="2" t="str">
        <x:v>2026-12</x:v>
      </x:c>
      <x:c r="H275" s="2" t="str">
        <x:v>Барлығы</x:v>
      </x:c>
      <x:c r="I275" s="10"/>
      <x:c r="J275" s="10"/>
      <x:c r="K275" s="2" t="n">
        <x:f>SUMIFS('Күнлик есабат'!$F$8:$F$507,'Күнлик есабат'!$C$8:$C$507,A275,'Күнлик есабат'!$L$8:$L$507,0,'Күнлик есабат'!$M$8:$M$507,0)-SUMIFS('Күнлик есабат'!$H$8:$H$507,'Күнлик есабат'!$C$8:$C$507,A275,'Күнлик есабат'!$L$8:$L$507,0,'Күнлик есабат'!$M$8:$M$507,0)</x:f>
        <x:v>0</x:v>
      </x:c>
      <x:c r="L275" s="2" t="n">
        <x:f>SUMIFS('Күнлик есабат'!$G$8:$G$507,'Күнлик есабат'!$C$8:$C$507,A275,'Күнлик есабат'!$L$8:$L$507,0,'Күнлик есабат'!$M$8:$M$507,0)</x:f>
        <x:v>0</x:v>
      </x:c>
      <x:c r="M275" s="2" t="str">
        <x:f>IF(I275="","",MAX(I275-K275,0))</x:f>
      </x:c>
      <x:c r="N275" s="16" t="str">
        <x:f>IF(OR(I275="",I275=0),"",MIN(K275/I275,1))</x:f>
      </x:c>
      <x:c r="O275" s="2" t="n">
        <x:f>24-COUNTIFS('Клиентлер'!$T$8:$T$31,1)</x:f>
        <x:v>24</x:v>
      </x:c>
      <x:c r="P275" s="2"/>
      <x:c r="Q275" s="2" t="str">
        <x:v>Ишки</x:v>
      </x:c>
      <x:c r="R275" s="10"/>
      <x:c r="S275" s="2" t="n">
        <x:f>IF(COUNT(I275)=1,1,0)</x:f>
        <x:v>0</x:v>
      </x:c>
    </x:row>
    <x:row r="276" ht="46" customHeight="1">
      <x:c r="A276" s="2" t="n">
        <x:v>269</x:v>
      </x:c>
      <x:c r="B276" s="2"/>
      <x:c r="C276" s="12" t="n">
        <x:v>46384</x:v>
      </x:c>
      <x:c r="D276" s="13" t="str">
        <x:v>Клиентке айлық жуўмақ бериў</x:v>
      </x:c>
      <x:c r="E276" s="14" t="n">
        <x:v>46387</x:v>
      </x:c>
      <x:c r="F276" s="14"/>
      <x:c r="G276" s="2" t="str">
        <x:v>2026-12</x:v>
      </x:c>
      <x:c r="H276" s="2" t="str">
        <x:v>Барлығы</x:v>
      </x:c>
      <x:c r="I276" s="10"/>
      <x:c r="J276" s="10"/>
      <x:c r="K276" s="2" t="n">
        <x:f>SUMIFS('Күнлик есабат'!$F$8:$F$507,'Күнлик есабат'!$C$8:$C$507,A276,'Күнлик есабат'!$L$8:$L$507,0,'Күнлик есабат'!$M$8:$M$507,0)-SUMIFS('Күнлик есабат'!$H$8:$H$507,'Күнлик есабат'!$C$8:$C$507,A276,'Күнлик есабат'!$L$8:$L$507,0,'Күнлик есабат'!$M$8:$M$507,0)</x:f>
        <x:v>0</x:v>
      </x:c>
      <x:c r="L276" s="2" t="n">
        <x:f>SUMIFS('Күнлик есабат'!$G$8:$G$507,'Күнлик есабат'!$C$8:$C$507,A276,'Күнлик есабат'!$L$8:$L$507,0,'Күнлик есабат'!$M$8:$M$507,0)</x:f>
        <x:v>0</x:v>
      </x:c>
      <x:c r="M276" s="2" t="str">
        <x:f>IF(I276="","",MAX(I276-K276,0))</x:f>
      </x:c>
      <x:c r="N276" s="16" t="str">
        <x:f>IF(OR(I276="",I276=0),"",MIN(K276/I276,1))</x:f>
      </x:c>
      <x:c r="O276" s="2" t="n">
        <x:f>24-COUNTIFS('Клиентлер'!$T$8:$T$31,1)</x:f>
        <x:v>24</x:v>
      </x:c>
      <x:c r="P276" s="2"/>
      <x:c r="Q276" s="2" t="str">
        <x:v>Ишки</x:v>
      </x:c>
      <x:c r="R276" s="10"/>
      <x:c r="S276" s="2" t="n">
        <x:f>IF(COUNT(I276)=1,1,0)</x:f>
        <x:v>0</x:v>
      </x:c>
    </x:row>
    <x:row r="277" ht="46" customHeight="1">
      <x:c r="A277" s="2" t="n">
        <x:v>270</x:v>
      </x:c>
      <x:c r="B277" s="2"/>
      <x:c r="C277" s="12" t="n">
        <x:v>46415</x:v>
      </x:c>
      <x:c r="D277" s="13" t="str">
        <x:v>Банк ҳәм касса есабын салыстырыў</x:v>
      </x:c>
      <x:c r="E277" s="14" t="n">
        <x:v>46418</x:v>
      </x:c>
      <x:c r="F277" s="14"/>
      <x:c r="G277" s="2" t="str">
        <x:v>2027-01</x:v>
      </x:c>
      <x:c r="H277" s="2" t="str">
        <x:v>Барлығы</x:v>
      </x:c>
      <x:c r="I277" s="10"/>
      <x:c r="J277" s="10"/>
      <x:c r="K277" s="2" t="n">
        <x:f>SUMIFS('Күнлик есабат'!$F$8:$F$507,'Күнлик есабат'!$C$8:$C$507,A277,'Күнлик есабат'!$L$8:$L$507,0,'Күнлик есабат'!$M$8:$M$507,0)-SUMIFS('Күнлик есабат'!$H$8:$H$507,'Күнлик есабат'!$C$8:$C$507,A277,'Күнлик есабат'!$L$8:$L$507,0,'Күнлик есабат'!$M$8:$M$507,0)</x:f>
        <x:v>0</x:v>
      </x:c>
      <x:c r="L277" s="2" t="n">
        <x:f>SUMIFS('Күнлик есабат'!$G$8:$G$507,'Күнлик есабат'!$C$8:$C$507,A277,'Күнлик есабат'!$L$8:$L$507,0,'Күнлик есабат'!$M$8:$M$507,0)</x:f>
        <x:v>0</x:v>
      </x:c>
      <x:c r="M277" s="2" t="str">
        <x:f>IF(I277="","",MAX(I277-K277,0))</x:f>
      </x:c>
      <x:c r="N277" s="16" t="str">
        <x:f>IF(OR(I277="",I277=0),"",MIN(K277/I277,1))</x:f>
      </x:c>
      <x:c r="O277" s="2" t="n">
        <x:f>24-COUNTIFS('Клиентлер'!$T$8:$T$31,1)</x:f>
        <x:v>24</x:v>
      </x:c>
      <x:c r="P277" s="2"/>
      <x:c r="Q277" s="2" t="str">
        <x:v>Ишки</x:v>
      </x:c>
      <x:c r="R277" s="10"/>
      <x:c r="S277" s="2" t="n">
        <x:f>IF(COUNT(I277)=1,1,0)</x:f>
        <x:v>0</x:v>
      </x:c>
    </x:row>
    <x:row r="278" ht="46" customHeight="1">
      <x:c r="A278" s="2" t="n">
        <x:v>271</x:v>
      </x:c>
      <x:c r="B278" s="2"/>
      <x:c r="C278" s="12" t="n">
        <x:v>46415</x:v>
      </x:c>
      <x:c r="D278" s="13" t="str">
        <x:v>1С ҳүжжетлерин толық киритиў</x:v>
      </x:c>
      <x:c r="E278" s="14" t="n">
        <x:v>46418</x:v>
      </x:c>
      <x:c r="F278" s="14"/>
      <x:c r="G278" s="2" t="str">
        <x:v>2027-01</x:v>
      </x:c>
      <x:c r="H278" s="2" t="str">
        <x:v>Барлығы</x:v>
      </x:c>
      <x:c r="I278" s="10"/>
      <x:c r="J278" s="10"/>
      <x:c r="K278" s="2" t="n">
        <x:f>SUMIFS('Күнлик есабат'!$F$8:$F$507,'Күнлик есабат'!$C$8:$C$507,A278,'Күнлик есабат'!$L$8:$L$507,0,'Күнлик есабат'!$M$8:$M$507,0)-SUMIFS('Күнлик есабат'!$H$8:$H$507,'Күнлик есабат'!$C$8:$C$507,A278,'Күнлик есабат'!$L$8:$L$507,0,'Күнлик есабат'!$M$8:$M$507,0)</x:f>
        <x:v>0</x:v>
      </x:c>
      <x:c r="L278" s="2" t="n">
        <x:f>SUMIFS('Күнлик есабат'!$G$8:$G$507,'Күнлик есабат'!$C$8:$C$507,A278,'Күнлик есабат'!$L$8:$L$507,0,'Күнлик есабат'!$M$8:$M$507,0)</x:f>
        <x:v>0</x:v>
      </x:c>
      <x:c r="M278" s="2" t="str">
        <x:f>IF(I278="","",MAX(I278-K278,0))</x:f>
      </x:c>
      <x:c r="N278" s="16" t="str">
        <x:f>IF(OR(I278="",I278=0),"",MIN(K278/I278,1))</x:f>
      </x:c>
      <x:c r="O278" s="2" t="n">
        <x:f>24-COUNTIFS('Клиентлер'!$T$8:$T$31,1)</x:f>
        <x:v>24</x:v>
      </x:c>
      <x:c r="P278" s="2"/>
      <x:c r="Q278" s="2" t="str">
        <x:v>Ишки</x:v>
      </x:c>
      <x:c r="R278" s="10"/>
      <x:c r="S278" s="2" t="n">
        <x:f>IF(COUNT(I278)=1,1,0)</x:f>
        <x:v>0</x:v>
      </x:c>
    </x:row>
    <x:row r="279" ht="46" customHeight="1">
      <x:c r="A279" s="2" t="n">
        <x:v>272</x:v>
      </x:c>
      <x:c r="B279" s="2"/>
      <x:c r="C279" s="12" t="n">
        <x:v>46415</x:v>
      </x:c>
      <x:c r="D279" s="13" t="str">
        <x:v>ККМ чеклери ҳәм фактураларды салыстырыў</x:v>
      </x:c>
      <x:c r="E279" s="14" t="n">
        <x:v>46418</x:v>
      </x:c>
      <x:c r="F279" s="14"/>
      <x:c r="G279" s="2" t="str">
        <x:v>2027-01</x:v>
      </x:c>
      <x:c r="H279" s="2" t="str">
        <x:v>Барлығы</x:v>
      </x:c>
      <x:c r="I279" s="10"/>
      <x:c r="J279" s="10"/>
      <x:c r="K279" s="2" t="n">
        <x:f>SUMIFS('Күнлик есабат'!$F$8:$F$507,'Күнлик есабат'!$C$8:$C$507,A279,'Күнлик есабат'!$L$8:$L$507,0,'Күнлик есабат'!$M$8:$M$507,0)-SUMIFS('Күнлик есабат'!$H$8:$H$507,'Күнлик есабат'!$C$8:$C$507,A279,'Күнлик есабат'!$L$8:$L$507,0,'Күнлик есабат'!$M$8:$M$507,0)</x:f>
        <x:v>0</x:v>
      </x:c>
      <x:c r="L279" s="2" t="n">
        <x:f>SUMIFS('Күнлик есабат'!$G$8:$G$507,'Күнлик есабат'!$C$8:$C$507,A279,'Күнлик есабат'!$L$8:$L$507,0,'Күнлик есабат'!$M$8:$M$507,0)</x:f>
        <x:v>0</x:v>
      </x:c>
      <x:c r="M279" s="2" t="str">
        <x:f>IF(I279="","",MAX(I279-K279,0))</x:f>
      </x:c>
      <x:c r="N279" s="16" t="str">
        <x:f>IF(OR(I279="",I279=0),"",MIN(K279/I279,1))</x:f>
      </x:c>
      <x:c r="O279" s="2" t="n">
        <x:f>24-COUNTIFS('Клиентлер'!$T$8:$T$31,1)</x:f>
        <x:v>24</x:v>
      </x:c>
      <x:c r="P279" s="2"/>
      <x:c r="Q279" s="2" t="str">
        <x:v>Ишки</x:v>
      </x:c>
      <x:c r="R279" s="10"/>
      <x:c r="S279" s="2" t="n">
        <x:f>IF(COUNT(I279)=1,1,0)</x:f>
        <x:v>0</x:v>
      </x:c>
    </x:row>
    <x:row r="280" ht="46" customHeight="1">
      <x:c r="A280" s="2" t="n">
        <x:v>273</x:v>
      </x:c>
      <x:c r="B280" s="2"/>
      <x:c r="C280" s="12" t="n">
        <x:v>46415</x:v>
      </x:c>
      <x:c r="D280" s="13" t="str">
        <x:v>Қойма кирим-шығымын тексериў</x:v>
      </x:c>
      <x:c r="E280" s="14" t="n">
        <x:v>46418</x:v>
      </x:c>
      <x:c r="F280" s="14"/>
      <x:c r="G280" s="2" t="str">
        <x:v>2027-01</x:v>
      </x:c>
      <x:c r="H280" s="2" t="str">
        <x:v>Барлығы</x:v>
      </x:c>
      <x:c r="I280" s="10"/>
      <x:c r="J280" s="10"/>
      <x:c r="K280" s="2" t="n">
        <x:f>SUMIFS('Күнлик есабат'!$F$8:$F$507,'Күнлик есабат'!$C$8:$C$507,A280,'Күнлик есабат'!$L$8:$L$507,0,'Күнлик есабат'!$M$8:$M$507,0)-SUMIFS('Күнлик есабат'!$H$8:$H$507,'Күнлик есабат'!$C$8:$C$507,A280,'Күнлик есабат'!$L$8:$L$507,0,'Күнлик есабат'!$M$8:$M$507,0)</x:f>
        <x:v>0</x:v>
      </x:c>
      <x:c r="L280" s="2" t="n">
        <x:f>SUMIFS('Күнлик есабат'!$G$8:$G$507,'Күнлик есабат'!$C$8:$C$507,A280,'Күнлик есабат'!$L$8:$L$507,0,'Күнлик есабат'!$M$8:$M$507,0)</x:f>
        <x:v>0</x:v>
      </x:c>
      <x:c r="M280" s="2" t="str">
        <x:f>IF(I280="","",MAX(I280-K280,0))</x:f>
      </x:c>
      <x:c r="N280" s="16" t="str">
        <x:f>IF(OR(I280="",I280=0),"",MIN(K280/I280,1))</x:f>
      </x:c>
      <x:c r="O280" s="2" t="n">
        <x:f>24-COUNTIFS('Клиентлер'!$T$8:$T$31,1)</x:f>
        <x:v>24</x:v>
      </x:c>
      <x:c r="P280" s="2"/>
      <x:c r="Q280" s="2" t="str">
        <x:v>Ишки</x:v>
      </x:c>
      <x:c r="R280" s="10"/>
      <x:c r="S280" s="2" t="n">
        <x:f>IF(COUNT(I280)=1,1,0)</x:f>
        <x:v>0</x:v>
      </x:c>
    </x:row>
    <x:row r="281" ht="46" customHeight="1">
      <x:c r="A281" s="2" t="n">
        <x:v>274</x:v>
      </x:c>
      <x:c r="B281" s="2"/>
      <x:c r="C281" s="12" t="n">
        <x:v>46415</x:v>
      </x:c>
      <x:c r="D281" s="13" t="str">
        <x:v>Дебитор-кредитор қарызларын салыстырыў</x:v>
      </x:c>
      <x:c r="E281" s="14" t="n">
        <x:v>46418</x:v>
      </x:c>
      <x:c r="F281" s="14"/>
      <x:c r="G281" s="2" t="str">
        <x:v>2027-01</x:v>
      </x:c>
      <x:c r="H281" s="2" t="str">
        <x:v>Барлығы</x:v>
      </x:c>
      <x:c r="I281" s="10"/>
      <x:c r="J281" s="10"/>
      <x:c r="K281" s="2" t="n">
        <x:f>SUMIFS('Күнлик есабат'!$F$8:$F$507,'Күнлик есабат'!$C$8:$C$507,A281,'Күнлик есабат'!$L$8:$L$507,0,'Күнлик есабат'!$M$8:$M$507,0)-SUMIFS('Күнлик есабат'!$H$8:$H$507,'Күнлик есабат'!$C$8:$C$507,A281,'Күнлик есабат'!$L$8:$L$507,0,'Күнлик есабат'!$M$8:$M$507,0)</x:f>
        <x:v>0</x:v>
      </x:c>
      <x:c r="L281" s="2" t="n">
        <x:f>SUMIFS('Күнлик есабат'!$G$8:$G$507,'Күнлик есабат'!$C$8:$C$507,A281,'Күнлик есабат'!$L$8:$L$507,0,'Күнлик есабат'!$M$8:$M$507,0)</x:f>
        <x:v>0</x:v>
      </x:c>
      <x:c r="M281" s="2" t="str">
        <x:f>IF(I281="","",MAX(I281-K281,0))</x:f>
      </x:c>
      <x:c r="N281" s="16" t="str">
        <x:f>IF(OR(I281="",I281=0),"",MIN(K281/I281,1))</x:f>
      </x:c>
      <x:c r="O281" s="2" t="n">
        <x:f>24-COUNTIFS('Клиентлер'!$T$8:$T$31,1)</x:f>
        <x:v>24</x:v>
      </x:c>
      <x:c r="P281" s="2"/>
      <x:c r="Q281" s="2" t="str">
        <x:v>Ишки</x:v>
      </x:c>
      <x:c r="R281" s="10"/>
      <x:c r="S281" s="2" t="n">
        <x:f>IF(COUNT(I281)=1,1,0)</x:f>
        <x:v>0</x:v>
      </x:c>
    </x:row>
    <x:row r="282" ht="46" customHeight="1">
      <x:c r="A282" s="2" t="n">
        <x:v>275</x:v>
      </x:c>
      <x:c r="B282" s="2"/>
      <x:c r="C282" s="12" t="n">
        <x:v>46415</x:v>
      </x:c>
      <x:c r="D282" s="13" t="str">
        <x:v>Айлық ҳәм кадр ҳүжжетлерин тексериў</x:v>
      </x:c>
      <x:c r="E282" s="14" t="n">
        <x:v>46418</x:v>
      </x:c>
      <x:c r="F282" s="14"/>
      <x:c r="G282" s="2" t="str">
        <x:v>2027-01</x:v>
      </x:c>
      <x:c r="H282" s="2" t="str">
        <x:v>Барлығы</x:v>
      </x:c>
      <x:c r="I282" s="10"/>
      <x:c r="J282" s="10"/>
      <x:c r="K282" s="2" t="n">
        <x:f>SUMIFS('Күнлик есабат'!$F$8:$F$507,'Күнлик есабат'!$C$8:$C$507,A282,'Күнлик есабат'!$L$8:$L$507,0,'Күнлик есабат'!$M$8:$M$507,0)-SUMIFS('Күнлик есабат'!$H$8:$H$507,'Күнлик есабат'!$C$8:$C$507,A282,'Күнлик есабат'!$L$8:$L$507,0,'Күнлик есабат'!$M$8:$M$507,0)</x:f>
        <x:v>0</x:v>
      </x:c>
      <x:c r="L282" s="2" t="n">
        <x:f>SUMIFS('Күнлик есабат'!$G$8:$G$507,'Күнлик есабат'!$C$8:$C$507,A282,'Күнлик есабат'!$L$8:$L$507,0,'Күнлик есабат'!$M$8:$M$507,0)</x:f>
        <x:v>0</x:v>
      </x:c>
      <x:c r="M282" s="2" t="str">
        <x:f>IF(I282="","",MAX(I282-K282,0))</x:f>
      </x:c>
      <x:c r="N282" s="16" t="str">
        <x:f>IF(OR(I282="",I282=0),"",MIN(K282/I282,1))</x:f>
      </x:c>
      <x:c r="O282" s="2" t="n">
        <x:f>24-COUNTIFS('Клиентлер'!$T$8:$T$31,1)</x:f>
        <x:v>24</x:v>
      </x:c>
      <x:c r="P282" s="2"/>
      <x:c r="Q282" s="2" t="str">
        <x:v>Ишки</x:v>
      </x:c>
      <x:c r="R282" s="10"/>
      <x:c r="S282" s="2" t="n">
        <x:f>IF(COUNT(I282)=1,1,0)</x:f>
        <x:v>0</x:v>
      </x:c>
    </x:row>
    <x:row r="283" ht="46" customHeight="1">
      <x:c r="A283" s="2" t="n">
        <x:v>276</x:v>
      </x:c>
      <x:c r="B283" s="2"/>
      <x:c r="C283" s="12" t="n">
        <x:v>46415</x:v>
      </x:c>
      <x:c r="D283" s="13" t="str">
        <x:v>Клиентке айлық жуўмақ бериў</x:v>
      </x:c>
      <x:c r="E283" s="14" t="n">
        <x:v>46418</x:v>
      </x:c>
      <x:c r="F283" s="14"/>
      <x:c r="G283" s="2" t="str">
        <x:v>2027-01</x:v>
      </x:c>
      <x:c r="H283" s="2" t="str">
        <x:v>Барлығы</x:v>
      </x:c>
      <x:c r="I283" s="10"/>
      <x:c r="J283" s="10"/>
      <x:c r="K283" s="2" t="n">
        <x:f>SUMIFS('Күнлик есабат'!$F$8:$F$507,'Күнлик есабат'!$C$8:$C$507,A283,'Күнлик есабат'!$L$8:$L$507,0,'Күнлик есабат'!$M$8:$M$507,0)-SUMIFS('Күнлик есабат'!$H$8:$H$507,'Күнлик есабат'!$C$8:$C$507,A283,'Күнлик есабат'!$L$8:$L$507,0,'Күнлик есабат'!$M$8:$M$507,0)</x:f>
        <x:v>0</x:v>
      </x:c>
      <x:c r="L283" s="2" t="n">
        <x:f>SUMIFS('Күнлик есабат'!$G$8:$G$507,'Күнлик есабат'!$C$8:$C$507,A283,'Күнлик есабат'!$L$8:$L$507,0,'Күнлик есабат'!$M$8:$M$507,0)</x:f>
        <x:v>0</x:v>
      </x:c>
      <x:c r="M283" s="2" t="str">
        <x:f>IF(I283="","",MAX(I283-K283,0))</x:f>
      </x:c>
      <x:c r="N283" s="16" t="str">
        <x:f>IF(OR(I283="",I283=0),"",MIN(K283/I283,1))</x:f>
      </x:c>
      <x:c r="O283" s="2" t="n">
        <x:f>24-COUNTIFS('Клиентлер'!$T$8:$T$31,1)</x:f>
        <x:v>24</x:v>
      </x:c>
      <x:c r="P283" s="2"/>
      <x:c r="Q283" s="2" t="str">
        <x:v>Ишки</x:v>
      </x:c>
      <x:c r="R283" s="10"/>
      <x:c r="S283" s="2" t="n">
        <x:f>IF(COUNT(I283)=1,1,0)</x:f>
        <x:v>0</x:v>
      </x:c>
    </x:row>
    <x:row r="284" ht="46" customHeight="1">
      <x:c r="A284" s="2" t="n">
        <x:v>277</x:v>
      </x:c>
      <x:c r="B284" s="2"/>
      <x:c r="C284" s="12" t="n">
        <x:v>46443</x:v>
      </x:c>
      <x:c r="D284" s="13" t="str">
        <x:v>Банк ҳәм касса есабын салыстырыў</x:v>
      </x:c>
      <x:c r="E284" s="14" t="n">
        <x:v>46446</x:v>
      </x:c>
      <x:c r="F284" s="14"/>
      <x:c r="G284" s="2" t="str">
        <x:v>2027-02</x:v>
      </x:c>
      <x:c r="H284" s="2" t="str">
        <x:v>Барлығы</x:v>
      </x:c>
      <x:c r="I284" s="10"/>
      <x:c r="J284" s="10"/>
      <x:c r="K284" s="2" t="n">
        <x:f>SUMIFS('Күнлик есабат'!$F$8:$F$507,'Күнлик есабат'!$C$8:$C$507,A284,'Күнлик есабат'!$L$8:$L$507,0,'Күнлик есабат'!$M$8:$M$507,0)-SUMIFS('Күнлик есабат'!$H$8:$H$507,'Күнлик есабат'!$C$8:$C$507,A284,'Күнлик есабат'!$L$8:$L$507,0,'Күнлик есабат'!$M$8:$M$507,0)</x:f>
        <x:v>0</x:v>
      </x:c>
      <x:c r="L284" s="2" t="n">
        <x:f>SUMIFS('Күнлик есабат'!$G$8:$G$507,'Күнлик есабат'!$C$8:$C$507,A284,'Күнлик есабат'!$L$8:$L$507,0,'Күнлик есабат'!$M$8:$M$507,0)</x:f>
        <x:v>0</x:v>
      </x:c>
      <x:c r="M284" s="2" t="str">
        <x:f>IF(I284="","",MAX(I284-K284,0))</x:f>
      </x:c>
      <x:c r="N284" s="16" t="str">
        <x:f>IF(OR(I284="",I284=0),"",MIN(K284/I284,1))</x:f>
      </x:c>
      <x:c r="O284" s="2" t="n">
        <x:f>24-COUNTIFS('Клиентлер'!$T$8:$T$31,1)</x:f>
        <x:v>24</x:v>
      </x:c>
      <x:c r="P284" s="2"/>
      <x:c r="Q284" s="2" t="str">
        <x:v>Ишки</x:v>
      </x:c>
      <x:c r="R284" s="10"/>
      <x:c r="S284" s="2" t="n">
        <x:f>IF(COUNT(I284)=1,1,0)</x:f>
        <x:v>0</x:v>
      </x:c>
    </x:row>
    <x:row r="285" ht="46" customHeight="1">
      <x:c r="A285" s="2" t="n">
        <x:v>278</x:v>
      </x:c>
      <x:c r="B285" s="2"/>
      <x:c r="C285" s="12" t="n">
        <x:v>46443</x:v>
      </x:c>
      <x:c r="D285" s="13" t="str">
        <x:v>1С ҳүжжетлерин толық киритиў</x:v>
      </x:c>
      <x:c r="E285" s="14" t="n">
        <x:v>46446</x:v>
      </x:c>
      <x:c r="F285" s="14"/>
      <x:c r="G285" s="2" t="str">
        <x:v>2027-02</x:v>
      </x:c>
      <x:c r="H285" s="2" t="str">
        <x:v>Барлығы</x:v>
      </x:c>
      <x:c r="I285" s="10"/>
      <x:c r="J285" s="10"/>
      <x:c r="K285" s="2" t="n">
        <x:f>SUMIFS('Күнлик есабат'!$F$8:$F$507,'Күнлик есабат'!$C$8:$C$507,A285,'Күнлик есабат'!$L$8:$L$507,0,'Күнлик есабат'!$M$8:$M$507,0)-SUMIFS('Күнлик есабат'!$H$8:$H$507,'Күнлик есабат'!$C$8:$C$507,A285,'Күнлик есабат'!$L$8:$L$507,0,'Күнлик есабат'!$M$8:$M$507,0)</x:f>
        <x:v>0</x:v>
      </x:c>
      <x:c r="L285" s="2" t="n">
        <x:f>SUMIFS('Күнлик есабат'!$G$8:$G$507,'Күнлик есабат'!$C$8:$C$507,A285,'Күнлик есабат'!$L$8:$L$507,0,'Күнлик есабат'!$M$8:$M$507,0)</x:f>
        <x:v>0</x:v>
      </x:c>
      <x:c r="M285" s="2" t="str">
        <x:f>IF(I285="","",MAX(I285-K285,0))</x:f>
      </x:c>
      <x:c r="N285" s="16" t="str">
        <x:f>IF(OR(I285="",I285=0),"",MIN(K285/I285,1))</x:f>
      </x:c>
      <x:c r="O285" s="2" t="n">
        <x:f>24-COUNTIFS('Клиентлер'!$T$8:$T$31,1)</x:f>
        <x:v>24</x:v>
      </x:c>
      <x:c r="P285" s="2"/>
      <x:c r="Q285" s="2" t="str">
        <x:v>Ишки</x:v>
      </x:c>
      <x:c r="R285" s="10"/>
      <x:c r="S285" s="2" t="n">
        <x:f>IF(COUNT(I285)=1,1,0)</x:f>
        <x:v>0</x:v>
      </x:c>
    </x:row>
    <x:row r="286" ht="46" customHeight="1">
      <x:c r="A286" s="2" t="n">
        <x:v>279</x:v>
      </x:c>
      <x:c r="B286" s="2"/>
      <x:c r="C286" s="12" t="n">
        <x:v>46443</x:v>
      </x:c>
      <x:c r="D286" s="13" t="str">
        <x:v>ККМ чеклери ҳәм фактураларды салыстырыў</x:v>
      </x:c>
      <x:c r="E286" s="14" t="n">
        <x:v>46446</x:v>
      </x:c>
      <x:c r="F286" s="14"/>
      <x:c r="G286" s="2" t="str">
        <x:v>2027-02</x:v>
      </x:c>
      <x:c r="H286" s="2" t="str">
        <x:v>Барлығы</x:v>
      </x:c>
      <x:c r="I286" s="10"/>
      <x:c r="J286" s="10"/>
      <x:c r="K286" s="2" t="n">
        <x:f>SUMIFS('Күнлик есабат'!$F$8:$F$507,'Күнлик есабат'!$C$8:$C$507,A286,'Күнлик есабат'!$L$8:$L$507,0,'Күнлик есабат'!$M$8:$M$507,0)-SUMIFS('Күнлик есабат'!$H$8:$H$507,'Күнлик есабат'!$C$8:$C$507,A286,'Күнлик есабат'!$L$8:$L$507,0,'Күнлик есабат'!$M$8:$M$507,0)</x:f>
        <x:v>0</x:v>
      </x:c>
      <x:c r="L286" s="2" t="n">
        <x:f>SUMIFS('Күнлик есабат'!$G$8:$G$507,'Күнлик есабат'!$C$8:$C$507,A286,'Күнлик есабат'!$L$8:$L$507,0,'Күнлик есабат'!$M$8:$M$507,0)</x:f>
        <x:v>0</x:v>
      </x:c>
      <x:c r="M286" s="2" t="str">
        <x:f>IF(I286="","",MAX(I286-K286,0))</x:f>
      </x:c>
      <x:c r="N286" s="16" t="str">
        <x:f>IF(OR(I286="",I286=0),"",MIN(K286/I286,1))</x:f>
      </x:c>
      <x:c r="O286" s="2" t="n">
        <x:f>24-COUNTIFS('Клиентлер'!$T$8:$T$31,1)</x:f>
        <x:v>24</x:v>
      </x:c>
      <x:c r="P286" s="2"/>
      <x:c r="Q286" s="2" t="str">
        <x:v>Ишки</x:v>
      </x:c>
      <x:c r="R286" s="10"/>
      <x:c r="S286" s="2" t="n">
        <x:f>IF(COUNT(I286)=1,1,0)</x:f>
        <x:v>0</x:v>
      </x:c>
    </x:row>
    <x:row r="287" ht="46" customHeight="1">
      <x:c r="A287" s="2" t="n">
        <x:v>280</x:v>
      </x:c>
      <x:c r="B287" s="2"/>
      <x:c r="C287" s="12" t="n">
        <x:v>46443</x:v>
      </x:c>
      <x:c r="D287" s="13" t="str">
        <x:v>Қойма кирим-шығымын тексериў</x:v>
      </x:c>
      <x:c r="E287" s="14" t="n">
        <x:v>46446</x:v>
      </x:c>
      <x:c r="F287" s="14"/>
      <x:c r="G287" s="2" t="str">
        <x:v>2027-02</x:v>
      </x:c>
      <x:c r="H287" s="2" t="str">
        <x:v>Барлығы</x:v>
      </x:c>
      <x:c r="I287" s="10"/>
      <x:c r="J287" s="10"/>
      <x:c r="K287" s="2" t="n">
        <x:f>SUMIFS('Күнлик есабат'!$F$8:$F$507,'Күнлик есабат'!$C$8:$C$507,A287,'Күнлик есабат'!$L$8:$L$507,0,'Күнлик есабат'!$M$8:$M$507,0)-SUMIFS('Күнлик есабат'!$H$8:$H$507,'Күнлик есабат'!$C$8:$C$507,A287,'Күнлик есабат'!$L$8:$L$507,0,'Күнлик есабат'!$M$8:$M$507,0)</x:f>
        <x:v>0</x:v>
      </x:c>
      <x:c r="L287" s="2" t="n">
        <x:f>SUMIFS('Күнлик есабат'!$G$8:$G$507,'Күнлик есабат'!$C$8:$C$507,A287,'Күнлик есабат'!$L$8:$L$507,0,'Күнлик есабат'!$M$8:$M$507,0)</x:f>
        <x:v>0</x:v>
      </x:c>
      <x:c r="M287" s="2" t="str">
        <x:f>IF(I287="","",MAX(I287-K287,0))</x:f>
      </x:c>
      <x:c r="N287" s="16" t="str">
        <x:f>IF(OR(I287="",I287=0),"",MIN(K287/I287,1))</x:f>
      </x:c>
      <x:c r="O287" s="2" t="n">
        <x:f>24-COUNTIFS('Клиентлер'!$T$8:$T$31,1)</x:f>
        <x:v>24</x:v>
      </x:c>
      <x:c r="P287" s="2"/>
      <x:c r="Q287" s="2" t="str">
        <x:v>Ишки</x:v>
      </x:c>
      <x:c r="R287" s="10"/>
      <x:c r="S287" s="2" t="n">
        <x:f>IF(COUNT(I287)=1,1,0)</x:f>
        <x:v>0</x:v>
      </x:c>
    </x:row>
    <x:row r="288" ht="46" customHeight="1">
      <x:c r="A288" s="2" t="n">
        <x:v>281</x:v>
      </x:c>
      <x:c r="B288" s="2"/>
      <x:c r="C288" s="12" t="n">
        <x:v>46443</x:v>
      </x:c>
      <x:c r="D288" s="13" t="str">
        <x:v>Дебитор-кредитор қарызларын салыстырыў</x:v>
      </x:c>
      <x:c r="E288" s="14" t="n">
        <x:v>46446</x:v>
      </x:c>
      <x:c r="F288" s="14"/>
      <x:c r="G288" s="2" t="str">
        <x:v>2027-02</x:v>
      </x:c>
      <x:c r="H288" s="2" t="str">
        <x:v>Барлығы</x:v>
      </x:c>
      <x:c r="I288" s="10"/>
      <x:c r="J288" s="10"/>
      <x:c r="K288" s="2" t="n">
        <x:f>SUMIFS('Күнлик есабат'!$F$8:$F$507,'Күнлик есабат'!$C$8:$C$507,A288,'Күнлик есабат'!$L$8:$L$507,0,'Күнлик есабат'!$M$8:$M$507,0)-SUMIFS('Күнлик есабат'!$H$8:$H$507,'Күнлик есабат'!$C$8:$C$507,A288,'Күнлик есабат'!$L$8:$L$507,0,'Күнлик есабат'!$M$8:$M$507,0)</x:f>
        <x:v>0</x:v>
      </x:c>
      <x:c r="L288" s="2" t="n">
        <x:f>SUMIFS('Күнлик есабат'!$G$8:$G$507,'Күнлик есабат'!$C$8:$C$507,A288,'Күнлик есабат'!$L$8:$L$507,0,'Күнлик есабат'!$M$8:$M$507,0)</x:f>
        <x:v>0</x:v>
      </x:c>
      <x:c r="M288" s="2" t="str">
        <x:f>IF(I288="","",MAX(I288-K288,0))</x:f>
      </x:c>
      <x:c r="N288" s="16" t="str">
        <x:f>IF(OR(I288="",I288=0),"",MIN(K288/I288,1))</x:f>
      </x:c>
      <x:c r="O288" s="2" t="n">
        <x:f>24-COUNTIFS('Клиентлер'!$T$8:$T$31,1)</x:f>
        <x:v>24</x:v>
      </x:c>
      <x:c r="P288" s="2"/>
      <x:c r="Q288" s="2" t="str">
        <x:v>Ишки</x:v>
      </x:c>
      <x:c r="R288" s="10"/>
      <x:c r="S288" s="2" t="n">
        <x:f>IF(COUNT(I288)=1,1,0)</x:f>
        <x:v>0</x:v>
      </x:c>
    </x:row>
    <x:row r="289" ht="46" customHeight="1">
      <x:c r="A289" s="2" t="n">
        <x:v>282</x:v>
      </x:c>
      <x:c r="B289" s="2"/>
      <x:c r="C289" s="12" t="n">
        <x:v>46443</x:v>
      </x:c>
      <x:c r="D289" s="13" t="str">
        <x:v>Айлық ҳәм кадр ҳүжжетлерин тексериў</x:v>
      </x:c>
      <x:c r="E289" s="14" t="n">
        <x:v>46446</x:v>
      </x:c>
      <x:c r="F289" s="14"/>
      <x:c r="G289" s="2" t="str">
        <x:v>2027-02</x:v>
      </x:c>
      <x:c r="H289" s="2" t="str">
        <x:v>Барлығы</x:v>
      </x:c>
      <x:c r="I289" s="10"/>
      <x:c r="J289" s="10"/>
      <x:c r="K289" s="2" t="n">
        <x:f>SUMIFS('Күнлик есабат'!$F$8:$F$507,'Күнлик есабат'!$C$8:$C$507,A289,'Күнлик есабат'!$L$8:$L$507,0,'Күнлик есабат'!$M$8:$M$507,0)-SUMIFS('Күнлик есабат'!$H$8:$H$507,'Күнлик есабат'!$C$8:$C$507,A289,'Күнлик есабат'!$L$8:$L$507,0,'Күнлик есабат'!$M$8:$M$507,0)</x:f>
        <x:v>0</x:v>
      </x:c>
      <x:c r="L289" s="2" t="n">
        <x:f>SUMIFS('Күнлик есабат'!$G$8:$G$507,'Күнлик есабат'!$C$8:$C$507,A289,'Күнлик есабат'!$L$8:$L$507,0,'Күнлик есабат'!$M$8:$M$507,0)</x:f>
        <x:v>0</x:v>
      </x:c>
      <x:c r="M289" s="2" t="str">
        <x:f>IF(I289="","",MAX(I289-K289,0))</x:f>
      </x:c>
      <x:c r="N289" s="16" t="str">
        <x:f>IF(OR(I289="",I289=0),"",MIN(K289/I289,1))</x:f>
      </x:c>
      <x:c r="O289" s="2" t="n">
        <x:f>24-COUNTIFS('Клиентлер'!$T$8:$T$31,1)</x:f>
        <x:v>24</x:v>
      </x:c>
      <x:c r="P289" s="2"/>
      <x:c r="Q289" s="2" t="str">
        <x:v>Ишки</x:v>
      </x:c>
      <x:c r="R289" s="10"/>
      <x:c r="S289" s="2" t="n">
        <x:f>IF(COUNT(I289)=1,1,0)</x:f>
        <x:v>0</x:v>
      </x:c>
    </x:row>
    <x:row r="290" ht="46" customHeight="1">
      <x:c r="A290" s="2" t="n">
        <x:v>283</x:v>
      </x:c>
      <x:c r="B290" s="2"/>
      <x:c r="C290" s="12" t="n">
        <x:v>46443</x:v>
      </x:c>
      <x:c r="D290" s="13" t="str">
        <x:v>Клиентке айлық жуўмақ бериў</x:v>
      </x:c>
      <x:c r="E290" s="14" t="n">
        <x:v>46446</x:v>
      </x:c>
      <x:c r="F290" s="14"/>
      <x:c r="G290" s="2" t="str">
        <x:v>2027-02</x:v>
      </x:c>
      <x:c r="H290" s="2" t="str">
        <x:v>Барлығы</x:v>
      </x:c>
      <x:c r="I290" s="10"/>
      <x:c r="J290" s="10"/>
      <x:c r="K290" s="2" t="n">
        <x:f>SUMIFS('Күнлик есабат'!$F$8:$F$507,'Күнлик есабат'!$C$8:$C$507,A290,'Күнлик есабат'!$L$8:$L$507,0,'Күнлик есабат'!$M$8:$M$507,0)-SUMIFS('Күнлик есабат'!$H$8:$H$507,'Күнлик есабат'!$C$8:$C$507,A290,'Күнлик есабат'!$L$8:$L$507,0,'Күнлик есабат'!$M$8:$M$507,0)</x:f>
        <x:v>0</x:v>
      </x:c>
      <x:c r="L290" s="2" t="n">
        <x:f>SUMIFS('Күнлик есабат'!$G$8:$G$507,'Күнлик есабат'!$C$8:$C$507,A290,'Күнлик есабат'!$L$8:$L$507,0,'Күнлик есабат'!$M$8:$M$507,0)</x:f>
        <x:v>0</x:v>
      </x:c>
      <x:c r="M290" s="2" t="str">
        <x:f>IF(I290="","",MAX(I290-K290,0))</x:f>
      </x:c>
      <x:c r="N290" s="16" t="str">
        <x:f>IF(OR(I290="",I290=0),"",MIN(K290/I290,1))</x:f>
      </x:c>
      <x:c r="O290" s="2" t="n">
        <x:f>24-COUNTIFS('Клиентлер'!$T$8:$T$31,1)</x:f>
        <x:v>24</x:v>
      </x:c>
      <x:c r="P290" s="2"/>
      <x:c r="Q290" s="2" t="str">
        <x:v>Ишки</x:v>
      </x:c>
      <x:c r="R290" s="10"/>
      <x:c r="S290" s="2" t="n">
        <x:f>IF(COUNT(I290)=1,1,0)</x:f>
        <x:v>0</x:v>
      </x:c>
    </x:row>
    <x:row r="291" ht="46" customHeight="1">
      <x:c r="A291" s="2" t="n">
        <x:v>284</x:v>
      </x:c>
      <x:c r="B291" s="2"/>
      <x:c r="C291" s="12" t="n">
        <x:v>46474</x:v>
      </x:c>
      <x:c r="D291" s="13" t="str">
        <x:v>Банк ҳәм касса есабын салыстырыў</x:v>
      </x:c>
      <x:c r="E291" s="14" t="n">
        <x:v>46477</x:v>
      </x:c>
      <x:c r="F291" s="14"/>
      <x:c r="G291" s="2" t="str">
        <x:v>2027-03</x:v>
      </x:c>
      <x:c r="H291" s="2" t="str">
        <x:v>Барлығы</x:v>
      </x:c>
      <x:c r="I291" s="10"/>
      <x:c r="J291" s="10"/>
      <x:c r="K291" s="2" t="n">
        <x:f>SUMIFS('Күнлик есабат'!$F$8:$F$507,'Күнлик есабат'!$C$8:$C$507,A291,'Күнлик есабат'!$L$8:$L$507,0,'Күнлик есабат'!$M$8:$M$507,0)-SUMIFS('Күнлик есабат'!$H$8:$H$507,'Күнлик есабат'!$C$8:$C$507,A291,'Күнлик есабат'!$L$8:$L$507,0,'Күнлик есабат'!$M$8:$M$507,0)</x:f>
        <x:v>0</x:v>
      </x:c>
      <x:c r="L291" s="2" t="n">
        <x:f>SUMIFS('Күнлик есабат'!$G$8:$G$507,'Күнлик есабат'!$C$8:$C$507,A291,'Күнлик есабат'!$L$8:$L$507,0,'Күнлик есабат'!$M$8:$M$507,0)</x:f>
        <x:v>0</x:v>
      </x:c>
      <x:c r="M291" s="2" t="str">
        <x:f>IF(I291="","",MAX(I291-K291,0))</x:f>
      </x:c>
      <x:c r="N291" s="16" t="str">
        <x:f>IF(OR(I291="",I291=0),"",MIN(K291/I291,1))</x:f>
      </x:c>
      <x:c r="O291" s="2" t="n">
        <x:f>24-COUNTIFS('Клиентлер'!$T$8:$T$31,1)</x:f>
        <x:v>24</x:v>
      </x:c>
      <x:c r="P291" s="2"/>
      <x:c r="Q291" s="2" t="str">
        <x:v>Ишки</x:v>
      </x:c>
      <x:c r="R291" s="10"/>
      <x:c r="S291" s="2" t="n">
        <x:f>IF(COUNT(I291)=1,1,0)</x:f>
        <x:v>0</x:v>
      </x:c>
    </x:row>
    <x:row r="292" ht="46" customHeight="1">
      <x:c r="A292" s="2" t="n">
        <x:v>285</x:v>
      </x:c>
      <x:c r="B292" s="2"/>
      <x:c r="C292" s="12" t="n">
        <x:v>46474</x:v>
      </x:c>
      <x:c r="D292" s="13" t="str">
        <x:v>1С ҳүжжетлерин толық киритиў</x:v>
      </x:c>
      <x:c r="E292" s="14" t="n">
        <x:v>46477</x:v>
      </x:c>
      <x:c r="F292" s="14"/>
      <x:c r="G292" s="2" t="str">
        <x:v>2027-03</x:v>
      </x:c>
      <x:c r="H292" s="2" t="str">
        <x:v>Барлығы</x:v>
      </x:c>
      <x:c r="I292" s="10"/>
      <x:c r="J292" s="10"/>
      <x:c r="K292" s="2" t="n">
        <x:f>SUMIFS('Күнлик есабат'!$F$8:$F$507,'Күнлик есабат'!$C$8:$C$507,A292,'Күнлик есабат'!$L$8:$L$507,0,'Күнлик есабат'!$M$8:$M$507,0)-SUMIFS('Күнлик есабат'!$H$8:$H$507,'Күнлик есабат'!$C$8:$C$507,A292,'Күнлик есабат'!$L$8:$L$507,0,'Күнлик есабат'!$M$8:$M$507,0)</x:f>
        <x:v>0</x:v>
      </x:c>
      <x:c r="L292" s="2" t="n">
        <x:f>SUMIFS('Күнлик есабат'!$G$8:$G$507,'Күнлик есабат'!$C$8:$C$507,A292,'Күнлик есабат'!$L$8:$L$507,0,'Күнлик есабат'!$M$8:$M$507,0)</x:f>
        <x:v>0</x:v>
      </x:c>
      <x:c r="M292" s="2" t="str">
        <x:f>IF(I292="","",MAX(I292-K292,0))</x:f>
      </x:c>
      <x:c r="N292" s="16" t="str">
        <x:f>IF(OR(I292="",I292=0),"",MIN(K292/I292,1))</x:f>
      </x:c>
      <x:c r="O292" s="2" t="n">
        <x:f>24-COUNTIFS('Клиентлер'!$T$8:$T$31,1)</x:f>
        <x:v>24</x:v>
      </x:c>
      <x:c r="P292" s="2"/>
      <x:c r="Q292" s="2" t="str">
        <x:v>Ишки</x:v>
      </x:c>
      <x:c r="R292" s="10"/>
      <x:c r="S292" s="2" t="n">
        <x:f>IF(COUNT(I292)=1,1,0)</x:f>
        <x:v>0</x:v>
      </x:c>
    </x:row>
    <x:row r="293" ht="46" customHeight="1">
      <x:c r="A293" s="2" t="n">
        <x:v>286</x:v>
      </x:c>
      <x:c r="B293" s="2"/>
      <x:c r="C293" s="12" t="n">
        <x:v>46474</x:v>
      </x:c>
      <x:c r="D293" s="13" t="str">
        <x:v>ККМ чеклери ҳәм фактураларды салыстырыў</x:v>
      </x:c>
      <x:c r="E293" s="14" t="n">
        <x:v>46477</x:v>
      </x:c>
      <x:c r="F293" s="14"/>
      <x:c r="G293" s="2" t="str">
        <x:v>2027-03</x:v>
      </x:c>
      <x:c r="H293" s="2" t="str">
        <x:v>Барлығы</x:v>
      </x:c>
      <x:c r="I293" s="10"/>
      <x:c r="J293" s="10"/>
      <x:c r="K293" s="2" t="n">
        <x:f>SUMIFS('Күнлик есабат'!$F$8:$F$507,'Күнлик есабат'!$C$8:$C$507,A293,'Күнлик есабат'!$L$8:$L$507,0,'Күнлик есабат'!$M$8:$M$507,0)-SUMIFS('Күнлик есабат'!$H$8:$H$507,'Күнлик есабат'!$C$8:$C$507,A293,'Күнлик есабат'!$L$8:$L$507,0,'Күнлик есабат'!$M$8:$M$507,0)</x:f>
        <x:v>0</x:v>
      </x:c>
      <x:c r="L293" s="2" t="n">
        <x:f>SUMIFS('Күнлик есабат'!$G$8:$G$507,'Күнлик есабат'!$C$8:$C$507,A293,'Күнлик есабат'!$L$8:$L$507,0,'Күнлик есабат'!$M$8:$M$507,0)</x:f>
        <x:v>0</x:v>
      </x:c>
      <x:c r="M293" s="2" t="str">
        <x:f>IF(I293="","",MAX(I293-K293,0))</x:f>
      </x:c>
      <x:c r="N293" s="16" t="str">
        <x:f>IF(OR(I293="",I293=0),"",MIN(K293/I293,1))</x:f>
      </x:c>
      <x:c r="O293" s="2" t="n">
        <x:f>24-COUNTIFS('Клиентлер'!$T$8:$T$31,1)</x:f>
        <x:v>24</x:v>
      </x:c>
      <x:c r="P293" s="2"/>
      <x:c r="Q293" s="2" t="str">
        <x:v>Ишки</x:v>
      </x:c>
      <x:c r="R293" s="10"/>
      <x:c r="S293" s="2" t="n">
        <x:f>IF(COUNT(I293)=1,1,0)</x:f>
        <x:v>0</x:v>
      </x:c>
    </x:row>
    <x:row r="294" ht="46" customHeight="1">
      <x:c r="A294" s="2" t="n">
        <x:v>287</x:v>
      </x:c>
      <x:c r="B294" s="2"/>
      <x:c r="C294" s="12" t="n">
        <x:v>46474</x:v>
      </x:c>
      <x:c r="D294" s="13" t="str">
        <x:v>Қойма кирим-шығымын тексериў</x:v>
      </x:c>
      <x:c r="E294" s="14" t="n">
        <x:v>46477</x:v>
      </x:c>
      <x:c r="F294" s="14"/>
      <x:c r="G294" s="2" t="str">
        <x:v>2027-03</x:v>
      </x:c>
      <x:c r="H294" s="2" t="str">
        <x:v>Барлығы</x:v>
      </x:c>
      <x:c r="I294" s="10"/>
      <x:c r="J294" s="10"/>
      <x:c r="K294" s="2" t="n">
        <x:f>SUMIFS('Күнлик есабат'!$F$8:$F$507,'Күнлик есабат'!$C$8:$C$507,A294,'Күнлик есабат'!$L$8:$L$507,0,'Күнлик есабат'!$M$8:$M$507,0)-SUMIFS('Күнлик есабат'!$H$8:$H$507,'Күнлик есабат'!$C$8:$C$507,A294,'Күнлик есабат'!$L$8:$L$507,0,'Күнлик есабат'!$M$8:$M$507,0)</x:f>
        <x:v>0</x:v>
      </x:c>
      <x:c r="L294" s="2" t="n">
        <x:f>SUMIFS('Күнлик есабат'!$G$8:$G$507,'Күнлик есабат'!$C$8:$C$507,A294,'Күнлик есабат'!$L$8:$L$507,0,'Күнлик есабат'!$M$8:$M$507,0)</x:f>
        <x:v>0</x:v>
      </x:c>
      <x:c r="M294" s="2" t="str">
        <x:f>IF(I294="","",MAX(I294-K294,0))</x:f>
      </x:c>
      <x:c r="N294" s="16" t="str">
        <x:f>IF(OR(I294="",I294=0),"",MIN(K294/I294,1))</x:f>
      </x:c>
      <x:c r="O294" s="2" t="n">
        <x:f>24-COUNTIFS('Клиентлер'!$T$8:$T$31,1)</x:f>
        <x:v>24</x:v>
      </x:c>
      <x:c r="P294" s="2"/>
      <x:c r="Q294" s="2" t="str">
        <x:v>Ишки</x:v>
      </x:c>
      <x:c r="R294" s="10"/>
      <x:c r="S294" s="2" t="n">
        <x:f>IF(COUNT(I294)=1,1,0)</x:f>
        <x:v>0</x:v>
      </x:c>
    </x:row>
    <x:row r="295" ht="46" customHeight="1">
      <x:c r="A295" s="2" t="n">
        <x:v>288</x:v>
      </x:c>
      <x:c r="B295" s="2"/>
      <x:c r="C295" s="12" t="n">
        <x:v>46474</x:v>
      </x:c>
      <x:c r="D295" s="13" t="str">
        <x:v>Дебитор-кредитор қарызларын салыстырыў</x:v>
      </x:c>
      <x:c r="E295" s="14" t="n">
        <x:v>46477</x:v>
      </x:c>
      <x:c r="F295" s="14"/>
      <x:c r="G295" s="2" t="str">
        <x:v>2027-03</x:v>
      </x:c>
      <x:c r="H295" s="2" t="str">
        <x:v>Барлығы</x:v>
      </x:c>
      <x:c r="I295" s="10"/>
      <x:c r="J295" s="10"/>
      <x:c r="K295" s="2" t="n">
        <x:f>SUMIFS('Күнлик есабат'!$F$8:$F$507,'Күнлик есабат'!$C$8:$C$507,A295,'Күнлик есабат'!$L$8:$L$507,0,'Күнлик есабат'!$M$8:$M$507,0)-SUMIFS('Күнлик есабат'!$H$8:$H$507,'Күнлик есабат'!$C$8:$C$507,A295,'Күнлик есабат'!$L$8:$L$507,0,'Күнлик есабат'!$M$8:$M$507,0)</x:f>
        <x:v>0</x:v>
      </x:c>
      <x:c r="L295" s="2" t="n">
        <x:f>SUMIFS('Күнлик есабат'!$G$8:$G$507,'Күнлик есабат'!$C$8:$C$507,A295,'Күнлик есабат'!$L$8:$L$507,0,'Күнлик есабат'!$M$8:$M$507,0)</x:f>
        <x:v>0</x:v>
      </x:c>
      <x:c r="M295" s="2" t="str">
        <x:f>IF(I295="","",MAX(I295-K295,0))</x:f>
      </x:c>
      <x:c r="N295" s="16" t="str">
        <x:f>IF(OR(I295="",I295=0),"",MIN(K295/I295,1))</x:f>
      </x:c>
      <x:c r="O295" s="2" t="n">
        <x:f>24-COUNTIFS('Клиентлер'!$T$8:$T$31,1)</x:f>
        <x:v>24</x:v>
      </x:c>
      <x:c r="P295" s="2"/>
      <x:c r="Q295" s="2" t="str">
        <x:v>Ишки</x:v>
      </x:c>
      <x:c r="R295" s="10"/>
      <x:c r="S295" s="2" t="n">
        <x:f>IF(COUNT(I295)=1,1,0)</x:f>
        <x:v>0</x:v>
      </x:c>
    </x:row>
    <x:row r="296" ht="46" customHeight="1">
      <x:c r="A296" s="2" t="n">
        <x:v>289</x:v>
      </x:c>
      <x:c r="B296" s="2"/>
      <x:c r="C296" s="12" t="n">
        <x:v>46474</x:v>
      </x:c>
      <x:c r="D296" s="13" t="str">
        <x:v>Айлық ҳәм кадр ҳүжжетлерин тексериў</x:v>
      </x:c>
      <x:c r="E296" s="14" t="n">
        <x:v>46477</x:v>
      </x:c>
      <x:c r="F296" s="14"/>
      <x:c r="G296" s="2" t="str">
        <x:v>2027-03</x:v>
      </x:c>
      <x:c r="H296" s="2" t="str">
        <x:v>Барлығы</x:v>
      </x:c>
      <x:c r="I296" s="10"/>
      <x:c r="J296" s="10"/>
      <x:c r="K296" s="2" t="n">
        <x:f>SUMIFS('Күнлик есабат'!$F$8:$F$507,'Күнлик есабат'!$C$8:$C$507,A296,'Күнлик есабат'!$L$8:$L$507,0,'Күнлик есабат'!$M$8:$M$507,0)-SUMIFS('Күнлик есабат'!$H$8:$H$507,'Күнлик есабат'!$C$8:$C$507,A296,'Күнлик есабат'!$L$8:$L$507,0,'Күнлик есабат'!$M$8:$M$507,0)</x:f>
        <x:v>0</x:v>
      </x:c>
      <x:c r="L296" s="2" t="n">
        <x:f>SUMIFS('Күнлик есабат'!$G$8:$G$507,'Күнлик есабат'!$C$8:$C$507,A296,'Күнлик есабат'!$L$8:$L$507,0,'Күнлик есабат'!$M$8:$M$507,0)</x:f>
        <x:v>0</x:v>
      </x:c>
      <x:c r="M296" s="2" t="str">
        <x:f>IF(I296="","",MAX(I296-K296,0))</x:f>
      </x:c>
      <x:c r="N296" s="16" t="str">
        <x:f>IF(OR(I296="",I296=0),"",MIN(K296/I296,1))</x:f>
      </x:c>
      <x:c r="O296" s="2" t="n">
        <x:f>24-COUNTIFS('Клиентлер'!$T$8:$T$31,1)</x:f>
        <x:v>24</x:v>
      </x:c>
      <x:c r="P296" s="2"/>
      <x:c r="Q296" s="2" t="str">
        <x:v>Ишки</x:v>
      </x:c>
      <x:c r="R296" s="10"/>
      <x:c r="S296" s="2" t="n">
        <x:f>IF(COUNT(I296)=1,1,0)</x:f>
        <x:v>0</x:v>
      </x:c>
    </x:row>
    <x:row r="297" ht="46" customHeight="1">
      <x:c r="A297" s="2" t="n">
        <x:v>290</x:v>
      </x:c>
      <x:c r="B297" s="2"/>
      <x:c r="C297" s="12" t="n">
        <x:v>46474</x:v>
      </x:c>
      <x:c r="D297" s="13" t="str">
        <x:v>Клиентке айлық жуўмақ бериў</x:v>
      </x:c>
      <x:c r="E297" s="14" t="n">
        <x:v>46477</x:v>
      </x:c>
      <x:c r="F297" s="14"/>
      <x:c r="G297" s="2" t="str">
        <x:v>2027-03</x:v>
      </x:c>
      <x:c r="H297" s="2" t="str">
        <x:v>Барлығы</x:v>
      </x:c>
      <x:c r="I297" s="10"/>
      <x:c r="J297" s="10"/>
      <x:c r="K297" s="2" t="n">
        <x:f>SUMIFS('Күнлик есабат'!$F$8:$F$507,'Күнлик есабат'!$C$8:$C$507,A297,'Күнлик есабат'!$L$8:$L$507,0,'Күнлик есабат'!$M$8:$M$507,0)-SUMIFS('Күнлик есабат'!$H$8:$H$507,'Күнлик есабат'!$C$8:$C$507,A297,'Күнлик есабат'!$L$8:$L$507,0,'Күнлик есабат'!$M$8:$M$507,0)</x:f>
        <x:v>0</x:v>
      </x:c>
      <x:c r="L297" s="2" t="n">
        <x:f>SUMIFS('Күнлик есабат'!$G$8:$G$507,'Күнлик есабат'!$C$8:$C$507,A297,'Күнлик есабат'!$L$8:$L$507,0,'Күнлик есабат'!$M$8:$M$507,0)</x:f>
        <x:v>0</x:v>
      </x:c>
      <x:c r="M297" s="2" t="str">
        <x:f>IF(I297="","",MAX(I297-K297,0))</x:f>
      </x:c>
      <x:c r="N297" s="16" t="str">
        <x:f>IF(OR(I297="",I297=0),"",MIN(K297/I297,1))</x:f>
      </x:c>
      <x:c r="O297" s="2" t="n">
        <x:f>24-COUNTIFS('Клиентлер'!$T$8:$T$31,1)</x:f>
        <x:v>24</x:v>
      </x:c>
      <x:c r="P297" s="2"/>
      <x:c r="Q297" s="2" t="str">
        <x:v>Ишки</x:v>
      </x:c>
      <x:c r="R297" s="10"/>
      <x:c r="S297" s="2" t="n">
        <x:f>IF(COUNT(I297)=1,1,0)</x:f>
        <x:v>0</x:v>
      </x:c>
    </x:row>
    <x:row r="298" ht="46" customHeight="1">
      <x:c r="A298" s="2" t="n">
        <x:v>291</x:v>
      </x:c>
      <x:c r="B298" s="2"/>
      <x:c r="C298" s="12" t="n">
        <x:v>46504</x:v>
      </x:c>
      <x:c r="D298" s="13" t="str">
        <x:v>Банк ҳәм касса есабын салыстырыў</x:v>
      </x:c>
      <x:c r="E298" s="14" t="n">
        <x:v>46507</x:v>
      </x:c>
      <x:c r="F298" s="14"/>
      <x:c r="G298" s="2" t="str">
        <x:v>2027-04</x:v>
      </x:c>
      <x:c r="H298" s="2" t="str">
        <x:v>Барлығы</x:v>
      </x:c>
      <x:c r="I298" s="10"/>
      <x:c r="J298" s="10"/>
      <x:c r="K298" s="2" t="n">
        <x:f>SUMIFS('Күнлик есабат'!$F$8:$F$507,'Күнлик есабат'!$C$8:$C$507,A298,'Күнлик есабат'!$L$8:$L$507,0,'Күнлик есабат'!$M$8:$M$507,0)-SUMIFS('Күнлик есабат'!$H$8:$H$507,'Күнлик есабат'!$C$8:$C$507,A298,'Күнлик есабат'!$L$8:$L$507,0,'Күнлик есабат'!$M$8:$M$507,0)</x:f>
        <x:v>0</x:v>
      </x:c>
      <x:c r="L298" s="2" t="n">
        <x:f>SUMIFS('Күнлик есабат'!$G$8:$G$507,'Күнлик есабат'!$C$8:$C$507,A298,'Күнлик есабат'!$L$8:$L$507,0,'Күнлик есабат'!$M$8:$M$507,0)</x:f>
        <x:v>0</x:v>
      </x:c>
      <x:c r="M298" s="2" t="str">
        <x:f>IF(I298="","",MAX(I298-K298,0))</x:f>
      </x:c>
      <x:c r="N298" s="16" t="str">
        <x:f>IF(OR(I298="",I298=0),"",MIN(K298/I298,1))</x:f>
      </x:c>
      <x:c r="O298" s="2" t="n">
        <x:f>24-COUNTIFS('Клиентлер'!$T$8:$T$31,1)</x:f>
        <x:v>24</x:v>
      </x:c>
      <x:c r="P298" s="2"/>
      <x:c r="Q298" s="2" t="str">
        <x:v>Ишки</x:v>
      </x:c>
      <x:c r="R298" s="10"/>
      <x:c r="S298" s="2" t="n">
        <x:f>IF(COUNT(I298)=1,1,0)</x:f>
        <x:v>0</x:v>
      </x:c>
    </x:row>
    <x:row r="299" ht="46" customHeight="1">
      <x:c r="A299" s="2" t="n">
        <x:v>292</x:v>
      </x:c>
      <x:c r="B299" s="2"/>
      <x:c r="C299" s="12" t="n">
        <x:v>46504</x:v>
      </x:c>
      <x:c r="D299" s="13" t="str">
        <x:v>1С ҳүжжетлерин толық киритиў</x:v>
      </x:c>
      <x:c r="E299" s="14" t="n">
        <x:v>46507</x:v>
      </x:c>
      <x:c r="F299" s="14"/>
      <x:c r="G299" s="2" t="str">
        <x:v>2027-04</x:v>
      </x:c>
      <x:c r="H299" s="2" t="str">
        <x:v>Барлығы</x:v>
      </x:c>
      <x:c r="I299" s="10"/>
      <x:c r="J299" s="10"/>
      <x:c r="K299" s="2" t="n">
        <x:f>SUMIFS('Күнлик есабат'!$F$8:$F$507,'Күнлик есабат'!$C$8:$C$507,A299,'Күнлик есабат'!$L$8:$L$507,0,'Күнлик есабат'!$M$8:$M$507,0)-SUMIFS('Күнлик есабат'!$H$8:$H$507,'Күнлик есабат'!$C$8:$C$507,A299,'Күнлик есабат'!$L$8:$L$507,0,'Күнлик есабат'!$M$8:$M$507,0)</x:f>
        <x:v>0</x:v>
      </x:c>
      <x:c r="L299" s="2" t="n">
        <x:f>SUMIFS('Күнлик есабат'!$G$8:$G$507,'Күнлик есабат'!$C$8:$C$507,A299,'Күнлик есабат'!$L$8:$L$507,0,'Күнлик есабат'!$M$8:$M$507,0)</x:f>
        <x:v>0</x:v>
      </x:c>
      <x:c r="M299" s="2" t="str">
        <x:f>IF(I299="","",MAX(I299-K299,0))</x:f>
      </x:c>
      <x:c r="N299" s="16" t="str">
        <x:f>IF(OR(I299="",I299=0),"",MIN(K299/I299,1))</x:f>
      </x:c>
      <x:c r="O299" s="2" t="n">
        <x:f>24-COUNTIFS('Клиентлер'!$T$8:$T$31,1)</x:f>
        <x:v>24</x:v>
      </x:c>
      <x:c r="P299" s="2"/>
      <x:c r="Q299" s="2" t="str">
        <x:v>Ишки</x:v>
      </x:c>
      <x:c r="R299" s="10"/>
      <x:c r="S299" s="2" t="n">
        <x:f>IF(COUNT(I299)=1,1,0)</x:f>
        <x:v>0</x:v>
      </x:c>
    </x:row>
    <x:row r="300" ht="46" customHeight="1">
      <x:c r="A300" s="2" t="n">
        <x:v>293</x:v>
      </x:c>
      <x:c r="B300" s="2"/>
      <x:c r="C300" s="12" t="n">
        <x:v>46504</x:v>
      </x:c>
      <x:c r="D300" s="13" t="str">
        <x:v>ККМ чеклери ҳәм фактураларды салыстырыў</x:v>
      </x:c>
      <x:c r="E300" s="14" t="n">
        <x:v>46507</x:v>
      </x:c>
      <x:c r="F300" s="14"/>
      <x:c r="G300" s="2" t="str">
        <x:v>2027-04</x:v>
      </x:c>
      <x:c r="H300" s="2" t="str">
        <x:v>Барлығы</x:v>
      </x:c>
      <x:c r="I300" s="10"/>
      <x:c r="J300" s="10"/>
      <x:c r="K300" s="2" t="n">
        <x:f>SUMIFS('Күнлик есабат'!$F$8:$F$507,'Күнлик есабат'!$C$8:$C$507,A300,'Күнлик есабат'!$L$8:$L$507,0,'Күнлик есабат'!$M$8:$M$507,0)-SUMIFS('Күнлик есабат'!$H$8:$H$507,'Күнлик есабат'!$C$8:$C$507,A300,'Күнлик есабат'!$L$8:$L$507,0,'Күнлик есабат'!$M$8:$M$507,0)</x:f>
        <x:v>0</x:v>
      </x:c>
      <x:c r="L300" s="2" t="n">
        <x:f>SUMIFS('Күнлик есабат'!$G$8:$G$507,'Күнлик есабат'!$C$8:$C$507,A300,'Күнлик есабат'!$L$8:$L$507,0,'Күнлик есабат'!$M$8:$M$507,0)</x:f>
        <x:v>0</x:v>
      </x:c>
      <x:c r="M300" s="2" t="str">
        <x:f>IF(I300="","",MAX(I300-K300,0))</x:f>
      </x:c>
      <x:c r="N300" s="16" t="str">
        <x:f>IF(OR(I300="",I300=0),"",MIN(K300/I300,1))</x:f>
      </x:c>
      <x:c r="O300" s="2" t="n">
        <x:f>24-COUNTIFS('Клиентлер'!$T$8:$T$31,1)</x:f>
        <x:v>24</x:v>
      </x:c>
      <x:c r="P300" s="2"/>
      <x:c r="Q300" s="2" t="str">
        <x:v>Ишки</x:v>
      </x:c>
      <x:c r="R300" s="10"/>
      <x:c r="S300" s="2" t="n">
        <x:f>IF(COUNT(I300)=1,1,0)</x:f>
        <x:v>0</x:v>
      </x:c>
    </x:row>
    <x:row r="301" ht="46" customHeight="1">
      <x:c r="A301" s="2" t="n">
        <x:v>294</x:v>
      </x:c>
      <x:c r="B301" s="2"/>
      <x:c r="C301" s="12" t="n">
        <x:v>46504</x:v>
      </x:c>
      <x:c r="D301" s="13" t="str">
        <x:v>Қойма кирим-шығымын тексериў</x:v>
      </x:c>
      <x:c r="E301" s="14" t="n">
        <x:v>46507</x:v>
      </x:c>
      <x:c r="F301" s="14"/>
      <x:c r="G301" s="2" t="str">
        <x:v>2027-04</x:v>
      </x:c>
      <x:c r="H301" s="2" t="str">
        <x:v>Барлығы</x:v>
      </x:c>
      <x:c r="I301" s="10"/>
      <x:c r="J301" s="10"/>
      <x:c r="K301" s="2" t="n">
        <x:f>SUMIFS('Күнлик есабат'!$F$8:$F$507,'Күнлик есабат'!$C$8:$C$507,A301,'Күнлик есабат'!$L$8:$L$507,0,'Күнлик есабат'!$M$8:$M$507,0)-SUMIFS('Күнлик есабат'!$H$8:$H$507,'Күнлик есабат'!$C$8:$C$507,A301,'Күнлик есабат'!$L$8:$L$507,0,'Күнлик есабат'!$M$8:$M$507,0)</x:f>
        <x:v>0</x:v>
      </x:c>
      <x:c r="L301" s="2" t="n">
        <x:f>SUMIFS('Күнлик есабат'!$G$8:$G$507,'Күнлик есабат'!$C$8:$C$507,A301,'Күнлик есабат'!$L$8:$L$507,0,'Күнлик есабат'!$M$8:$M$507,0)</x:f>
        <x:v>0</x:v>
      </x:c>
      <x:c r="M301" s="2" t="str">
        <x:f>IF(I301="","",MAX(I301-K301,0))</x:f>
      </x:c>
      <x:c r="N301" s="16" t="str">
        <x:f>IF(OR(I301="",I301=0),"",MIN(K301/I301,1))</x:f>
      </x:c>
      <x:c r="O301" s="2" t="n">
        <x:f>24-COUNTIFS('Клиентлер'!$T$8:$T$31,1)</x:f>
        <x:v>24</x:v>
      </x:c>
      <x:c r="P301" s="2"/>
      <x:c r="Q301" s="2" t="str">
        <x:v>Ишки</x:v>
      </x:c>
      <x:c r="R301" s="10"/>
      <x:c r="S301" s="2" t="n">
        <x:f>IF(COUNT(I301)=1,1,0)</x:f>
        <x:v>0</x:v>
      </x:c>
    </x:row>
    <x:row r="302" ht="46" customHeight="1">
      <x:c r="A302" s="2" t="n">
        <x:v>295</x:v>
      </x:c>
      <x:c r="B302" s="2"/>
      <x:c r="C302" s="12" t="n">
        <x:v>46504</x:v>
      </x:c>
      <x:c r="D302" s="13" t="str">
        <x:v>Дебитор-кредитор қарызларын салыстырыў</x:v>
      </x:c>
      <x:c r="E302" s="14" t="n">
        <x:v>46507</x:v>
      </x:c>
      <x:c r="F302" s="14"/>
      <x:c r="G302" s="2" t="str">
        <x:v>2027-04</x:v>
      </x:c>
      <x:c r="H302" s="2" t="str">
        <x:v>Барлығы</x:v>
      </x:c>
      <x:c r="I302" s="10"/>
      <x:c r="J302" s="10"/>
      <x:c r="K302" s="2" t="n">
        <x:f>SUMIFS('Күнлик есабат'!$F$8:$F$507,'Күнлик есабат'!$C$8:$C$507,A302,'Күнлик есабат'!$L$8:$L$507,0,'Күнлик есабат'!$M$8:$M$507,0)-SUMIFS('Күнлик есабат'!$H$8:$H$507,'Күнлик есабат'!$C$8:$C$507,A302,'Күнлик есабат'!$L$8:$L$507,0,'Күнлик есабат'!$M$8:$M$507,0)</x:f>
        <x:v>0</x:v>
      </x:c>
      <x:c r="L302" s="2" t="n">
        <x:f>SUMIFS('Күнлик есабат'!$G$8:$G$507,'Күнлик есабат'!$C$8:$C$507,A302,'Күнлик есабат'!$L$8:$L$507,0,'Күнлик есабат'!$M$8:$M$507,0)</x:f>
        <x:v>0</x:v>
      </x:c>
      <x:c r="M302" s="2" t="str">
        <x:f>IF(I302="","",MAX(I302-K302,0))</x:f>
      </x:c>
      <x:c r="N302" s="16" t="str">
        <x:f>IF(OR(I302="",I302=0),"",MIN(K302/I302,1))</x:f>
      </x:c>
      <x:c r="O302" s="2" t="n">
        <x:f>24-COUNTIFS('Клиентлер'!$T$8:$T$31,1)</x:f>
        <x:v>24</x:v>
      </x:c>
      <x:c r="P302" s="2"/>
      <x:c r="Q302" s="2" t="str">
        <x:v>Ишки</x:v>
      </x:c>
      <x:c r="R302" s="10"/>
      <x:c r="S302" s="2" t="n">
        <x:f>IF(COUNT(I302)=1,1,0)</x:f>
        <x:v>0</x:v>
      </x:c>
    </x:row>
    <x:row r="303" ht="46" customHeight="1">
      <x:c r="A303" s="2" t="n">
        <x:v>296</x:v>
      </x:c>
      <x:c r="B303" s="2"/>
      <x:c r="C303" s="12" t="n">
        <x:v>46504</x:v>
      </x:c>
      <x:c r="D303" s="13" t="str">
        <x:v>Айлық ҳәм кадр ҳүжжетлерин тексериў</x:v>
      </x:c>
      <x:c r="E303" s="14" t="n">
        <x:v>46507</x:v>
      </x:c>
      <x:c r="F303" s="14"/>
      <x:c r="G303" s="2" t="str">
        <x:v>2027-04</x:v>
      </x:c>
      <x:c r="H303" s="2" t="str">
        <x:v>Барлығы</x:v>
      </x:c>
      <x:c r="I303" s="10"/>
      <x:c r="J303" s="10"/>
      <x:c r="K303" s="2" t="n">
        <x:f>SUMIFS('Күнлик есабат'!$F$8:$F$507,'Күнлик есабат'!$C$8:$C$507,A303,'Күнлик есабат'!$L$8:$L$507,0,'Күнлик есабат'!$M$8:$M$507,0)-SUMIFS('Күнлик есабат'!$H$8:$H$507,'Күнлик есабат'!$C$8:$C$507,A303,'Күнлик есабат'!$L$8:$L$507,0,'Күнлик есабат'!$M$8:$M$507,0)</x:f>
        <x:v>0</x:v>
      </x:c>
      <x:c r="L303" s="2" t="n">
        <x:f>SUMIFS('Күнлик есабат'!$G$8:$G$507,'Күнлик есабат'!$C$8:$C$507,A303,'Күнлик есабат'!$L$8:$L$507,0,'Күнлик есабат'!$M$8:$M$507,0)</x:f>
        <x:v>0</x:v>
      </x:c>
      <x:c r="M303" s="2" t="str">
        <x:f>IF(I303="","",MAX(I303-K303,0))</x:f>
      </x:c>
      <x:c r="N303" s="16" t="str">
        <x:f>IF(OR(I303="",I303=0),"",MIN(K303/I303,1))</x:f>
      </x:c>
      <x:c r="O303" s="2" t="n">
        <x:f>24-COUNTIFS('Клиентлер'!$T$8:$T$31,1)</x:f>
        <x:v>24</x:v>
      </x:c>
      <x:c r="P303" s="2"/>
      <x:c r="Q303" s="2" t="str">
        <x:v>Ишки</x:v>
      </x:c>
      <x:c r="R303" s="10"/>
      <x:c r="S303" s="2" t="n">
        <x:f>IF(COUNT(I303)=1,1,0)</x:f>
        <x:v>0</x:v>
      </x:c>
    </x:row>
    <x:row r="304" ht="46" customHeight="1">
      <x:c r="A304" s="2" t="n">
        <x:v>297</x:v>
      </x:c>
      <x:c r="B304" s="2"/>
      <x:c r="C304" s="12" t="n">
        <x:v>46504</x:v>
      </x:c>
      <x:c r="D304" s="13" t="str">
        <x:v>Клиентке айлық жуўмақ бериў</x:v>
      </x:c>
      <x:c r="E304" s="14" t="n">
        <x:v>46507</x:v>
      </x:c>
      <x:c r="F304" s="14"/>
      <x:c r="G304" s="2" t="str">
        <x:v>2027-04</x:v>
      </x:c>
      <x:c r="H304" s="2" t="str">
        <x:v>Барлығы</x:v>
      </x:c>
      <x:c r="I304" s="10"/>
      <x:c r="J304" s="10"/>
      <x:c r="K304" s="2" t="n">
        <x:f>SUMIFS('Күнлик есабат'!$F$8:$F$507,'Күнлик есабат'!$C$8:$C$507,A304,'Күнлик есабат'!$L$8:$L$507,0,'Күнлик есабат'!$M$8:$M$507,0)-SUMIFS('Күнлик есабат'!$H$8:$H$507,'Күнлик есабат'!$C$8:$C$507,A304,'Күнлик есабат'!$L$8:$L$507,0,'Күнлик есабат'!$M$8:$M$507,0)</x:f>
        <x:v>0</x:v>
      </x:c>
      <x:c r="L304" s="2" t="n">
        <x:f>SUMIFS('Күнлик есабат'!$G$8:$G$507,'Күнлик есабат'!$C$8:$C$507,A304,'Күнлик есабат'!$L$8:$L$507,0,'Күнлик есабат'!$M$8:$M$507,0)</x:f>
        <x:v>0</x:v>
      </x:c>
      <x:c r="M304" s="2" t="str">
        <x:f>IF(I304="","",MAX(I304-K304,0))</x:f>
      </x:c>
      <x:c r="N304" s="16" t="str">
        <x:f>IF(OR(I304="",I304=0),"",MIN(K304/I304,1))</x:f>
      </x:c>
      <x:c r="O304" s="2" t="n">
        <x:f>24-COUNTIFS('Клиентлер'!$T$8:$T$31,1)</x:f>
        <x:v>24</x:v>
      </x:c>
      <x:c r="P304" s="2"/>
      <x:c r="Q304" s="2" t="str">
        <x:v>Ишки</x:v>
      </x:c>
      <x:c r="R304" s="10"/>
      <x:c r="S304" s="2" t="n">
        <x:f>IF(COUNT(I304)=1,1,0)</x:f>
        <x:v>0</x:v>
      </x:c>
    </x:row>
    <x:row r="305" ht="46" customHeight="1">
      <x:c r="A305" s="2" t="n">
        <x:v>298</x:v>
      </x:c>
      <x:c r="B305" s="2"/>
      <x:c r="C305" s="12" t="n">
        <x:v>46535</x:v>
      </x:c>
      <x:c r="D305" s="13" t="str">
        <x:v>Банк ҳәм касса есабын салыстырыў</x:v>
      </x:c>
      <x:c r="E305" s="14" t="n">
        <x:v>46538</x:v>
      </x:c>
      <x:c r="F305" s="14"/>
      <x:c r="G305" s="2" t="str">
        <x:v>2027-05</x:v>
      </x:c>
      <x:c r="H305" s="2" t="str">
        <x:v>Барлығы</x:v>
      </x:c>
      <x:c r="I305" s="10"/>
      <x:c r="J305" s="10"/>
      <x:c r="K305" s="2" t="n">
        <x:f>SUMIFS('Күнлик есабат'!$F$8:$F$507,'Күнлик есабат'!$C$8:$C$507,A305,'Күнлик есабат'!$L$8:$L$507,0,'Күнлик есабат'!$M$8:$M$507,0)-SUMIFS('Күнлик есабат'!$H$8:$H$507,'Күнлик есабат'!$C$8:$C$507,A305,'Күнлик есабат'!$L$8:$L$507,0,'Күнлик есабат'!$M$8:$M$507,0)</x:f>
        <x:v>0</x:v>
      </x:c>
      <x:c r="L305" s="2" t="n">
        <x:f>SUMIFS('Күнлик есабат'!$G$8:$G$507,'Күнлик есабат'!$C$8:$C$507,A305,'Күнлик есабат'!$L$8:$L$507,0,'Күнлик есабат'!$M$8:$M$507,0)</x:f>
        <x:v>0</x:v>
      </x:c>
      <x:c r="M305" s="2" t="str">
        <x:f>IF(I305="","",MAX(I305-K305,0))</x:f>
      </x:c>
      <x:c r="N305" s="16" t="str">
        <x:f>IF(OR(I305="",I305=0),"",MIN(K305/I305,1))</x:f>
      </x:c>
      <x:c r="O305" s="2" t="n">
        <x:f>24-COUNTIFS('Клиентлер'!$T$8:$T$31,1)</x:f>
        <x:v>24</x:v>
      </x:c>
      <x:c r="P305" s="2"/>
      <x:c r="Q305" s="2" t="str">
        <x:v>Ишки</x:v>
      </x:c>
      <x:c r="R305" s="10"/>
      <x:c r="S305" s="2" t="n">
        <x:f>IF(COUNT(I305)=1,1,0)</x:f>
        <x:v>0</x:v>
      </x:c>
    </x:row>
    <x:row r="306" ht="46" customHeight="1">
      <x:c r="A306" s="2" t="n">
        <x:v>299</x:v>
      </x:c>
      <x:c r="B306" s="2"/>
      <x:c r="C306" s="12" t="n">
        <x:v>46535</x:v>
      </x:c>
      <x:c r="D306" s="13" t="str">
        <x:v>1С ҳүжжетлерин толық киритиў</x:v>
      </x:c>
      <x:c r="E306" s="14" t="n">
        <x:v>46538</x:v>
      </x:c>
      <x:c r="F306" s="14"/>
      <x:c r="G306" s="2" t="str">
        <x:v>2027-05</x:v>
      </x:c>
      <x:c r="H306" s="2" t="str">
        <x:v>Барлығы</x:v>
      </x:c>
      <x:c r="I306" s="10"/>
      <x:c r="J306" s="10"/>
      <x:c r="K306" s="2" t="n">
        <x:f>SUMIFS('Күнлик есабат'!$F$8:$F$507,'Күнлик есабат'!$C$8:$C$507,A306,'Күнлик есабат'!$L$8:$L$507,0,'Күнлик есабат'!$M$8:$M$507,0)-SUMIFS('Күнлик есабат'!$H$8:$H$507,'Күнлик есабат'!$C$8:$C$507,A306,'Күнлик есабат'!$L$8:$L$507,0,'Күнлик есабат'!$M$8:$M$507,0)</x:f>
        <x:v>0</x:v>
      </x:c>
      <x:c r="L306" s="2" t="n">
        <x:f>SUMIFS('Күнлик есабат'!$G$8:$G$507,'Күнлик есабат'!$C$8:$C$507,A306,'Күнлик есабат'!$L$8:$L$507,0,'Күнлик есабат'!$M$8:$M$507,0)</x:f>
        <x:v>0</x:v>
      </x:c>
      <x:c r="M306" s="2" t="str">
        <x:f>IF(I306="","",MAX(I306-K306,0))</x:f>
      </x:c>
      <x:c r="N306" s="16" t="str">
        <x:f>IF(OR(I306="",I306=0),"",MIN(K306/I306,1))</x:f>
      </x:c>
      <x:c r="O306" s="2" t="n">
        <x:f>24-COUNTIFS('Клиентлер'!$T$8:$T$31,1)</x:f>
        <x:v>24</x:v>
      </x:c>
      <x:c r="P306" s="2"/>
      <x:c r="Q306" s="2" t="str">
        <x:v>Ишки</x:v>
      </x:c>
      <x:c r="R306" s="10"/>
      <x:c r="S306" s="2" t="n">
        <x:f>IF(COUNT(I306)=1,1,0)</x:f>
        <x:v>0</x:v>
      </x:c>
    </x:row>
    <x:row r="307" ht="46" customHeight="1">
      <x:c r="A307" s="2" t="n">
        <x:v>300</x:v>
      </x:c>
      <x:c r="B307" s="2"/>
      <x:c r="C307" s="12" t="n">
        <x:v>46535</x:v>
      </x:c>
      <x:c r="D307" s="13" t="str">
        <x:v>ККМ чеклери ҳәм фактураларды салыстырыў</x:v>
      </x:c>
      <x:c r="E307" s="14" t="n">
        <x:v>46538</x:v>
      </x:c>
      <x:c r="F307" s="14"/>
      <x:c r="G307" s="2" t="str">
        <x:v>2027-05</x:v>
      </x:c>
      <x:c r="H307" s="2" t="str">
        <x:v>Барлығы</x:v>
      </x:c>
      <x:c r="I307" s="10"/>
      <x:c r="J307" s="10"/>
      <x:c r="K307" s="2" t="n">
        <x:f>SUMIFS('Күнлик есабат'!$F$8:$F$507,'Күнлик есабат'!$C$8:$C$507,A307,'Күнлик есабат'!$L$8:$L$507,0,'Күнлик есабат'!$M$8:$M$507,0)-SUMIFS('Күнлик есабат'!$H$8:$H$507,'Күнлик есабат'!$C$8:$C$507,A307,'Күнлик есабат'!$L$8:$L$507,0,'Күнлик есабат'!$M$8:$M$507,0)</x:f>
        <x:v>0</x:v>
      </x:c>
      <x:c r="L307" s="2" t="n">
        <x:f>SUMIFS('Күнлик есабат'!$G$8:$G$507,'Күнлик есабат'!$C$8:$C$507,A307,'Күнлик есабат'!$L$8:$L$507,0,'Күнлик есабат'!$M$8:$M$507,0)</x:f>
        <x:v>0</x:v>
      </x:c>
      <x:c r="M307" s="2" t="str">
        <x:f>IF(I307="","",MAX(I307-K307,0))</x:f>
      </x:c>
      <x:c r="N307" s="16" t="str">
        <x:f>IF(OR(I307="",I307=0),"",MIN(K307/I307,1))</x:f>
      </x:c>
      <x:c r="O307" s="2" t="n">
        <x:f>24-COUNTIFS('Клиентлер'!$T$8:$T$31,1)</x:f>
        <x:v>24</x:v>
      </x:c>
      <x:c r="P307" s="2"/>
      <x:c r="Q307" s="2" t="str">
        <x:v>Ишки</x:v>
      </x:c>
      <x:c r="R307" s="10"/>
      <x:c r="S307" s="2" t="n">
        <x:f>IF(COUNT(I307)=1,1,0)</x:f>
        <x:v>0</x:v>
      </x:c>
    </x:row>
    <x:row r="308" ht="46" customHeight="1">
      <x:c r="A308" s="2" t="n">
        <x:v>301</x:v>
      </x:c>
      <x:c r="B308" s="2"/>
      <x:c r="C308" s="12" t="n">
        <x:v>46535</x:v>
      </x:c>
      <x:c r="D308" s="13" t="str">
        <x:v>Қойма кирим-шығымын тексериў</x:v>
      </x:c>
      <x:c r="E308" s="14" t="n">
        <x:v>46538</x:v>
      </x:c>
      <x:c r="F308" s="14"/>
      <x:c r="G308" s="2" t="str">
        <x:v>2027-05</x:v>
      </x:c>
      <x:c r="H308" s="2" t="str">
        <x:v>Барлығы</x:v>
      </x:c>
      <x:c r="I308" s="10"/>
      <x:c r="J308" s="10"/>
      <x:c r="K308" s="2" t="n">
        <x:f>SUMIFS('Күнлик есабат'!$F$8:$F$507,'Күнлик есабат'!$C$8:$C$507,A308,'Күнлик есабат'!$L$8:$L$507,0,'Күнлик есабат'!$M$8:$M$507,0)-SUMIFS('Күнлик есабат'!$H$8:$H$507,'Күнлик есабат'!$C$8:$C$507,A308,'Күнлик есабат'!$L$8:$L$507,0,'Күнлик есабат'!$M$8:$M$507,0)</x:f>
        <x:v>0</x:v>
      </x:c>
      <x:c r="L308" s="2" t="n">
        <x:f>SUMIFS('Күнлик есабат'!$G$8:$G$507,'Күнлик есабат'!$C$8:$C$507,A308,'Күнлик есабат'!$L$8:$L$507,0,'Күнлик есабат'!$M$8:$M$507,0)</x:f>
        <x:v>0</x:v>
      </x:c>
      <x:c r="M308" s="2" t="str">
        <x:f>IF(I308="","",MAX(I308-K308,0))</x:f>
      </x:c>
      <x:c r="N308" s="16" t="str">
        <x:f>IF(OR(I308="",I308=0),"",MIN(K308/I308,1))</x:f>
      </x:c>
      <x:c r="O308" s="2" t="n">
        <x:f>24-COUNTIFS('Клиентлер'!$T$8:$T$31,1)</x:f>
        <x:v>24</x:v>
      </x:c>
      <x:c r="P308" s="2"/>
      <x:c r="Q308" s="2" t="str">
        <x:v>Ишки</x:v>
      </x:c>
      <x:c r="R308" s="10"/>
      <x:c r="S308" s="2" t="n">
        <x:f>IF(COUNT(I308)=1,1,0)</x:f>
        <x:v>0</x:v>
      </x:c>
    </x:row>
    <x:row r="309" ht="46" customHeight="1">
      <x:c r="A309" s="2" t="n">
        <x:v>302</x:v>
      </x:c>
      <x:c r="B309" s="2"/>
      <x:c r="C309" s="12" t="n">
        <x:v>46535</x:v>
      </x:c>
      <x:c r="D309" s="13" t="str">
        <x:v>Дебитор-кредитор қарызларын салыстырыў</x:v>
      </x:c>
      <x:c r="E309" s="14" t="n">
        <x:v>46538</x:v>
      </x:c>
      <x:c r="F309" s="14"/>
      <x:c r="G309" s="2" t="str">
        <x:v>2027-05</x:v>
      </x:c>
      <x:c r="H309" s="2" t="str">
        <x:v>Барлығы</x:v>
      </x:c>
      <x:c r="I309" s="10"/>
      <x:c r="J309" s="10"/>
      <x:c r="K309" s="2" t="n">
        <x:f>SUMIFS('Күнлик есабат'!$F$8:$F$507,'Күнлик есабат'!$C$8:$C$507,A309,'Күнлик есабат'!$L$8:$L$507,0,'Күнлик есабат'!$M$8:$M$507,0)-SUMIFS('Күнлик есабат'!$H$8:$H$507,'Күнлик есабат'!$C$8:$C$507,A309,'Күнлик есабат'!$L$8:$L$507,0,'Күнлик есабат'!$M$8:$M$507,0)</x:f>
        <x:v>0</x:v>
      </x:c>
      <x:c r="L309" s="2" t="n">
        <x:f>SUMIFS('Күнлик есабат'!$G$8:$G$507,'Күнлик есабат'!$C$8:$C$507,A309,'Күнлик есабат'!$L$8:$L$507,0,'Күнлик есабат'!$M$8:$M$507,0)</x:f>
        <x:v>0</x:v>
      </x:c>
      <x:c r="M309" s="2" t="str">
        <x:f>IF(I309="","",MAX(I309-K309,0))</x:f>
      </x:c>
      <x:c r="N309" s="16" t="str">
        <x:f>IF(OR(I309="",I309=0),"",MIN(K309/I309,1))</x:f>
      </x:c>
      <x:c r="O309" s="2" t="n">
        <x:f>24-COUNTIFS('Клиентлер'!$T$8:$T$31,1)</x:f>
        <x:v>24</x:v>
      </x:c>
      <x:c r="P309" s="2"/>
      <x:c r="Q309" s="2" t="str">
        <x:v>Ишки</x:v>
      </x:c>
      <x:c r="R309" s="10"/>
      <x:c r="S309" s="2" t="n">
        <x:f>IF(COUNT(I309)=1,1,0)</x:f>
        <x:v>0</x:v>
      </x:c>
    </x:row>
    <x:row r="310" ht="46" customHeight="1">
      <x:c r="A310" s="2" t="n">
        <x:v>303</x:v>
      </x:c>
      <x:c r="B310" s="2"/>
      <x:c r="C310" s="12" t="n">
        <x:v>46535</x:v>
      </x:c>
      <x:c r="D310" s="13" t="str">
        <x:v>Айлық ҳәм кадр ҳүжжетлерин тексериў</x:v>
      </x:c>
      <x:c r="E310" s="14" t="n">
        <x:v>46538</x:v>
      </x:c>
      <x:c r="F310" s="14"/>
      <x:c r="G310" s="2" t="str">
        <x:v>2027-05</x:v>
      </x:c>
      <x:c r="H310" s="2" t="str">
        <x:v>Барлығы</x:v>
      </x:c>
      <x:c r="I310" s="10"/>
      <x:c r="J310" s="10"/>
      <x:c r="K310" s="2" t="n">
        <x:f>SUMIFS('Күнлик есабат'!$F$8:$F$507,'Күнлик есабат'!$C$8:$C$507,A310,'Күнлик есабат'!$L$8:$L$507,0,'Күнлик есабат'!$M$8:$M$507,0)-SUMIFS('Күнлик есабат'!$H$8:$H$507,'Күнлик есабат'!$C$8:$C$507,A310,'Күнлик есабат'!$L$8:$L$507,0,'Күнлик есабат'!$M$8:$M$507,0)</x:f>
        <x:v>0</x:v>
      </x:c>
      <x:c r="L310" s="2" t="n">
        <x:f>SUMIFS('Күнлик есабат'!$G$8:$G$507,'Күнлик есабат'!$C$8:$C$507,A310,'Күнлик есабат'!$L$8:$L$507,0,'Күнлик есабат'!$M$8:$M$507,0)</x:f>
        <x:v>0</x:v>
      </x:c>
      <x:c r="M310" s="2" t="str">
        <x:f>IF(I310="","",MAX(I310-K310,0))</x:f>
      </x:c>
      <x:c r="N310" s="16" t="str">
        <x:f>IF(OR(I310="",I310=0),"",MIN(K310/I310,1))</x:f>
      </x:c>
      <x:c r="O310" s="2" t="n">
        <x:f>24-COUNTIFS('Клиентлер'!$T$8:$T$31,1)</x:f>
        <x:v>24</x:v>
      </x:c>
      <x:c r="P310" s="2"/>
      <x:c r="Q310" s="2" t="str">
        <x:v>Ишки</x:v>
      </x:c>
      <x:c r="R310" s="10"/>
      <x:c r="S310" s="2" t="n">
        <x:f>IF(COUNT(I310)=1,1,0)</x:f>
        <x:v>0</x:v>
      </x:c>
    </x:row>
    <x:row r="311" ht="46" customHeight="1">
      <x:c r="A311" s="2" t="n">
        <x:v>304</x:v>
      </x:c>
      <x:c r="B311" s="2"/>
      <x:c r="C311" s="12" t="n">
        <x:v>46535</x:v>
      </x:c>
      <x:c r="D311" s="13" t="str">
        <x:v>Клиентке айлық жуўмақ бериў</x:v>
      </x:c>
      <x:c r="E311" s="14" t="n">
        <x:v>46538</x:v>
      </x:c>
      <x:c r="F311" s="14"/>
      <x:c r="G311" s="2" t="str">
        <x:v>2027-05</x:v>
      </x:c>
      <x:c r="H311" s="2" t="str">
        <x:v>Барлығы</x:v>
      </x:c>
      <x:c r="I311" s="10"/>
      <x:c r="J311" s="10"/>
      <x:c r="K311" s="2" t="n">
        <x:f>SUMIFS('Күнлик есабат'!$F$8:$F$507,'Күнлик есабат'!$C$8:$C$507,A311,'Күнлик есабат'!$L$8:$L$507,0,'Күнлик есабат'!$M$8:$M$507,0)-SUMIFS('Күнлик есабат'!$H$8:$H$507,'Күнлик есабат'!$C$8:$C$507,A311,'Күнлик есабат'!$L$8:$L$507,0,'Күнлик есабат'!$M$8:$M$507,0)</x:f>
        <x:v>0</x:v>
      </x:c>
      <x:c r="L311" s="2" t="n">
        <x:f>SUMIFS('Күнлик есабат'!$G$8:$G$507,'Күнлик есабат'!$C$8:$C$507,A311,'Күнлик есабат'!$L$8:$L$507,0,'Күнлик есабат'!$M$8:$M$507,0)</x:f>
        <x:v>0</x:v>
      </x:c>
      <x:c r="M311" s="2" t="str">
        <x:f>IF(I311="","",MAX(I311-K311,0))</x:f>
      </x:c>
      <x:c r="N311" s="16" t="str">
        <x:f>IF(OR(I311="",I311=0),"",MIN(K311/I311,1))</x:f>
      </x:c>
      <x:c r="O311" s="2" t="n">
        <x:f>24-COUNTIFS('Клиентлер'!$T$8:$T$31,1)</x:f>
        <x:v>24</x:v>
      </x:c>
      <x:c r="P311" s="2"/>
      <x:c r="Q311" s="2" t="str">
        <x:v>Ишки</x:v>
      </x:c>
      <x:c r="R311" s="10"/>
      <x:c r="S311" s="2" t="n">
        <x:f>IF(COUNT(I311)=1,1,0)</x:f>
        <x:v>0</x:v>
      </x:c>
    </x:row>
    <x:row r="312" ht="46" customHeight="1">
      <x:c r="A312" s="2" t="n">
        <x:v>305</x:v>
      </x:c>
      <x:c r="B312" s="2"/>
      <x:c r="C312" s="12" t="n">
        <x:v>46565</x:v>
      </x:c>
      <x:c r="D312" s="13" t="str">
        <x:v>Банк ҳәм касса есабын салыстырыў</x:v>
      </x:c>
      <x:c r="E312" s="14" t="n">
        <x:v>46568</x:v>
      </x:c>
      <x:c r="F312" s="14"/>
      <x:c r="G312" s="2" t="str">
        <x:v>2027-06</x:v>
      </x:c>
      <x:c r="H312" s="2" t="str">
        <x:v>Барлығы</x:v>
      </x:c>
      <x:c r="I312" s="10"/>
      <x:c r="J312" s="10"/>
      <x:c r="K312" s="2" t="n">
        <x:f>SUMIFS('Күнлик есабат'!$F$8:$F$507,'Күнлик есабат'!$C$8:$C$507,A312,'Күнлик есабат'!$L$8:$L$507,0,'Күнлик есабат'!$M$8:$M$507,0)-SUMIFS('Күнлик есабат'!$H$8:$H$507,'Күнлик есабат'!$C$8:$C$507,A312,'Күнлик есабат'!$L$8:$L$507,0,'Күнлик есабат'!$M$8:$M$507,0)</x:f>
        <x:v>0</x:v>
      </x:c>
      <x:c r="L312" s="2" t="n">
        <x:f>SUMIFS('Күнлик есабат'!$G$8:$G$507,'Күнлик есабат'!$C$8:$C$507,A312,'Күнлик есабат'!$L$8:$L$507,0,'Күнлик есабат'!$M$8:$M$507,0)</x:f>
        <x:v>0</x:v>
      </x:c>
      <x:c r="M312" s="2" t="str">
        <x:f>IF(I312="","",MAX(I312-K312,0))</x:f>
      </x:c>
      <x:c r="N312" s="16" t="str">
        <x:f>IF(OR(I312="",I312=0),"",MIN(K312/I312,1))</x:f>
      </x:c>
      <x:c r="O312" s="2" t="n">
        <x:f>24-COUNTIFS('Клиентлер'!$T$8:$T$31,1)</x:f>
        <x:v>24</x:v>
      </x:c>
      <x:c r="P312" s="2"/>
      <x:c r="Q312" s="2" t="str">
        <x:v>Ишки</x:v>
      </x:c>
      <x:c r="R312" s="10"/>
      <x:c r="S312" s="2" t="n">
        <x:f>IF(COUNT(I312)=1,1,0)</x:f>
        <x:v>0</x:v>
      </x:c>
    </x:row>
    <x:row r="313" ht="46" customHeight="1">
      <x:c r="A313" s="2" t="n">
        <x:v>306</x:v>
      </x:c>
      <x:c r="B313" s="2"/>
      <x:c r="C313" s="12" t="n">
        <x:v>46565</x:v>
      </x:c>
      <x:c r="D313" s="13" t="str">
        <x:v>1С ҳүжжетлерин толық киритиў</x:v>
      </x:c>
      <x:c r="E313" s="14" t="n">
        <x:v>46568</x:v>
      </x:c>
      <x:c r="F313" s="14"/>
      <x:c r="G313" s="2" t="str">
        <x:v>2027-06</x:v>
      </x:c>
      <x:c r="H313" s="2" t="str">
        <x:v>Барлығы</x:v>
      </x:c>
      <x:c r="I313" s="10"/>
      <x:c r="J313" s="10"/>
      <x:c r="K313" s="2" t="n">
        <x:f>SUMIFS('Күнлик есабат'!$F$8:$F$507,'Күнлик есабат'!$C$8:$C$507,A313,'Күнлик есабат'!$L$8:$L$507,0,'Күнлик есабат'!$M$8:$M$507,0)-SUMIFS('Күнлик есабат'!$H$8:$H$507,'Күнлик есабат'!$C$8:$C$507,A313,'Күнлик есабат'!$L$8:$L$507,0,'Күнлик есабат'!$M$8:$M$507,0)</x:f>
        <x:v>0</x:v>
      </x:c>
      <x:c r="L313" s="2" t="n">
        <x:f>SUMIFS('Күнлик есабат'!$G$8:$G$507,'Күнлик есабат'!$C$8:$C$507,A313,'Күнлик есабат'!$L$8:$L$507,0,'Күнлик есабат'!$M$8:$M$507,0)</x:f>
        <x:v>0</x:v>
      </x:c>
      <x:c r="M313" s="2" t="str">
        <x:f>IF(I313="","",MAX(I313-K313,0))</x:f>
      </x:c>
      <x:c r="N313" s="16" t="str">
        <x:f>IF(OR(I313="",I313=0),"",MIN(K313/I313,1))</x:f>
      </x:c>
      <x:c r="O313" s="2" t="n">
        <x:f>24-COUNTIFS('Клиентлер'!$T$8:$T$31,1)</x:f>
        <x:v>24</x:v>
      </x:c>
      <x:c r="P313" s="2"/>
      <x:c r="Q313" s="2" t="str">
        <x:v>Ишки</x:v>
      </x:c>
      <x:c r="R313" s="10"/>
      <x:c r="S313" s="2" t="n">
        <x:f>IF(COUNT(I313)=1,1,0)</x:f>
        <x:v>0</x:v>
      </x:c>
    </x:row>
    <x:row r="314" ht="46" customHeight="1">
      <x:c r="A314" s="2" t="n">
        <x:v>307</x:v>
      </x:c>
      <x:c r="B314" s="2"/>
      <x:c r="C314" s="12" t="n">
        <x:v>46565</x:v>
      </x:c>
      <x:c r="D314" s="13" t="str">
        <x:v>ККМ чеклери ҳәм фактураларды салыстырыў</x:v>
      </x:c>
      <x:c r="E314" s="14" t="n">
        <x:v>46568</x:v>
      </x:c>
      <x:c r="F314" s="14"/>
      <x:c r="G314" s="2" t="str">
        <x:v>2027-06</x:v>
      </x:c>
      <x:c r="H314" s="2" t="str">
        <x:v>Барлығы</x:v>
      </x:c>
      <x:c r="I314" s="10"/>
      <x:c r="J314" s="10"/>
      <x:c r="K314" s="2" t="n">
        <x:f>SUMIFS('Күнлик есабат'!$F$8:$F$507,'Күнлик есабат'!$C$8:$C$507,A314,'Күнлик есабат'!$L$8:$L$507,0,'Күнлик есабат'!$M$8:$M$507,0)-SUMIFS('Күнлик есабат'!$H$8:$H$507,'Күнлик есабат'!$C$8:$C$507,A314,'Күнлик есабат'!$L$8:$L$507,0,'Күнлик есабат'!$M$8:$M$507,0)</x:f>
        <x:v>0</x:v>
      </x:c>
      <x:c r="L314" s="2" t="n">
        <x:f>SUMIFS('Күнлик есабат'!$G$8:$G$507,'Күнлик есабат'!$C$8:$C$507,A314,'Күнлик есабат'!$L$8:$L$507,0,'Күнлик есабат'!$M$8:$M$507,0)</x:f>
        <x:v>0</x:v>
      </x:c>
      <x:c r="M314" s="2" t="str">
        <x:f>IF(I314="","",MAX(I314-K314,0))</x:f>
      </x:c>
      <x:c r="N314" s="16" t="str">
        <x:f>IF(OR(I314="",I314=0),"",MIN(K314/I314,1))</x:f>
      </x:c>
      <x:c r="O314" s="2" t="n">
        <x:f>24-COUNTIFS('Клиентлер'!$T$8:$T$31,1)</x:f>
        <x:v>24</x:v>
      </x:c>
      <x:c r="P314" s="2"/>
      <x:c r="Q314" s="2" t="str">
        <x:v>Ишки</x:v>
      </x:c>
      <x:c r="R314" s="10"/>
      <x:c r="S314" s="2" t="n">
        <x:f>IF(COUNT(I314)=1,1,0)</x:f>
        <x:v>0</x:v>
      </x:c>
    </x:row>
    <x:row r="315" ht="46" customHeight="1">
      <x:c r="A315" s="2" t="n">
        <x:v>308</x:v>
      </x:c>
      <x:c r="B315" s="2"/>
      <x:c r="C315" s="12" t="n">
        <x:v>46565</x:v>
      </x:c>
      <x:c r="D315" s="13" t="str">
        <x:v>Қойма кирим-шығымын тексериў</x:v>
      </x:c>
      <x:c r="E315" s="14" t="n">
        <x:v>46568</x:v>
      </x:c>
      <x:c r="F315" s="14"/>
      <x:c r="G315" s="2" t="str">
        <x:v>2027-06</x:v>
      </x:c>
      <x:c r="H315" s="2" t="str">
        <x:v>Барлығы</x:v>
      </x:c>
      <x:c r="I315" s="10"/>
      <x:c r="J315" s="10"/>
      <x:c r="K315" s="2" t="n">
        <x:f>SUMIFS('Күнлик есабат'!$F$8:$F$507,'Күнлик есабат'!$C$8:$C$507,A315,'Күнлик есабат'!$L$8:$L$507,0,'Күнлик есабат'!$M$8:$M$507,0)-SUMIFS('Күнлик есабат'!$H$8:$H$507,'Күнлик есабат'!$C$8:$C$507,A315,'Күнлик есабат'!$L$8:$L$507,0,'Күнлик есабат'!$M$8:$M$507,0)</x:f>
        <x:v>0</x:v>
      </x:c>
      <x:c r="L315" s="2" t="n">
        <x:f>SUMIFS('Күнлик есабат'!$G$8:$G$507,'Күнлик есабат'!$C$8:$C$507,A315,'Күнлик есабат'!$L$8:$L$507,0,'Күнлик есабат'!$M$8:$M$507,0)</x:f>
        <x:v>0</x:v>
      </x:c>
      <x:c r="M315" s="2" t="str">
        <x:f>IF(I315="","",MAX(I315-K315,0))</x:f>
      </x:c>
      <x:c r="N315" s="16" t="str">
        <x:f>IF(OR(I315="",I315=0),"",MIN(K315/I315,1))</x:f>
      </x:c>
      <x:c r="O315" s="2" t="n">
        <x:f>24-COUNTIFS('Клиентлер'!$T$8:$T$31,1)</x:f>
        <x:v>24</x:v>
      </x:c>
      <x:c r="P315" s="2"/>
      <x:c r="Q315" s="2" t="str">
        <x:v>Ишки</x:v>
      </x:c>
      <x:c r="R315" s="10"/>
      <x:c r="S315" s="2" t="n">
        <x:f>IF(COUNT(I315)=1,1,0)</x:f>
        <x:v>0</x:v>
      </x:c>
    </x:row>
    <x:row r="316" ht="46" customHeight="1">
      <x:c r="A316" s="2" t="n">
        <x:v>309</x:v>
      </x:c>
      <x:c r="B316" s="2"/>
      <x:c r="C316" s="12" t="n">
        <x:v>46565</x:v>
      </x:c>
      <x:c r="D316" s="13" t="str">
        <x:v>Дебитор-кредитор қарызларын салыстырыў</x:v>
      </x:c>
      <x:c r="E316" s="14" t="n">
        <x:v>46568</x:v>
      </x:c>
      <x:c r="F316" s="14"/>
      <x:c r="G316" s="2" t="str">
        <x:v>2027-06</x:v>
      </x:c>
      <x:c r="H316" s="2" t="str">
        <x:v>Барлығы</x:v>
      </x:c>
      <x:c r="I316" s="10"/>
      <x:c r="J316" s="10"/>
      <x:c r="K316" s="2" t="n">
        <x:f>SUMIFS('Күнлик есабат'!$F$8:$F$507,'Күнлик есабат'!$C$8:$C$507,A316,'Күнлик есабат'!$L$8:$L$507,0,'Күнлик есабат'!$M$8:$M$507,0)-SUMIFS('Күнлик есабат'!$H$8:$H$507,'Күнлик есабат'!$C$8:$C$507,A316,'Күнлик есабат'!$L$8:$L$507,0,'Күнлик есабат'!$M$8:$M$507,0)</x:f>
        <x:v>0</x:v>
      </x:c>
      <x:c r="L316" s="2" t="n">
        <x:f>SUMIFS('Күнлик есабат'!$G$8:$G$507,'Күнлик есабат'!$C$8:$C$507,A316,'Күнлик есабат'!$L$8:$L$507,0,'Күнлик есабат'!$M$8:$M$507,0)</x:f>
        <x:v>0</x:v>
      </x:c>
      <x:c r="M316" s="2" t="str">
        <x:f>IF(I316="","",MAX(I316-K316,0))</x:f>
      </x:c>
      <x:c r="N316" s="16" t="str">
        <x:f>IF(OR(I316="",I316=0),"",MIN(K316/I316,1))</x:f>
      </x:c>
      <x:c r="O316" s="2" t="n">
        <x:f>24-COUNTIFS('Клиентлер'!$T$8:$T$31,1)</x:f>
        <x:v>24</x:v>
      </x:c>
      <x:c r="P316" s="2"/>
      <x:c r="Q316" s="2" t="str">
        <x:v>Ишки</x:v>
      </x:c>
      <x:c r="R316" s="10"/>
      <x:c r="S316" s="2" t="n">
        <x:f>IF(COUNT(I316)=1,1,0)</x:f>
        <x:v>0</x:v>
      </x:c>
    </x:row>
    <x:row r="317" ht="46" customHeight="1">
      <x:c r="A317" s="2" t="n">
        <x:v>310</x:v>
      </x:c>
      <x:c r="B317" s="2"/>
      <x:c r="C317" s="12" t="n">
        <x:v>46565</x:v>
      </x:c>
      <x:c r="D317" s="13" t="str">
        <x:v>Айлық ҳәм кадр ҳүжжетлерин тексериў</x:v>
      </x:c>
      <x:c r="E317" s="14" t="n">
        <x:v>46568</x:v>
      </x:c>
      <x:c r="F317" s="14"/>
      <x:c r="G317" s="2" t="str">
        <x:v>2027-06</x:v>
      </x:c>
      <x:c r="H317" s="2" t="str">
        <x:v>Барлығы</x:v>
      </x:c>
      <x:c r="I317" s="10"/>
      <x:c r="J317" s="10"/>
      <x:c r="K317" s="2" t="n">
        <x:f>SUMIFS('Күнлик есабат'!$F$8:$F$507,'Күнлик есабат'!$C$8:$C$507,A317,'Күнлик есабат'!$L$8:$L$507,0,'Күнлик есабат'!$M$8:$M$507,0)-SUMIFS('Күнлик есабат'!$H$8:$H$507,'Күнлик есабат'!$C$8:$C$507,A317,'Күнлик есабат'!$L$8:$L$507,0,'Күнлик есабат'!$M$8:$M$507,0)</x:f>
        <x:v>0</x:v>
      </x:c>
      <x:c r="L317" s="2" t="n">
        <x:f>SUMIFS('Күнлик есабат'!$G$8:$G$507,'Күнлик есабат'!$C$8:$C$507,A317,'Күнлик есабат'!$L$8:$L$507,0,'Күнлик есабат'!$M$8:$M$507,0)</x:f>
        <x:v>0</x:v>
      </x:c>
      <x:c r="M317" s="2" t="str">
        <x:f>IF(I317="","",MAX(I317-K317,0))</x:f>
      </x:c>
      <x:c r="N317" s="16" t="str">
        <x:f>IF(OR(I317="",I317=0),"",MIN(K317/I317,1))</x:f>
      </x:c>
      <x:c r="O317" s="2" t="n">
        <x:f>24-COUNTIFS('Клиентлер'!$T$8:$T$31,1)</x:f>
        <x:v>24</x:v>
      </x:c>
      <x:c r="P317" s="2"/>
      <x:c r="Q317" s="2" t="str">
        <x:v>Ишки</x:v>
      </x:c>
      <x:c r="R317" s="10"/>
      <x:c r="S317" s="2" t="n">
        <x:f>IF(COUNT(I317)=1,1,0)</x:f>
        <x:v>0</x:v>
      </x:c>
    </x:row>
    <x:row r="318" ht="46" customHeight="1">
      <x:c r="A318" s="2" t="n">
        <x:v>311</x:v>
      </x:c>
      <x:c r="B318" s="2"/>
      <x:c r="C318" s="12" t="n">
        <x:v>46565</x:v>
      </x:c>
      <x:c r="D318" s="13" t="str">
        <x:v>Клиентке айлық жуўмақ бериў</x:v>
      </x:c>
      <x:c r="E318" s="14" t="n">
        <x:v>46568</x:v>
      </x:c>
      <x:c r="F318" s="14"/>
      <x:c r="G318" s="2" t="str">
        <x:v>2027-06</x:v>
      </x:c>
      <x:c r="H318" s="2" t="str">
        <x:v>Барлығы</x:v>
      </x:c>
      <x:c r="I318" s="10"/>
      <x:c r="J318" s="10"/>
      <x:c r="K318" s="2" t="n">
        <x:f>SUMIFS('Күнлик есабат'!$F$8:$F$507,'Күнлик есабат'!$C$8:$C$507,A318,'Күнлик есабат'!$L$8:$L$507,0,'Күнлик есабат'!$M$8:$M$507,0)-SUMIFS('Күнлик есабат'!$H$8:$H$507,'Күнлик есабат'!$C$8:$C$507,A318,'Күнлик есабат'!$L$8:$L$507,0,'Күнлик есабат'!$M$8:$M$507,0)</x:f>
        <x:v>0</x:v>
      </x:c>
      <x:c r="L318" s="2" t="n">
        <x:f>SUMIFS('Күнлик есабат'!$G$8:$G$507,'Күнлик есабат'!$C$8:$C$507,A318,'Күнлик есабат'!$L$8:$L$507,0,'Күнлик есабат'!$M$8:$M$507,0)</x:f>
        <x:v>0</x:v>
      </x:c>
      <x:c r="M318" s="2" t="str">
        <x:f>IF(I318="","",MAX(I318-K318,0))</x:f>
      </x:c>
      <x:c r="N318" s="16" t="str">
        <x:f>IF(OR(I318="",I318=0),"",MIN(K318/I318,1))</x:f>
      </x:c>
      <x:c r="O318" s="2" t="n">
        <x:f>24-COUNTIFS('Клиентлер'!$T$8:$T$31,1)</x:f>
        <x:v>24</x:v>
      </x:c>
      <x:c r="P318" s="2"/>
      <x:c r="Q318" s="2" t="str">
        <x:v>Ишки</x:v>
      </x:c>
      <x:c r="R318" s="10"/>
      <x:c r="S318" s="2" t="n">
        <x:f>IF(COUNT(I318)=1,1,0)</x:f>
        <x:v>0</x:v>
      </x:c>
    </x:row>
    <x:row r="319" ht="46" customHeight="1">
      <x:c r="A319" s="2" t="n">
        <x:v>312</x:v>
      </x:c>
      <x:c r="B319" s="2"/>
      <x:c r="C319" s="12" t="n">
        <x:v>46596</x:v>
      </x:c>
      <x:c r="D319" s="13" t="str">
        <x:v>Банк ҳәм касса есабын салыстырыў</x:v>
      </x:c>
      <x:c r="E319" s="14" t="n">
        <x:v>46599</x:v>
      </x:c>
      <x:c r="F319" s="14"/>
      <x:c r="G319" s="2" t="str">
        <x:v>2027-07</x:v>
      </x:c>
      <x:c r="H319" s="2" t="str">
        <x:v>Барлығы</x:v>
      </x:c>
      <x:c r="I319" s="10"/>
      <x:c r="J319" s="10"/>
      <x:c r="K319" s="2" t="n">
        <x:f>SUMIFS('Күнлик есабат'!$F$8:$F$507,'Күнлик есабат'!$C$8:$C$507,A319,'Күнлик есабат'!$L$8:$L$507,0,'Күнлик есабат'!$M$8:$M$507,0)-SUMIFS('Күнлик есабат'!$H$8:$H$507,'Күнлик есабат'!$C$8:$C$507,A319,'Күнлик есабат'!$L$8:$L$507,0,'Күнлик есабат'!$M$8:$M$507,0)</x:f>
        <x:v>0</x:v>
      </x:c>
      <x:c r="L319" s="2" t="n">
        <x:f>SUMIFS('Күнлик есабат'!$G$8:$G$507,'Күнлик есабат'!$C$8:$C$507,A319,'Күнлик есабат'!$L$8:$L$507,0,'Күнлик есабат'!$M$8:$M$507,0)</x:f>
        <x:v>0</x:v>
      </x:c>
      <x:c r="M319" s="2" t="str">
        <x:f>IF(I319="","",MAX(I319-K319,0))</x:f>
      </x:c>
      <x:c r="N319" s="16" t="str">
        <x:f>IF(OR(I319="",I319=0),"",MIN(K319/I319,1))</x:f>
      </x:c>
      <x:c r="O319" s="2" t="n">
        <x:f>24-COUNTIFS('Клиентлер'!$T$8:$T$31,1)</x:f>
        <x:v>24</x:v>
      </x:c>
      <x:c r="P319" s="2"/>
      <x:c r="Q319" s="2" t="str">
        <x:v>Ишки</x:v>
      </x:c>
      <x:c r="R319" s="10"/>
      <x:c r="S319" s="2" t="n">
        <x:f>IF(COUNT(I319)=1,1,0)</x:f>
        <x:v>0</x:v>
      </x:c>
    </x:row>
    <x:row r="320" ht="46" customHeight="1">
      <x:c r="A320" s="2" t="n">
        <x:v>313</x:v>
      </x:c>
      <x:c r="B320" s="2"/>
      <x:c r="C320" s="12" t="n">
        <x:v>46596</x:v>
      </x:c>
      <x:c r="D320" s="13" t="str">
        <x:v>1С ҳүжжетлерин толық киритиў</x:v>
      </x:c>
      <x:c r="E320" s="14" t="n">
        <x:v>46599</x:v>
      </x:c>
      <x:c r="F320" s="14"/>
      <x:c r="G320" s="2" t="str">
        <x:v>2027-07</x:v>
      </x:c>
      <x:c r="H320" s="2" t="str">
        <x:v>Барлығы</x:v>
      </x:c>
      <x:c r="I320" s="10"/>
      <x:c r="J320" s="10"/>
      <x:c r="K320" s="2" t="n">
        <x:f>SUMIFS('Күнлик есабат'!$F$8:$F$507,'Күнлик есабат'!$C$8:$C$507,A320,'Күнлик есабат'!$L$8:$L$507,0,'Күнлик есабат'!$M$8:$M$507,0)-SUMIFS('Күнлик есабат'!$H$8:$H$507,'Күнлик есабат'!$C$8:$C$507,A320,'Күнлик есабат'!$L$8:$L$507,0,'Күнлик есабат'!$M$8:$M$507,0)</x:f>
        <x:v>0</x:v>
      </x:c>
      <x:c r="L320" s="2" t="n">
        <x:f>SUMIFS('Күнлик есабат'!$G$8:$G$507,'Күнлик есабат'!$C$8:$C$507,A320,'Күнлик есабат'!$L$8:$L$507,0,'Күнлик есабат'!$M$8:$M$507,0)</x:f>
        <x:v>0</x:v>
      </x:c>
      <x:c r="M320" s="2" t="str">
        <x:f>IF(I320="","",MAX(I320-K320,0))</x:f>
      </x:c>
      <x:c r="N320" s="16" t="str">
        <x:f>IF(OR(I320="",I320=0),"",MIN(K320/I320,1))</x:f>
      </x:c>
      <x:c r="O320" s="2" t="n">
        <x:f>24-COUNTIFS('Клиентлер'!$T$8:$T$31,1)</x:f>
        <x:v>24</x:v>
      </x:c>
      <x:c r="P320" s="2"/>
      <x:c r="Q320" s="2" t="str">
        <x:v>Ишки</x:v>
      </x:c>
      <x:c r="R320" s="10"/>
      <x:c r="S320" s="2" t="n">
        <x:f>IF(COUNT(I320)=1,1,0)</x:f>
        <x:v>0</x:v>
      </x:c>
    </x:row>
    <x:row r="321" ht="46" customHeight="1">
      <x:c r="A321" s="2" t="n">
        <x:v>314</x:v>
      </x:c>
      <x:c r="B321" s="2"/>
      <x:c r="C321" s="12" t="n">
        <x:v>46596</x:v>
      </x:c>
      <x:c r="D321" s="13" t="str">
        <x:v>ККМ чеклери ҳәм фактураларды салыстырыў</x:v>
      </x:c>
      <x:c r="E321" s="14" t="n">
        <x:v>46599</x:v>
      </x:c>
      <x:c r="F321" s="14"/>
      <x:c r="G321" s="2" t="str">
        <x:v>2027-07</x:v>
      </x:c>
      <x:c r="H321" s="2" t="str">
        <x:v>Барлығы</x:v>
      </x:c>
      <x:c r="I321" s="10"/>
      <x:c r="J321" s="10"/>
      <x:c r="K321" s="2" t="n">
        <x:f>SUMIFS('Күнлик есабат'!$F$8:$F$507,'Күнлик есабат'!$C$8:$C$507,A321,'Күнлик есабат'!$L$8:$L$507,0,'Күнлик есабат'!$M$8:$M$507,0)-SUMIFS('Күнлик есабат'!$H$8:$H$507,'Күнлик есабат'!$C$8:$C$507,A321,'Күнлик есабат'!$L$8:$L$507,0,'Күнлик есабат'!$M$8:$M$507,0)</x:f>
        <x:v>0</x:v>
      </x:c>
      <x:c r="L321" s="2" t="n">
        <x:f>SUMIFS('Күнлик есабат'!$G$8:$G$507,'Күнлик есабат'!$C$8:$C$507,A321,'Күнлик есабат'!$L$8:$L$507,0,'Күнлик есабат'!$M$8:$M$507,0)</x:f>
        <x:v>0</x:v>
      </x:c>
      <x:c r="M321" s="2" t="str">
        <x:f>IF(I321="","",MAX(I321-K321,0))</x:f>
      </x:c>
      <x:c r="N321" s="16" t="str">
        <x:f>IF(OR(I321="",I321=0),"",MIN(K321/I321,1))</x:f>
      </x:c>
      <x:c r="O321" s="2" t="n">
        <x:f>24-COUNTIFS('Клиентлер'!$T$8:$T$31,1)</x:f>
        <x:v>24</x:v>
      </x:c>
      <x:c r="P321" s="2"/>
      <x:c r="Q321" s="2" t="str">
        <x:v>Ишки</x:v>
      </x:c>
      <x:c r="R321" s="10"/>
      <x:c r="S321" s="2" t="n">
        <x:f>IF(COUNT(I321)=1,1,0)</x:f>
        <x:v>0</x:v>
      </x:c>
    </x:row>
    <x:row r="322" ht="46" customHeight="1">
      <x:c r="A322" s="2" t="n">
        <x:v>315</x:v>
      </x:c>
      <x:c r="B322" s="2"/>
      <x:c r="C322" s="12" t="n">
        <x:v>46596</x:v>
      </x:c>
      <x:c r="D322" s="13" t="str">
        <x:v>Қойма кирим-шығымын тексериў</x:v>
      </x:c>
      <x:c r="E322" s="14" t="n">
        <x:v>46599</x:v>
      </x:c>
      <x:c r="F322" s="14"/>
      <x:c r="G322" s="2" t="str">
        <x:v>2027-07</x:v>
      </x:c>
      <x:c r="H322" s="2" t="str">
        <x:v>Барлығы</x:v>
      </x:c>
      <x:c r="I322" s="10"/>
      <x:c r="J322" s="10"/>
      <x:c r="K322" s="2" t="n">
        <x:f>SUMIFS('Күнлик есабат'!$F$8:$F$507,'Күнлик есабат'!$C$8:$C$507,A322,'Күнлик есабат'!$L$8:$L$507,0,'Күнлик есабат'!$M$8:$M$507,0)-SUMIFS('Күнлик есабат'!$H$8:$H$507,'Күнлик есабат'!$C$8:$C$507,A322,'Күнлик есабат'!$L$8:$L$507,0,'Күнлик есабат'!$M$8:$M$507,0)</x:f>
        <x:v>0</x:v>
      </x:c>
      <x:c r="L322" s="2" t="n">
        <x:f>SUMIFS('Күнлик есабат'!$G$8:$G$507,'Күнлик есабат'!$C$8:$C$507,A322,'Күнлик есабат'!$L$8:$L$507,0,'Күнлик есабат'!$M$8:$M$507,0)</x:f>
        <x:v>0</x:v>
      </x:c>
      <x:c r="M322" s="2" t="str">
        <x:f>IF(I322="","",MAX(I322-K322,0))</x:f>
      </x:c>
      <x:c r="N322" s="16" t="str">
        <x:f>IF(OR(I322="",I322=0),"",MIN(K322/I322,1))</x:f>
      </x:c>
      <x:c r="O322" s="2" t="n">
        <x:f>24-COUNTIFS('Клиентлер'!$T$8:$T$31,1)</x:f>
        <x:v>24</x:v>
      </x:c>
      <x:c r="P322" s="2"/>
      <x:c r="Q322" s="2" t="str">
        <x:v>Ишки</x:v>
      </x:c>
      <x:c r="R322" s="10"/>
      <x:c r="S322" s="2" t="n">
        <x:f>IF(COUNT(I322)=1,1,0)</x:f>
        <x:v>0</x:v>
      </x:c>
    </x:row>
    <x:row r="323" ht="46" customHeight="1">
      <x:c r="A323" s="2" t="n">
        <x:v>316</x:v>
      </x:c>
      <x:c r="B323" s="2"/>
      <x:c r="C323" s="12" t="n">
        <x:v>46596</x:v>
      </x:c>
      <x:c r="D323" s="13" t="str">
        <x:v>Дебитор-кредитор қарызларын салыстырыў</x:v>
      </x:c>
      <x:c r="E323" s="14" t="n">
        <x:v>46599</x:v>
      </x:c>
      <x:c r="F323" s="14"/>
      <x:c r="G323" s="2" t="str">
        <x:v>2027-07</x:v>
      </x:c>
      <x:c r="H323" s="2" t="str">
        <x:v>Барлығы</x:v>
      </x:c>
      <x:c r="I323" s="10"/>
      <x:c r="J323" s="10"/>
      <x:c r="K323" s="2" t="n">
        <x:f>SUMIFS('Күнлик есабат'!$F$8:$F$507,'Күнлик есабат'!$C$8:$C$507,A323,'Күнлик есабат'!$L$8:$L$507,0,'Күнлик есабат'!$M$8:$M$507,0)-SUMIFS('Күнлик есабат'!$H$8:$H$507,'Күнлик есабат'!$C$8:$C$507,A323,'Күнлик есабат'!$L$8:$L$507,0,'Күнлик есабат'!$M$8:$M$507,0)</x:f>
        <x:v>0</x:v>
      </x:c>
      <x:c r="L323" s="2" t="n">
        <x:f>SUMIFS('Күнлик есабат'!$G$8:$G$507,'Күнлик есабат'!$C$8:$C$507,A323,'Күнлик есабат'!$L$8:$L$507,0,'Күнлик есабат'!$M$8:$M$507,0)</x:f>
        <x:v>0</x:v>
      </x:c>
      <x:c r="M323" s="2" t="str">
        <x:f>IF(I323="","",MAX(I323-K323,0))</x:f>
      </x:c>
      <x:c r="N323" s="16" t="str">
        <x:f>IF(OR(I323="",I323=0),"",MIN(K323/I323,1))</x:f>
      </x:c>
      <x:c r="O323" s="2" t="n">
        <x:f>24-COUNTIFS('Клиентлер'!$T$8:$T$31,1)</x:f>
        <x:v>24</x:v>
      </x:c>
      <x:c r="P323" s="2"/>
      <x:c r="Q323" s="2" t="str">
        <x:v>Ишки</x:v>
      </x:c>
      <x:c r="R323" s="10"/>
      <x:c r="S323" s="2" t="n">
        <x:f>IF(COUNT(I323)=1,1,0)</x:f>
        <x:v>0</x:v>
      </x:c>
    </x:row>
    <x:row r="324" ht="46" customHeight="1">
      <x:c r="A324" s="2" t="n">
        <x:v>317</x:v>
      </x:c>
      <x:c r="B324" s="2"/>
      <x:c r="C324" s="12" t="n">
        <x:v>46596</x:v>
      </x:c>
      <x:c r="D324" s="13" t="str">
        <x:v>Айлық ҳәм кадр ҳүжжетлерин тексериў</x:v>
      </x:c>
      <x:c r="E324" s="14" t="n">
        <x:v>46599</x:v>
      </x:c>
      <x:c r="F324" s="14"/>
      <x:c r="G324" s="2" t="str">
        <x:v>2027-07</x:v>
      </x:c>
      <x:c r="H324" s="2" t="str">
        <x:v>Барлығы</x:v>
      </x:c>
      <x:c r="I324" s="10"/>
      <x:c r="J324" s="10"/>
      <x:c r="K324" s="2" t="n">
        <x:f>SUMIFS('Күнлик есабат'!$F$8:$F$507,'Күнлик есабат'!$C$8:$C$507,A324,'Күнлик есабат'!$L$8:$L$507,0,'Күнлик есабат'!$M$8:$M$507,0)-SUMIFS('Күнлик есабат'!$H$8:$H$507,'Күнлик есабат'!$C$8:$C$507,A324,'Күнлик есабат'!$L$8:$L$507,0,'Күнлик есабат'!$M$8:$M$507,0)</x:f>
        <x:v>0</x:v>
      </x:c>
      <x:c r="L324" s="2" t="n">
        <x:f>SUMIFS('Күнлик есабат'!$G$8:$G$507,'Күнлик есабат'!$C$8:$C$507,A324,'Күнлик есабат'!$L$8:$L$507,0,'Күнлик есабат'!$M$8:$M$507,0)</x:f>
        <x:v>0</x:v>
      </x:c>
      <x:c r="M324" s="2" t="str">
        <x:f>IF(I324="","",MAX(I324-K324,0))</x:f>
      </x:c>
      <x:c r="N324" s="16" t="str">
        <x:f>IF(OR(I324="",I324=0),"",MIN(K324/I324,1))</x:f>
      </x:c>
      <x:c r="O324" s="2" t="n">
        <x:f>24-COUNTIFS('Клиентлер'!$T$8:$T$31,1)</x:f>
        <x:v>24</x:v>
      </x:c>
      <x:c r="P324" s="2"/>
      <x:c r="Q324" s="2" t="str">
        <x:v>Ишки</x:v>
      </x:c>
      <x:c r="R324" s="10"/>
      <x:c r="S324" s="2" t="n">
        <x:f>IF(COUNT(I324)=1,1,0)</x:f>
        <x:v>0</x:v>
      </x:c>
    </x:row>
    <x:row r="325" ht="46" customHeight="1">
      <x:c r="A325" s="2" t="n">
        <x:v>318</x:v>
      </x:c>
      <x:c r="B325" s="2"/>
      <x:c r="C325" s="12" t="n">
        <x:v>46596</x:v>
      </x:c>
      <x:c r="D325" s="13" t="str">
        <x:v>Клиентке айлық жуўмақ бериў</x:v>
      </x:c>
      <x:c r="E325" s="14" t="n">
        <x:v>46599</x:v>
      </x:c>
      <x:c r="F325" s="14"/>
      <x:c r="G325" s="2" t="str">
        <x:v>2027-07</x:v>
      </x:c>
      <x:c r="H325" s="2" t="str">
        <x:v>Барлығы</x:v>
      </x:c>
      <x:c r="I325" s="10"/>
      <x:c r="J325" s="10"/>
      <x:c r="K325" s="2" t="n">
        <x:f>SUMIFS('Күнлик есабат'!$F$8:$F$507,'Күнлик есабат'!$C$8:$C$507,A325,'Күнлик есабат'!$L$8:$L$507,0,'Күнлик есабат'!$M$8:$M$507,0)-SUMIFS('Күнлик есабат'!$H$8:$H$507,'Күнлик есабат'!$C$8:$C$507,A325,'Күнлик есабат'!$L$8:$L$507,0,'Күнлик есабат'!$M$8:$M$507,0)</x:f>
        <x:v>0</x:v>
      </x:c>
      <x:c r="L325" s="2" t="n">
        <x:f>SUMIFS('Күнлик есабат'!$G$8:$G$507,'Күнлик есабат'!$C$8:$C$507,A325,'Күнлик есабат'!$L$8:$L$507,0,'Күнлик есабат'!$M$8:$M$507,0)</x:f>
        <x:v>0</x:v>
      </x:c>
      <x:c r="M325" s="2" t="str">
        <x:f>IF(I325="","",MAX(I325-K325,0))</x:f>
      </x:c>
      <x:c r="N325" s="16" t="str">
        <x:f>IF(OR(I325="",I325=0),"",MIN(K325/I325,1))</x:f>
      </x:c>
      <x:c r="O325" s="2" t="n">
        <x:f>24-COUNTIFS('Клиентлер'!$T$8:$T$31,1)</x:f>
        <x:v>24</x:v>
      </x:c>
      <x:c r="P325" s="2"/>
      <x:c r="Q325" s="2" t="str">
        <x:v>Ишки</x:v>
      </x:c>
      <x:c r="R325" s="10"/>
      <x:c r="S325" s="2" t="n">
        <x:f>IF(COUNT(I325)=1,1,0)</x:f>
        <x:v>0</x:v>
      </x:c>
    </x:row>
    <x:row r="326" ht="46" customHeight="1">
      <x:c r="A326" s="2" t="n">
        <x:v>319</x:v>
      </x:c>
      <x:c r="B326" s="2"/>
      <x:c r="C326" s="12" t="n">
        <x:v>46627</x:v>
      </x:c>
      <x:c r="D326" s="13" t="str">
        <x:v>Банк ҳәм касса есабын салыстырыў</x:v>
      </x:c>
      <x:c r="E326" s="14" t="n">
        <x:v>46630</x:v>
      </x:c>
      <x:c r="F326" s="14"/>
      <x:c r="G326" s="2" t="str">
        <x:v>2027-08</x:v>
      </x:c>
      <x:c r="H326" s="2" t="str">
        <x:v>Барлығы</x:v>
      </x:c>
      <x:c r="I326" s="10"/>
      <x:c r="J326" s="10"/>
      <x:c r="K326" s="2" t="n">
        <x:f>SUMIFS('Күнлик есабат'!$F$8:$F$507,'Күнлик есабат'!$C$8:$C$507,A326,'Күнлик есабат'!$L$8:$L$507,0,'Күнлик есабат'!$M$8:$M$507,0)-SUMIFS('Күнлик есабат'!$H$8:$H$507,'Күнлик есабат'!$C$8:$C$507,A326,'Күнлик есабат'!$L$8:$L$507,0,'Күнлик есабат'!$M$8:$M$507,0)</x:f>
        <x:v>0</x:v>
      </x:c>
      <x:c r="L326" s="2" t="n">
        <x:f>SUMIFS('Күнлик есабат'!$G$8:$G$507,'Күнлик есабат'!$C$8:$C$507,A326,'Күнлик есабат'!$L$8:$L$507,0,'Күнлик есабат'!$M$8:$M$507,0)</x:f>
        <x:v>0</x:v>
      </x:c>
      <x:c r="M326" s="2" t="str">
        <x:f>IF(I326="","",MAX(I326-K326,0))</x:f>
      </x:c>
      <x:c r="N326" s="16" t="str">
        <x:f>IF(OR(I326="",I326=0),"",MIN(K326/I326,1))</x:f>
      </x:c>
      <x:c r="O326" s="2" t="n">
        <x:f>24-COUNTIFS('Клиентлер'!$T$8:$T$31,1)</x:f>
        <x:v>24</x:v>
      </x:c>
      <x:c r="P326" s="2"/>
      <x:c r="Q326" s="2" t="str">
        <x:v>Ишки</x:v>
      </x:c>
      <x:c r="R326" s="10"/>
      <x:c r="S326" s="2" t="n">
        <x:f>IF(COUNT(I326)=1,1,0)</x:f>
        <x:v>0</x:v>
      </x:c>
    </x:row>
    <x:row r="327" ht="46" customHeight="1">
      <x:c r="A327" s="2" t="n">
        <x:v>320</x:v>
      </x:c>
      <x:c r="B327" s="2"/>
      <x:c r="C327" s="12" t="n">
        <x:v>46627</x:v>
      </x:c>
      <x:c r="D327" s="13" t="str">
        <x:v>1С ҳүжжетлерин толық киритиў</x:v>
      </x:c>
      <x:c r="E327" s="14" t="n">
        <x:v>46630</x:v>
      </x:c>
      <x:c r="F327" s="14"/>
      <x:c r="G327" s="2" t="str">
        <x:v>2027-08</x:v>
      </x:c>
      <x:c r="H327" s="2" t="str">
        <x:v>Барлығы</x:v>
      </x:c>
      <x:c r="I327" s="10"/>
      <x:c r="J327" s="10"/>
      <x:c r="K327" s="2" t="n">
        <x:f>SUMIFS('Күнлик есабат'!$F$8:$F$507,'Күнлик есабат'!$C$8:$C$507,A327,'Күнлик есабат'!$L$8:$L$507,0,'Күнлик есабат'!$M$8:$M$507,0)-SUMIFS('Күнлик есабат'!$H$8:$H$507,'Күнлик есабат'!$C$8:$C$507,A327,'Күнлик есабат'!$L$8:$L$507,0,'Күнлик есабат'!$M$8:$M$507,0)</x:f>
        <x:v>0</x:v>
      </x:c>
      <x:c r="L327" s="2" t="n">
        <x:f>SUMIFS('Күнлик есабат'!$G$8:$G$507,'Күнлик есабат'!$C$8:$C$507,A327,'Күнлик есабат'!$L$8:$L$507,0,'Күнлик есабат'!$M$8:$M$507,0)</x:f>
        <x:v>0</x:v>
      </x:c>
      <x:c r="M327" s="2" t="str">
        <x:f>IF(I327="","",MAX(I327-K327,0))</x:f>
      </x:c>
      <x:c r="N327" s="16" t="str">
        <x:f>IF(OR(I327="",I327=0),"",MIN(K327/I327,1))</x:f>
      </x:c>
      <x:c r="O327" s="2" t="n">
        <x:f>24-COUNTIFS('Клиентлер'!$T$8:$T$31,1)</x:f>
        <x:v>24</x:v>
      </x:c>
      <x:c r="P327" s="2"/>
      <x:c r="Q327" s="2" t="str">
        <x:v>Ишки</x:v>
      </x:c>
      <x:c r="R327" s="10"/>
      <x:c r="S327" s="2" t="n">
        <x:f>IF(COUNT(I327)=1,1,0)</x:f>
        <x:v>0</x:v>
      </x:c>
    </x:row>
    <x:row r="328" ht="46" customHeight="1">
      <x:c r="A328" s="2" t="n">
        <x:v>321</x:v>
      </x:c>
      <x:c r="B328" s="2"/>
      <x:c r="C328" s="12" t="n">
        <x:v>46627</x:v>
      </x:c>
      <x:c r="D328" s="13" t="str">
        <x:v>ККМ чеклери ҳәм фактураларды салыстырыў</x:v>
      </x:c>
      <x:c r="E328" s="14" t="n">
        <x:v>46630</x:v>
      </x:c>
      <x:c r="F328" s="14"/>
      <x:c r="G328" s="2" t="str">
        <x:v>2027-08</x:v>
      </x:c>
      <x:c r="H328" s="2" t="str">
        <x:v>Барлығы</x:v>
      </x:c>
      <x:c r="I328" s="10"/>
      <x:c r="J328" s="10"/>
      <x:c r="K328" s="2" t="n">
        <x:f>SUMIFS('Күнлик есабат'!$F$8:$F$507,'Күнлик есабат'!$C$8:$C$507,A328,'Күнлик есабат'!$L$8:$L$507,0,'Күнлик есабат'!$M$8:$M$507,0)-SUMIFS('Күнлик есабат'!$H$8:$H$507,'Күнлик есабат'!$C$8:$C$507,A328,'Күнлик есабат'!$L$8:$L$507,0,'Күнлик есабат'!$M$8:$M$507,0)</x:f>
        <x:v>0</x:v>
      </x:c>
      <x:c r="L328" s="2" t="n">
        <x:f>SUMIFS('Күнлик есабат'!$G$8:$G$507,'Күнлик есабат'!$C$8:$C$507,A328,'Күнлик есабат'!$L$8:$L$507,0,'Күнлик есабат'!$M$8:$M$507,0)</x:f>
        <x:v>0</x:v>
      </x:c>
      <x:c r="M328" s="2" t="str">
        <x:f>IF(I328="","",MAX(I328-K328,0))</x:f>
      </x:c>
      <x:c r="N328" s="16" t="str">
        <x:f>IF(OR(I328="",I328=0),"",MIN(K328/I328,1))</x:f>
      </x:c>
      <x:c r="O328" s="2" t="n">
        <x:f>24-COUNTIFS('Клиентлер'!$T$8:$T$31,1)</x:f>
        <x:v>24</x:v>
      </x:c>
      <x:c r="P328" s="2"/>
      <x:c r="Q328" s="2" t="str">
        <x:v>Ишки</x:v>
      </x:c>
      <x:c r="R328" s="10"/>
      <x:c r="S328" s="2" t="n">
        <x:f>IF(COUNT(I328)=1,1,0)</x:f>
        <x:v>0</x:v>
      </x:c>
    </x:row>
    <x:row r="329" ht="46" customHeight="1">
      <x:c r="A329" s="2" t="n">
        <x:v>322</x:v>
      </x:c>
      <x:c r="B329" s="2"/>
      <x:c r="C329" s="12" t="n">
        <x:v>46627</x:v>
      </x:c>
      <x:c r="D329" s="13" t="str">
        <x:v>Қойма кирим-шығымын тексериў</x:v>
      </x:c>
      <x:c r="E329" s="14" t="n">
        <x:v>46630</x:v>
      </x:c>
      <x:c r="F329" s="14"/>
      <x:c r="G329" s="2" t="str">
        <x:v>2027-08</x:v>
      </x:c>
      <x:c r="H329" s="2" t="str">
        <x:v>Барлығы</x:v>
      </x:c>
      <x:c r="I329" s="10"/>
      <x:c r="J329" s="10"/>
      <x:c r="K329" s="2" t="n">
        <x:f>SUMIFS('Күнлик есабат'!$F$8:$F$507,'Күнлик есабат'!$C$8:$C$507,A329,'Күнлик есабат'!$L$8:$L$507,0,'Күнлик есабат'!$M$8:$M$507,0)-SUMIFS('Күнлик есабат'!$H$8:$H$507,'Күнлик есабат'!$C$8:$C$507,A329,'Күнлик есабат'!$L$8:$L$507,0,'Күнлик есабат'!$M$8:$M$507,0)</x:f>
        <x:v>0</x:v>
      </x:c>
      <x:c r="L329" s="2" t="n">
        <x:f>SUMIFS('Күнлик есабат'!$G$8:$G$507,'Күнлик есабат'!$C$8:$C$507,A329,'Күнлик есабат'!$L$8:$L$507,0,'Күнлик есабат'!$M$8:$M$507,0)</x:f>
        <x:v>0</x:v>
      </x:c>
      <x:c r="M329" s="2" t="str">
        <x:f>IF(I329="","",MAX(I329-K329,0))</x:f>
      </x:c>
      <x:c r="N329" s="16" t="str">
        <x:f>IF(OR(I329="",I329=0),"",MIN(K329/I329,1))</x:f>
      </x:c>
      <x:c r="O329" s="2" t="n">
        <x:f>24-COUNTIFS('Клиентлер'!$T$8:$T$31,1)</x:f>
        <x:v>24</x:v>
      </x:c>
      <x:c r="P329" s="2"/>
      <x:c r="Q329" s="2" t="str">
        <x:v>Ишки</x:v>
      </x:c>
      <x:c r="R329" s="10"/>
      <x:c r="S329" s="2" t="n">
        <x:f>IF(COUNT(I329)=1,1,0)</x:f>
        <x:v>0</x:v>
      </x:c>
    </x:row>
    <x:row r="330" ht="46" customHeight="1">
      <x:c r="A330" s="2" t="n">
        <x:v>323</x:v>
      </x:c>
      <x:c r="B330" s="2"/>
      <x:c r="C330" s="12" t="n">
        <x:v>46627</x:v>
      </x:c>
      <x:c r="D330" s="13" t="str">
        <x:v>Дебитор-кредитор қарызларын салыстырыў</x:v>
      </x:c>
      <x:c r="E330" s="14" t="n">
        <x:v>46630</x:v>
      </x:c>
      <x:c r="F330" s="14"/>
      <x:c r="G330" s="2" t="str">
        <x:v>2027-08</x:v>
      </x:c>
      <x:c r="H330" s="2" t="str">
        <x:v>Барлығы</x:v>
      </x:c>
      <x:c r="I330" s="10"/>
      <x:c r="J330" s="10"/>
      <x:c r="K330" s="2" t="n">
        <x:f>SUMIFS('Күнлик есабат'!$F$8:$F$507,'Күнлик есабат'!$C$8:$C$507,A330,'Күнлик есабат'!$L$8:$L$507,0,'Күнлик есабат'!$M$8:$M$507,0)-SUMIFS('Күнлик есабат'!$H$8:$H$507,'Күнлик есабат'!$C$8:$C$507,A330,'Күнлик есабат'!$L$8:$L$507,0,'Күнлик есабат'!$M$8:$M$507,0)</x:f>
        <x:v>0</x:v>
      </x:c>
      <x:c r="L330" s="2" t="n">
        <x:f>SUMIFS('Күнлик есабат'!$G$8:$G$507,'Күнлик есабат'!$C$8:$C$507,A330,'Күнлик есабат'!$L$8:$L$507,0,'Күнлик есабат'!$M$8:$M$507,0)</x:f>
        <x:v>0</x:v>
      </x:c>
      <x:c r="M330" s="2" t="str">
        <x:f>IF(I330="","",MAX(I330-K330,0))</x:f>
      </x:c>
      <x:c r="N330" s="16" t="str">
        <x:f>IF(OR(I330="",I330=0),"",MIN(K330/I330,1))</x:f>
      </x:c>
      <x:c r="O330" s="2" t="n">
        <x:f>24-COUNTIFS('Клиентлер'!$T$8:$T$31,1)</x:f>
        <x:v>24</x:v>
      </x:c>
      <x:c r="P330" s="2"/>
      <x:c r="Q330" s="2" t="str">
        <x:v>Ишки</x:v>
      </x:c>
      <x:c r="R330" s="10"/>
      <x:c r="S330" s="2" t="n">
        <x:f>IF(COUNT(I330)=1,1,0)</x:f>
        <x:v>0</x:v>
      </x:c>
    </x:row>
    <x:row r="331" ht="46" customHeight="1">
      <x:c r="A331" s="2" t="n">
        <x:v>324</x:v>
      </x:c>
      <x:c r="B331" s="2"/>
      <x:c r="C331" s="12" t="n">
        <x:v>46627</x:v>
      </x:c>
      <x:c r="D331" s="13" t="str">
        <x:v>Айлық ҳәм кадр ҳүжжетлерин тексериў</x:v>
      </x:c>
      <x:c r="E331" s="14" t="n">
        <x:v>46630</x:v>
      </x:c>
      <x:c r="F331" s="14"/>
      <x:c r="G331" s="2" t="str">
        <x:v>2027-08</x:v>
      </x:c>
      <x:c r="H331" s="2" t="str">
        <x:v>Барлығы</x:v>
      </x:c>
      <x:c r="I331" s="10"/>
      <x:c r="J331" s="10"/>
      <x:c r="K331" s="2" t="n">
        <x:f>SUMIFS('Күнлик есабат'!$F$8:$F$507,'Күнлик есабат'!$C$8:$C$507,A331,'Күнлик есабат'!$L$8:$L$507,0,'Күнлик есабат'!$M$8:$M$507,0)-SUMIFS('Күнлик есабат'!$H$8:$H$507,'Күнлик есабат'!$C$8:$C$507,A331,'Күнлик есабат'!$L$8:$L$507,0,'Күнлик есабат'!$M$8:$M$507,0)</x:f>
        <x:v>0</x:v>
      </x:c>
      <x:c r="L331" s="2" t="n">
        <x:f>SUMIFS('Күнлик есабат'!$G$8:$G$507,'Күнлик есабат'!$C$8:$C$507,A331,'Күнлик есабат'!$L$8:$L$507,0,'Күнлик есабат'!$M$8:$M$507,0)</x:f>
        <x:v>0</x:v>
      </x:c>
      <x:c r="M331" s="2" t="str">
        <x:f>IF(I331="","",MAX(I331-K331,0))</x:f>
      </x:c>
      <x:c r="N331" s="16" t="str">
        <x:f>IF(OR(I331="",I331=0),"",MIN(K331/I331,1))</x:f>
      </x:c>
      <x:c r="O331" s="2" t="n">
        <x:f>24-COUNTIFS('Клиентлер'!$T$8:$T$31,1)</x:f>
        <x:v>24</x:v>
      </x:c>
      <x:c r="P331" s="2"/>
      <x:c r="Q331" s="2" t="str">
        <x:v>Ишки</x:v>
      </x:c>
      <x:c r="R331" s="10"/>
      <x:c r="S331" s="2" t="n">
        <x:f>IF(COUNT(I331)=1,1,0)</x:f>
        <x:v>0</x:v>
      </x:c>
    </x:row>
    <x:row r="332" ht="46" customHeight="1">
      <x:c r="A332" s="2" t="n">
        <x:v>325</x:v>
      </x:c>
      <x:c r="B332" s="2"/>
      <x:c r="C332" s="12" t="n">
        <x:v>46627</x:v>
      </x:c>
      <x:c r="D332" s="13" t="str">
        <x:v>Клиентке айлық жуўмақ бериў</x:v>
      </x:c>
      <x:c r="E332" s="14" t="n">
        <x:v>46630</x:v>
      </x:c>
      <x:c r="F332" s="14"/>
      <x:c r="G332" s="2" t="str">
        <x:v>2027-08</x:v>
      </x:c>
      <x:c r="H332" s="2" t="str">
        <x:v>Барлығы</x:v>
      </x:c>
      <x:c r="I332" s="10"/>
      <x:c r="J332" s="10"/>
      <x:c r="K332" s="2" t="n">
        <x:f>SUMIFS('Күнлик есабат'!$F$8:$F$507,'Күнлик есабат'!$C$8:$C$507,A332,'Күнлик есабат'!$L$8:$L$507,0,'Күнлик есабат'!$M$8:$M$507,0)-SUMIFS('Күнлик есабат'!$H$8:$H$507,'Күнлик есабат'!$C$8:$C$507,A332,'Күнлик есабат'!$L$8:$L$507,0,'Күнлик есабат'!$M$8:$M$507,0)</x:f>
        <x:v>0</x:v>
      </x:c>
      <x:c r="L332" s="2" t="n">
        <x:f>SUMIFS('Күнлик есабат'!$G$8:$G$507,'Күнлик есабат'!$C$8:$C$507,A332,'Күнлик есабат'!$L$8:$L$507,0,'Күнлик есабат'!$M$8:$M$507,0)</x:f>
        <x:v>0</x:v>
      </x:c>
      <x:c r="M332" s="2" t="str">
        <x:f>IF(I332="","",MAX(I332-K332,0))</x:f>
      </x:c>
      <x:c r="N332" s="16" t="str">
        <x:f>IF(OR(I332="",I332=0),"",MIN(K332/I332,1))</x:f>
      </x:c>
      <x:c r="O332" s="2" t="n">
        <x:f>24-COUNTIFS('Клиентлер'!$T$8:$T$31,1)</x:f>
        <x:v>24</x:v>
      </x:c>
      <x:c r="P332" s="2"/>
      <x:c r="Q332" s="2" t="str">
        <x:v>Ишки</x:v>
      </x:c>
      <x:c r="R332" s="10"/>
      <x:c r="S332" s="2" t="n">
        <x:f>IF(COUNT(I332)=1,1,0)</x:f>
        <x:v>0</x:v>
      </x:c>
    </x:row>
    <x:row r="333" ht="46" customHeight="1">
      <x:c r="A333" s="2" t="n">
        <x:v>326</x:v>
      </x:c>
      <x:c r="B333" s="2"/>
      <x:c r="C333" s="12" t="n">
        <x:v>46657</x:v>
      </x:c>
      <x:c r="D333" s="13" t="str">
        <x:v>Банк ҳәм касса есабын салыстырыў</x:v>
      </x:c>
      <x:c r="E333" s="14" t="n">
        <x:v>46660</x:v>
      </x:c>
      <x:c r="F333" s="14"/>
      <x:c r="G333" s="2" t="str">
        <x:v>2027-09</x:v>
      </x:c>
      <x:c r="H333" s="2" t="str">
        <x:v>Барлығы</x:v>
      </x:c>
      <x:c r="I333" s="10"/>
      <x:c r="J333" s="10"/>
      <x:c r="K333" s="2" t="n">
        <x:f>SUMIFS('Күнлик есабат'!$F$8:$F$507,'Күнлик есабат'!$C$8:$C$507,A333,'Күнлик есабат'!$L$8:$L$507,0,'Күнлик есабат'!$M$8:$M$507,0)-SUMIFS('Күнлик есабат'!$H$8:$H$507,'Күнлик есабат'!$C$8:$C$507,A333,'Күнлик есабат'!$L$8:$L$507,0,'Күнлик есабат'!$M$8:$M$507,0)</x:f>
        <x:v>0</x:v>
      </x:c>
      <x:c r="L333" s="2" t="n">
        <x:f>SUMIFS('Күнлик есабат'!$G$8:$G$507,'Күнлик есабат'!$C$8:$C$507,A333,'Күнлик есабат'!$L$8:$L$507,0,'Күнлик есабат'!$M$8:$M$507,0)</x:f>
        <x:v>0</x:v>
      </x:c>
      <x:c r="M333" s="2" t="str">
        <x:f>IF(I333="","",MAX(I333-K333,0))</x:f>
      </x:c>
      <x:c r="N333" s="16" t="str">
        <x:f>IF(OR(I333="",I333=0),"",MIN(K333/I333,1))</x:f>
      </x:c>
      <x:c r="O333" s="2" t="n">
        <x:f>24-COUNTIFS('Клиентлер'!$T$8:$T$31,1)</x:f>
        <x:v>24</x:v>
      </x:c>
      <x:c r="P333" s="2"/>
      <x:c r="Q333" s="2" t="str">
        <x:v>Ишки</x:v>
      </x:c>
      <x:c r="R333" s="10"/>
      <x:c r="S333" s="2" t="n">
        <x:f>IF(COUNT(I333)=1,1,0)</x:f>
        <x:v>0</x:v>
      </x:c>
    </x:row>
    <x:row r="334" ht="46" customHeight="1">
      <x:c r="A334" s="2" t="n">
        <x:v>327</x:v>
      </x:c>
      <x:c r="B334" s="2"/>
      <x:c r="C334" s="12" t="n">
        <x:v>46657</x:v>
      </x:c>
      <x:c r="D334" s="13" t="str">
        <x:v>1С ҳүжжетлерин толық киритиў</x:v>
      </x:c>
      <x:c r="E334" s="14" t="n">
        <x:v>46660</x:v>
      </x:c>
      <x:c r="F334" s="14"/>
      <x:c r="G334" s="2" t="str">
        <x:v>2027-09</x:v>
      </x:c>
      <x:c r="H334" s="2" t="str">
        <x:v>Барлығы</x:v>
      </x:c>
      <x:c r="I334" s="10"/>
      <x:c r="J334" s="10"/>
      <x:c r="K334" s="2" t="n">
        <x:f>SUMIFS('Күнлик есабат'!$F$8:$F$507,'Күнлик есабат'!$C$8:$C$507,A334,'Күнлик есабат'!$L$8:$L$507,0,'Күнлик есабат'!$M$8:$M$507,0)-SUMIFS('Күнлик есабат'!$H$8:$H$507,'Күнлик есабат'!$C$8:$C$507,A334,'Күнлик есабат'!$L$8:$L$507,0,'Күнлик есабат'!$M$8:$M$507,0)</x:f>
        <x:v>0</x:v>
      </x:c>
      <x:c r="L334" s="2" t="n">
        <x:f>SUMIFS('Күнлик есабат'!$G$8:$G$507,'Күнлик есабат'!$C$8:$C$507,A334,'Күнлик есабат'!$L$8:$L$507,0,'Күнлик есабат'!$M$8:$M$507,0)</x:f>
        <x:v>0</x:v>
      </x:c>
      <x:c r="M334" s="2" t="str">
        <x:f>IF(I334="","",MAX(I334-K334,0))</x:f>
      </x:c>
      <x:c r="N334" s="16" t="str">
        <x:f>IF(OR(I334="",I334=0),"",MIN(K334/I334,1))</x:f>
      </x:c>
      <x:c r="O334" s="2" t="n">
        <x:f>24-COUNTIFS('Клиентлер'!$T$8:$T$31,1)</x:f>
        <x:v>24</x:v>
      </x:c>
      <x:c r="P334" s="2"/>
      <x:c r="Q334" s="2" t="str">
        <x:v>Ишки</x:v>
      </x:c>
      <x:c r="R334" s="10"/>
      <x:c r="S334" s="2" t="n">
        <x:f>IF(COUNT(I334)=1,1,0)</x:f>
        <x:v>0</x:v>
      </x:c>
    </x:row>
    <x:row r="335" ht="46" customHeight="1">
      <x:c r="A335" s="2" t="n">
        <x:v>328</x:v>
      </x:c>
      <x:c r="B335" s="2"/>
      <x:c r="C335" s="12" t="n">
        <x:v>46657</x:v>
      </x:c>
      <x:c r="D335" s="13" t="str">
        <x:v>ККМ чеклери ҳәм фактураларды салыстырыў</x:v>
      </x:c>
      <x:c r="E335" s="14" t="n">
        <x:v>46660</x:v>
      </x:c>
      <x:c r="F335" s="14"/>
      <x:c r="G335" s="2" t="str">
        <x:v>2027-09</x:v>
      </x:c>
      <x:c r="H335" s="2" t="str">
        <x:v>Барлығы</x:v>
      </x:c>
      <x:c r="I335" s="10"/>
      <x:c r="J335" s="10"/>
      <x:c r="K335" s="2" t="n">
        <x:f>SUMIFS('Күнлик есабат'!$F$8:$F$507,'Күнлик есабат'!$C$8:$C$507,A335,'Күнлик есабат'!$L$8:$L$507,0,'Күнлик есабат'!$M$8:$M$507,0)-SUMIFS('Күнлик есабат'!$H$8:$H$507,'Күнлик есабат'!$C$8:$C$507,A335,'Күнлик есабат'!$L$8:$L$507,0,'Күнлик есабат'!$M$8:$M$507,0)</x:f>
        <x:v>0</x:v>
      </x:c>
      <x:c r="L335" s="2" t="n">
        <x:f>SUMIFS('Күнлик есабат'!$G$8:$G$507,'Күнлик есабат'!$C$8:$C$507,A335,'Күнлик есабат'!$L$8:$L$507,0,'Күнлик есабат'!$M$8:$M$507,0)</x:f>
        <x:v>0</x:v>
      </x:c>
      <x:c r="M335" s="2" t="str">
        <x:f>IF(I335="","",MAX(I335-K335,0))</x:f>
      </x:c>
      <x:c r="N335" s="16" t="str">
        <x:f>IF(OR(I335="",I335=0),"",MIN(K335/I335,1))</x:f>
      </x:c>
      <x:c r="O335" s="2" t="n">
        <x:f>24-COUNTIFS('Клиентлер'!$T$8:$T$31,1)</x:f>
        <x:v>24</x:v>
      </x:c>
      <x:c r="P335" s="2"/>
      <x:c r="Q335" s="2" t="str">
        <x:v>Ишки</x:v>
      </x:c>
      <x:c r="R335" s="10"/>
      <x:c r="S335" s="2" t="n">
        <x:f>IF(COUNT(I335)=1,1,0)</x:f>
        <x:v>0</x:v>
      </x:c>
    </x:row>
    <x:row r="336" ht="46" customHeight="1">
      <x:c r="A336" s="2" t="n">
        <x:v>329</x:v>
      </x:c>
      <x:c r="B336" s="2"/>
      <x:c r="C336" s="12" t="n">
        <x:v>46657</x:v>
      </x:c>
      <x:c r="D336" s="13" t="str">
        <x:v>Қойма кирим-шығымын тексериў</x:v>
      </x:c>
      <x:c r="E336" s="14" t="n">
        <x:v>46660</x:v>
      </x:c>
      <x:c r="F336" s="14"/>
      <x:c r="G336" s="2" t="str">
        <x:v>2027-09</x:v>
      </x:c>
      <x:c r="H336" s="2" t="str">
        <x:v>Барлығы</x:v>
      </x:c>
      <x:c r="I336" s="10"/>
      <x:c r="J336" s="10"/>
      <x:c r="K336" s="2" t="n">
        <x:f>SUMIFS('Күнлик есабат'!$F$8:$F$507,'Күнлик есабат'!$C$8:$C$507,A336,'Күнлик есабат'!$L$8:$L$507,0,'Күнлик есабат'!$M$8:$M$507,0)-SUMIFS('Күнлик есабат'!$H$8:$H$507,'Күнлик есабат'!$C$8:$C$507,A336,'Күнлик есабат'!$L$8:$L$507,0,'Күнлик есабат'!$M$8:$M$507,0)</x:f>
        <x:v>0</x:v>
      </x:c>
      <x:c r="L336" s="2" t="n">
        <x:f>SUMIFS('Күнлик есабат'!$G$8:$G$507,'Күнлик есабат'!$C$8:$C$507,A336,'Күнлик есабат'!$L$8:$L$507,0,'Күнлик есабат'!$M$8:$M$507,0)</x:f>
        <x:v>0</x:v>
      </x:c>
      <x:c r="M336" s="2" t="str">
        <x:f>IF(I336="","",MAX(I336-K336,0))</x:f>
      </x:c>
      <x:c r="N336" s="16" t="str">
        <x:f>IF(OR(I336="",I336=0),"",MIN(K336/I336,1))</x:f>
      </x:c>
      <x:c r="O336" s="2" t="n">
        <x:f>24-COUNTIFS('Клиентлер'!$T$8:$T$31,1)</x:f>
        <x:v>24</x:v>
      </x:c>
      <x:c r="P336" s="2"/>
      <x:c r="Q336" s="2" t="str">
        <x:v>Ишки</x:v>
      </x:c>
      <x:c r="R336" s="10"/>
      <x:c r="S336" s="2" t="n">
        <x:f>IF(COUNT(I336)=1,1,0)</x:f>
        <x:v>0</x:v>
      </x:c>
    </x:row>
    <x:row r="337" ht="46" customHeight="1">
      <x:c r="A337" s="2" t="n">
        <x:v>330</x:v>
      </x:c>
      <x:c r="B337" s="2"/>
      <x:c r="C337" s="12" t="n">
        <x:v>46657</x:v>
      </x:c>
      <x:c r="D337" s="13" t="str">
        <x:v>Дебитор-кредитор қарызларын салыстырыў</x:v>
      </x:c>
      <x:c r="E337" s="14" t="n">
        <x:v>46660</x:v>
      </x:c>
      <x:c r="F337" s="14"/>
      <x:c r="G337" s="2" t="str">
        <x:v>2027-09</x:v>
      </x:c>
      <x:c r="H337" s="2" t="str">
        <x:v>Барлығы</x:v>
      </x:c>
      <x:c r="I337" s="10"/>
      <x:c r="J337" s="10"/>
      <x:c r="K337" s="2" t="n">
        <x:f>SUMIFS('Күнлик есабат'!$F$8:$F$507,'Күнлик есабат'!$C$8:$C$507,A337,'Күнлик есабат'!$L$8:$L$507,0,'Күнлик есабат'!$M$8:$M$507,0)-SUMIFS('Күнлик есабат'!$H$8:$H$507,'Күнлик есабат'!$C$8:$C$507,A337,'Күнлик есабат'!$L$8:$L$507,0,'Күнлик есабат'!$M$8:$M$507,0)</x:f>
        <x:v>0</x:v>
      </x:c>
      <x:c r="L337" s="2" t="n">
        <x:f>SUMIFS('Күнлик есабат'!$G$8:$G$507,'Күнлик есабат'!$C$8:$C$507,A337,'Күнлик есабат'!$L$8:$L$507,0,'Күнлик есабат'!$M$8:$M$507,0)</x:f>
        <x:v>0</x:v>
      </x:c>
      <x:c r="M337" s="2" t="str">
        <x:f>IF(I337="","",MAX(I337-K337,0))</x:f>
      </x:c>
      <x:c r="N337" s="16" t="str">
        <x:f>IF(OR(I337="",I337=0),"",MIN(K337/I337,1))</x:f>
      </x:c>
      <x:c r="O337" s="2" t="n">
        <x:f>24-COUNTIFS('Клиентлер'!$T$8:$T$31,1)</x:f>
        <x:v>24</x:v>
      </x:c>
      <x:c r="P337" s="2"/>
      <x:c r="Q337" s="2" t="str">
        <x:v>Ишки</x:v>
      </x:c>
      <x:c r="R337" s="10"/>
      <x:c r="S337" s="2" t="n">
        <x:f>IF(COUNT(I337)=1,1,0)</x:f>
        <x:v>0</x:v>
      </x:c>
    </x:row>
    <x:row r="338" ht="46" customHeight="1">
      <x:c r="A338" s="2" t="n">
        <x:v>331</x:v>
      </x:c>
      <x:c r="B338" s="2"/>
      <x:c r="C338" s="12" t="n">
        <x:v>46657</x:v>
      </x:c>
      <x:c r="D338" s="13" t="str">
        <x:v>Айлық ҳәм кадр ҳүжжетлерин тексериў</x:v>
      </x:c>
      <x:c r="E338" s="14" t="n">
        <x:v>46660</x:v>
      </x:c>
      <x:c r="F338" s="14"/>
      <x:c r="G338" s="2" t="str">
        <x:v>2027-09</x:v>
      </x:c>
      <x:c r="H338" s="2" t="str">
        <x:v>Барлығы</x:v>
      </x:c>
      <x:c r="I338" s="10"/>
      <x:c r="J338" s="10"/>
      <x:c r="K338" s="2" t="n">
        <x:f>SUMIFS('Күнлик есабат'!$F$8:$F$507,'Күнлик есабат'!$C$8:$C$507,A338,'Күнлик есабат'!$L$8:$L$507,0,'Күнлик есабат'!$M$8:$M$507,0)-SUMIFS('Күнлик есабат'!$H$8:$H$507,'Күнлик есабат'!$C$8:$C$507,A338,'Күнлик есабат'!$L$8:$L$507,0,'Күнлик есабат'!$M$8:$M$507,0)</x:f>
        <x:v>0</x:v>
      </x:c>
      <x:c r="L338" s="2" t="n">
        <x:f>SUMIFS('Күнлик есабат'!$G$8:$G$507,'Күнлик есабат'!$C$8:$C$507,A338,'Күнлик есабат'!$L$8:$L$507,0,'Күнлик есабат'!$M$8:$M$507,0)</x:f>
        <x:v>0</x:v>
      </x:c>
      <x:c r="M338" s="2" t="str">
        <x:f>IF(I338="","",MAX(I338-K338,0))</x:f>
      </x:c>
      <x:c r="N338" s="16" t="str">
        <x:f>IF(OR(I338="",I338=0),"",MIN(K338/I338,1))</x:f>
      </x:c>
      <x:c r="O338" s="2" t="n">
        <x:f>24-COUNTIFS('Клиентлер'!$T$8:$T$31,1)</x:f>
        <x:v>24</x:v>
      </x:c>
      <x:c r="P338" s="2"/>
      <x:c r="Q338" s="2" t="str">
        <x:v>Ишки</x:v>
      </x:c>
      <x:c r="R338" s="10"/>
      <x:c r="S338" s="2" t="n">
        <x:f>IF(COUNT(I338)=1,1,0)</x:f>
        <x:v>0</x:v>
      </x:c>
    </x:row>
    <x:row r="339" ht="46" customHeight="1">
      <x:c r="A339" s="2" t="n">
        <x:v>332</x:v>
      </x:c>
      <x:c r="B339" s="2"/>
      <x:c r="C339" s="12" t="n">
        <x:v>46657</x:v>
      </x:c>
      <x:c r="D339" s="13" t="str">
        <x:v>Клиентке айлық жуўмақ бериў</x:v>
      </x:c>
      <x:c r="E339" s="14" t="n">
        <x:v>46660</x:v>
      </x:c>
      <x:c r="F339" s="14"/>
      <x:c r="G339" s="2" t="str">
        <x:v>2027-09</x:v>
      </x:c>
      <x:c r="H339" s="2" t="str">
        <x:v>Барлығы</x:v>
      </x:c>
      <x:c r="I339" s="10"/>
      <x:c r="J339" s="10"/>
      <x:c r="K339" s="2" t="n">
        <x:f>SUMIFS('Күнлик есабат'!$F$8:$F$507,'Күнлик есабат'!$C$8:$C$507,A339,'Күнлик есабат'!$L$8:$L$507,0,'Күнлик есабат'!$M$8:$M$507,0)-SUMIFS('Күнлик есабат'!$H$8:$H$507,'Күнлик есабат'!$C$8:$C$507,A339,'Күнлик есабат'!$L$8:$L$507,0,'Күнлик есабат'!$M$8:$M$507,0)</x:f>
        <x:v>0</x:v>
      </x:c>
      <x:c r="L339" s="2" t="n">
        <x:f>SUMIFS('Күнлик есабат'!$G$8:$G$507,'Күнлик есабат'!$C$8:$C$507,A339,'Күнлик есабат'!$L$8:$L$507,0,'Күнлик есабат'!$M$8:$M$507,0)</x:f>
        <x:v>0</x:v>
      </x:c>
      <x:c r="M339" s="2" t="str">
        <x:f>IF(I339="","",MAX(I339-K339,0))</x:f>
      </x:c>
      <x:c r="N339" s="16" t="str">
        <x:f>IF(OR(I339="",I339=0),"",MIN(K339/I339,1))</x:f>
      </x:c>
      <x:c r="O339" s="2" t="n">
        <x:f>24-COUNTIFS('Клиентлер'!$T$8:$T$31,1)</x:f>
        <x:v>24</x:v>
      </x:c>
      <x:c r="P339" s="2"/>
      <x:c r="Q339" s="2" t="str">
        <x:v>Ишки</x:v>
      </x:c>
      <x:c r="R339" s="10"/>
      <x:c r="S339" s="2" t="n">
        <x:f>IF(COUNT(I339)=1,1,0)</x:f>
        <x:v>0</x:v>
      </x:c>
    </x:row>
    <x:row r="340" ht="46" customHeight="1">
      <x:c r="A340" s="2" t="n">
        <x:v>333</x:v>
      </x:c>
      <x:c r="B340" s="2"/>
      <x:c r="C340" s="12" t="n">
        <x:v>46688</x:v>
      </x:c>
      <x:c r="D340" s="13" t="str">
        <x:v>Банк ҳәм касса есабын салыстырыў</x:v>
      </x:c>
      <x:c r="E340" s="14" t="n">
        <x:v>46691</x:v>
      </x:c>
      <x:c r="F340" s="14"/>
      <x:c r="G340" s="2" t="str">
        <x:v>2027-10</x:v>
      </x:c>
      <x:c r="H340" s="2" t="str">
        <x:v>Барлығы</x:v>
      </x:c>
      <x:c r="I340" s="10"/>
      <x:c r="J340" s="10"/>
      <x:c r="K340" s="2" t="n">
        <x:f>SUMIFS('Күнлик есабат'!$F$8:$F$507,'Күнлик есабат'!$C$8:$C$507,A340,'Күнлик есабат'!$L$8:$L$507,0,'Күнлик есабат'!$M$8:$M$507,0)-SUMIFS('Күнлик есабат'!$H$8:$H$507,'Күнлик есабат'!$C$8:$C$507,A340,'Күнлик есабат'!$L$8:$L$507,0,'Күнлик есабат'!$M$8:$M$507,0)</x:f>
        <x:v>0</x:v>
      </x:c>
      <x:c r="L340" s="2" t="n">
        <x:f>SUMIFS('Күнлик есабат'!$G$8:$G$507,'Күнлик есабат'!$C$8:$C$507,A340,'Күнлик есабат'!$L$8:$L$507,0,'Күнлик есабат'!$M$8:$M$507,0)</x:f>
        <x:v>0</x:v>
      </x:c>
      <x:c r="M340" s="2" t="str">
        <x:f>IF(I340="","",MAX(I340-K340,0))</x:f>
      </x:c>
      <x:c r="N340" s="16" t="str">
        <x:f>IF(OR(I340="",I340=0),"",MIN(K340/I340,1))</x:f>
      </x:c>
      <x:c r="O340" s="2" t="n">
        <x:f>24-COUNTIFS('Клиентлер'!$T$8:$T$31,1)</x:f>
        <x:v>24</x:v>
      </x:c>
      <x:c r="P340" s="2"/>
      <x:c r="Q340" s="2" t="str">
        <x:v>Ишки</x:v>
      </x:c>
      <x:c r="R340" s="10"/>
      <x:c r="S340" s="2" t="n">
        <x:f>IF(COUNT(I340)=1,1,0)</x:f>
        <x:v>0</x:v>
      </x:c>
    </x:row>
    <x:row r="341" ht="46" customHeight="1">
      <x:c r="A341" s="2" t="n">
        <x:v>334</x:v>
      </x:c>
      <x:c r="B341" s="2"/>
      <x:c r="C341" s="12" t="n">
        <x:v>46688</x:v>
      </x:c>
      <x:c r="D341" s="13" t="str">
        <x:v>1С ҳүжжетлерин толық киритиў</x:v>
      </x:c>
      <x:c r="E341" s="14" t="n">
        <x:v>46691</x:v>
      </x:c>
      <x:c r="F341" s="14"/>
      <x:c r="G341" s="2" t="str">
        <x:v>2027-10</x:v>
      </x:c>
      <x:c r="H341" s="2" t="str">
        <x:v>Барлығы</x:v>
      </x:c>
      <x:c r="I341" s="10"/>
      <x:c r="J341" s="10"/>
      <x:c r="K341" s="2" t="n">
        <x:f>SUMIFS('Күнлик есабат'!$F$8:$F$507,'Күнлик есабат'!$C$8:$C$507,A341,'Күнлик есабат'!$L$8:$L$507,0,'Күнлик есабат'!$M$8:$M$507,0)-SUMIFS('Күнлик есабат'!$H$8:$H$507,'Күнлик есабат'!$C$8:$C$507,A341,'Күнлик есабат'!$L$8:$L$507,0,'Күнлик есабат'!$M$8:$M$507,0)</x:f>
        <x:v>0</x:v>
      </x:c>
      <x:c r="L341" s="2" t="n">
        <x:f>SUMIFS('Күнлик есабат'!$G$8:$G$507,'Күнлик есабат'!$C$8:$C$507,A341,'Күнлик есабат'!$L$8:$L$507,0,'Күнлик есабат'!$M$8:$M$507,0)</x:f>
        <x:v>0</x:v>
      </x:c>
      <x:c r="M341" s="2" t="str">
        <x:f>IF(I341="","",MAX(I341-K341,0))</x:f>
      </x:c>
      <x:c r="N341" s="16" t="str">
        <x:f>IF(OR(I341="",I341=0),"",MIN(K341/I341,1))</x:f>
      </x:c>
      <x:c r="O341" s="2" t="n">
        <x:f>24-COUNTIFS('Клиентлер'!$T$8:$T$31,1)</x:f>
        <x:v>24</x:v>
      </x:c>
      <x:c r="P341" s="2"/>
      <x:c r="Q341" s="2" t="str">
        <x:v>Ишки</x:v>
      </x:c>
      <x:c r="R341" s="10"/>
      <x:c r="S341" s="2" t="n">
        <x:f>IF(COUNT(I341)=1,1,0)</x:f>
        <x:v>0</x:v>
      </x:c>
    </x:row>
    <x:row r="342" ht="46" customHeight="1">
      <x:c r="A342" s="2" t="n">
        <x:v>335</x:v>
      </x:c>
      <x:c r="B342" s="2"/>
      <x:c r="C342" s="12" t="n">
        <x:v>46688</x:v>
      </x:c>
      <x:c r="D342" s="13" t="str">
        <x:v>ККМ чеклери ҳәм фактураларды салыстырыў</x:v>
      </x:c>
      <x:c r="E342" s="14" t="n">
        <x:v>46691</x:v>
      </x:c>
      <x:c r="F342" s="14"/>
      <x:c r="G342" s="2" t="str">
        <x:v>2027-10</x:v>
      </x:c>
      <x:c r="H342" s="2" t="str">
        <x:v>Барлығы</x:v>
      </x:c>
      <x:c r="I342" s="10"/>
      <x:c r="J342" s="10"/>
      <x:c r="K342" s="2" t="n">
        <x:f>SUMIFS('Күнлик есабат'!$F$8:$F$507,'Күнлик есабат'!$C$8:$C$507,A342,'Күнлик есабат'!$L$8:$L$507,0,'Күнлик есабат'!$M$8:$M$507,0)-SUMIFS('Күнлик есабат'!$H$8:$H$507,'Күнлик есабат'!$C$8:$C$507,A342,'Күнлик есабат'!$L$8:$L$507,0,'Күнлик есабат'!$M$8:$M$507,0)</x:f>
        <x:v>0</x:v>
      </x:c>
      <x:c r="L342" s="2" t="n">
        <x:f>SUMIFS('Күнлик есабат'!$G$8:$G$507,'Күнлик есабат'!$C$8:$C$507,A342,'Күнлик есабат'!$L$8:$L$507,0,'Күнлик есабат'!$M$8:$M$507,0)</x:f>
        <x:v>0</x:v>
      </x:c>
      <x:c r="M342" s="2" t="str">
        <x:f>IF(I342="","",MAX(I342-K342,0))</x:f>
      </x:c>
      <x:c r="N342" s="16" t="str">
        <x:f>IF(OR(I342="",I342=0),"",MIN(K342/I342,1))</x:f>
      </x:c>
      <x:c r="O342" s="2" t="n">
        <x:f>24-COUNTIFS('Клиентлер'!$T$8:$T$31,1)</x:f>
        <x:v>24</x:v>
      </x:c>
      <x:c r="P342" s="2"/>
      <x:c r="Q342" s="2" t="str">
        <x:v>Ишки</x:v>
      </x:c>
      <x:c r="R342" s="10"/>
      <x:c r="S342" s="2" t="n">
        <x:f>IF(COUNT(I342)=1,1,0)</x:f>
        <x:v>0</x:v>
      </x:c>
    </x:row>
    <x:row r="343" ht="46" customHeight="1">
      <x:c r="A343" s="2" t="n">
        <x:v>336</x:v>
      </x:c>
      <x:c r="B343" s="2"/>
      <x:c r="C343" s="12" t="n">
        <x:v>46688</x:v>
      </x:c>
      <x:c r="D343" s="13" t="str">
        <x:v>Қойма кирим-шығымын тексериў</x:v>
      </x:c>
      <x:c r="E343" s="14" t="n">
        <x:v>46691</x:v>
      </x:c>
      <x:c r="F343" s="14"/>
      <x:c r="G343" s="2" t="str">
        <x:v>2027-10</x:v>
      </x:c>
      <x:c r="H343" s="2" t="str">
        <x:v>Барлығы</x:v>
      </x:c>
      <x:c r="I343" s="10"/>
      <x:c r="J343" s="10"/>
      <x:c r="K343" s="2" t="n">
        <x:f>SUMIFS('Күнлик есабат'!$F$8:$F$507,'Күнлик есабат'!$C$8:$C$507,A343,'Күнлик есабат'!$L$8:$L$507,0,'Күнлик есабат'!$M$8:$M$507,0)-SUMIFS('Күнлик есабат'!$H$8:$H$507,'Күнлик есабат'!$C$8:$C$507,A343,'Күнлик есабат'!$L$8:$L$507,0,'Күнлик есабат'!$M$8:$M$507,0)</x:f>
        <x:v>0</x:v>
      </x:c>
      <x:c r="L343" s="2" t="n">
        <x:f>SUMIFS('Күнлик есабат'!$G$8:$G$507,'Күнлик есабат'!$C$8:$C$507,A343,'Күнлик есабат'!$L$8:$L$507,0,'Күнлик есабат'!$M$8:$M$507,0)</x:f>
        <x:v>0</x:v>
      </x:c>
      <x:c r="M343" s="2" t="str">
        <x:f>IF(I343="","",MAX(I343-K343,0))</x:f>
      </x:c>
      <x:c r="N343" s="16" t="str">
        <x:f>IF(OR(I343="",I343=0),"",MIN(K343/I343,1))</x:f>
      </x:c>
      <x:c r="O343" s="2" t="n">
        <x:f>24-COUNTIFS('Клиентлер'!$T$8:$T$31,1)</x:f>
        <x:v>24</x:v>
      </x:c>
      <x:c r="P343" s="2"/>
      <x:c r="Q343" s="2" t="str">
        <x:v>Ишки</x:v>
      </x:c>
      <x:c r="R343" s="10"/>
      <x:c r="S343" s="2" t="n">
        <x:f>IF(COUNT(I343)=1,1,0)</x:f>
        <x:v>0</x:v>
      </x:c>
    </x:row>
    <x:row r="344" ht="46" customHeight="1">
      <x:c r="A344" s="2" t="n">
        <x:v>337</x:v>
      </x:c>
      <x:c r="B344" s="2"/>
      <x:c r="C344" s="12" t="n">
        <x:v>46688</x:v>
      </x:c>
      <x:c r="D344" s="13" t="str">
        <x:v>Дебитор-кредитор қарызларын салыстырыў</x:v>
      </x:c>
      <x:c r="E344" s="14" t="n">
        <x:v>46691</x:v>
      </x:c>
      <x:c r="F344" s="14"/>
      <x:c r="G344" s="2" t="str">
        <x:v>2027-10</x:v>
      </x:c>
      <x:c r="H344" s="2" t="str">
        <x:v>Барлығы</x:v>
      </x:c>
      <x:c r="I344" s="10"/>
      <x:c r="J344" s="10"/>
      <x:c r="K344" s="2" t="n">
        <x:f>SUMIFS('Күнлик есабат'!$F$8:$F$507,'Күнлик есабат'!$C$8:$C$507,A344,'Күнлик есабат'!$L$8:$L$507,0,'Күнлик есабат'!$M$8:$M$507,0)-SUMIFS('Күнлик есабат'!$H$8:$H$507,'Күнлик есабат'!$C$8:$C$507,A344,'Күнлик есабат'!$L$8:$L$507,0,'Күнлик есабат'!$M$8:$M$507,0)</x:f>
        <x:v>0</x:v>
      </x:c>
      <x:c r="L344" s="2" t="n">
        <x:f>SUMIFS('Күнлик есабат'!$G$8:$G$507,'Күнлик есабат'!$C$8:$C$507,A344,'Күнлик есабат'!$L$8:$L$507,0,'Күнлик есабат'!$M$8:$M$507,0)</x:f>
        <x:v>0</x:v>
      </x:c>
      <x:c r="M344" s="2" t="str">
        <x:f>IF(I344="","",MAX(I344-K344,0))</x:f>
      </x:c>
      <x:c r="N344" s="16" t="str">
        <x:f>IF(OR(I344="",I344=0),"",MIN(K344/I344,1))</x:f>
      </x:c>
      <x:c r="O344" s="2" t="n">
        <x:f>24-COUNTIFS('Клиентлер'!$T$8:$T$31,1)</x:f>
        <x:v>24</x:v>
      </x:c>
      <x:c r="P344" s="2"/>
      <x:c r="Q344" s="2" t="str">
        <x:v>Ишки</x:v>
      </x:c>
      <x:c r="R344" s="10"/>
      <x:c r="S344" s="2" t="n">
        <x:f>IF(COUNT(I344)=1,1,0)</x:f>
        <x:v>0</x:v>
      </x:c>
    </x:row>
    <x:row r="345" ht="46" customHeight="1">
      <x:c r="A345" s="2" t="n">
        <x:v>338</x:v>
      </x:c>
      <x:c r="B345" s="2"/>
      <x:c r="C345" s="12" t="n">
        <x:v>46688</x:v>
      </x:c>
      <x:c r="D345" s="13" t="str">
        <x:v>Айлық ҳәм кадр ҳүжжетлерин тексериў</x:v>
      </x:c>
      <x:c r="E345" s="14" t="n">
        <x:v>46691</x:v>
      </x:c>
      <x:c r="F345" s="14"/>
      <x:c r="G345" s="2" t="str">
        <x:v>2027-10</x:v>
      </x:c>
      <x:c r="H345" s="2" t="str">
        <x:v>Барлығы</x:v>
      </x:c>
      <x:c r="I345" s="10"/>
      <x:c r="J345" s="10"/>
      <x:c r="K345" s="2" t="n">
        <x:f>SUMIFS('Күнлик есабат'!$F$8:$F$507,'Күнлик есабат'!$C$8:$C$507,A345,'Күнлик есабат'!$L$8:$L$507,0,'Күнлик есабат'!$M$8:$M$507,0)-SUMIFS('Күнлик есабат'!$H$8:$H$507,'Күнлик есабат'!$C$8:$C$507,A345,'Күнлик есабат'!$L$8:$L$507,0,'Күнлик есабат'!$M$8:$M$507,0)</x:f>
        <x:v>0</x:v>
      </x:c>
      <x:c r="L345" s="2" t="n">
        <x:f>SUMIFS('Күнлик есабат'!$G$8:$G$507,'Күнлик есабат'!$C$8:$C$507,A345,'Күнлик есабат'!$L$8:$L$507,0,'Күнлик есабат'!$M$8:$M$507,0)</x:f>
        <x:v>0</x:v>
      </x:c>
      <x:c r="M345" s="2" t="str">
        <x:f>IF(I345="","",MAX(I345-K345,0))</x:f>
      </x:c>
      <x:c r="N345" s="16" t="str">
        <x:f>IF(OR(I345="",I345=0),"",MIN(K345/I345,1))</x:f>
      </x:c>
      <x:c r="O345" s="2" t="n">
        <x:f>24-COUNTIFS('Клиентлер'!$T$8:$T$31,1)</x:f>
        <x:v>24</x:v>
      </x:c>
      <x:c r="P345" s="2"/>
      <x:c r="Q345" s="2" t="str">
        <x:v>Ишки</x:v>
      </x:c>
      <x:c r="R345" s="10"/>
      <x:c r="S345" s="2" t="n">
        <x:f>IF(COUNT(I345)=1,1,0)</x:f>
        <x:v>0</x:v>
      </x:c>
    </x:row>
    <x:row r="346" ht="46" customHeight="1">
      <x:c r="A346" s="2" t="n">
        <x:v>339</x:v>
      </x:c>
      <x:c r="B346" s="2"/>
      <x:c r="C346" s="12" t="n">
        <x:v>46688</x:v>
      </x:c>
      <x:c r="D346" s="13" t="str">
        <x:v>Клиентке айлық жуўмақ бериў</x:v>
      </x:c>
      <x:c r="E346" s="14" t="n">
        <x:v>46691</x:v>
      </x:c>
      <x:c r="F346" s="14"/>
      <x:c r="G346" s="2" t="str">
        <x:v>2027-10</x:v>
      </x:c>
      <x:c r="H346" s="2" t="str">
        <x:v>Барлығы</x:v>
      </x:c>
      <x:c r="I346" s="10"/>
      <x:c r="J346" s="10"/>
      <x:c r="K346" s="2" t="n">
        <x:f>SUMIFS('Күнлик есабат'!$F$8:$F$507,'Күнлик есабат'!$C$8:$C$507,A346,'Күнлик есабат'!$L$8:$L$507,0,'Күнлик есабат'!$M$8:$M$507,0)-SUMIFS('Күнлик есабат'!$H$8:$H$507,'Күнлик есабат'!$C$8:$C$507,A346,'Күнлик есабат'!$L$8:$L$507,0,'Күнлик есабат'!$M$8:$M$507,0)</x:f>
        <x:v>0</x:v>
      </x:c>
      <x:c r="L346" s="2" t="n">
        <x:f>SUMIFS('Күнлик есабат'!$G$8:$G$507,'Күнлик есабат'!$C$8:$C$507,A346,'Күнлик есабат'!$L$8:$L$507,0,'Күнлик есабат'!$M$8:$M$507,0)</x:f>
        <x:v>0</x:v>
      </x:c>
      <x:c r="M346" s="2" t="str">
        <x:f>IF(I346="","",MAX(I346-K346,0))</x:f>
      </x:c>
      <x:c r="N346" s="16" t="str">
        <x:f>IF(OR(I346="",I346=0),"",MIN(K346/I346,1))</x:f>
      </x:c>
      <x:c r="O346" s="2" t="n">
        <x:f>24-COUNTIFS('Клиентлер'!$T$8:$T$31,1)</x:f>
        <x:v>24</x:v>
      </x:c>
      <x:c r="P346" s="2"/>
      <x:c r="Q346" s="2" t="str">
        <x:v>Ишки</x:v>
      </x:c>
      <x:c r="R346" s="10"/>
      <x:c r="S346" s="2" t="n">
        <x:f>IF(COUNT(I346)=1,1,0)</x:f>
        <x:v>0</x:v>
      </x:c>
    </x:row>
    <x:row r="347" ht="46" customHeight="1">
      <x:c r="A347" s="2" t="n">
        <x:v>340</x:v>
      </x:c>
      <x:c r="B347" s="2"/>
      <x:c r="C347" s="12" t="n">
        <x:v>46718</x:v>
      </x:c>
      <x:c r="D347" s="13" t="str">
        <x:v>Банк ҳәм касса есабын салыстырыў</x:v>
      </x:c>
      <x:c r="E347" s="14" t="n">
        <x:v>46721</x:v>
      </x:c>
      <x:c r="F347" s="14"/>
      <x:c r="G347" s="2" t="str">
        <x:v>2027-11</x:v>
      </x:c>
      <x:c r="H347" s="2" t="str">
        <x:v>Барлығы</x:v>
      </x:c>
      <x:c r="I347" s="10"/>
      <x:c r="J347" s="10"/>
      <x:c r="K347" s="2" t="n">
        <x:f>SUMIFS('Күнлик есабат'!$F$8:$F$507,'Күнлик есабат'!$C$8:$C$507,A347,'Күнлик есабат'!$L$8:$L$507,0,'Күнлик есабат'!$M$8:$M$507,0)-SUMIFS('Күнлик есабат'!$H$8:$H$507,'Күнлик есабат'!$C$8:$C$507,A347,'Күнлик есабат'!$L$8:$L$507,0,'Күнлик есабат'!$M$8:$M$507,0)</x:f>
        <x:v>0</x:v>
      </x:c>
      <x:c r="L347" s="2" t="n">
        <x:f>SUMIFS('Күнлик есабат'!$G$8:$G$507,'Күнлик есабат'!$C$8:$C$507,A347,'Күнлик есабат'!$L$8:$L$507,0,'Күнлик есабат'!$M$8:$M$507,0)</x:f>
        <x:v>0</x:v>
      </x:c>
      <x:c r="M347" s="2" t="str">
        <x:f>IF(I347="","",MAX(I347-K347,0))</x:f>
      </x:c>
      <x:c r="N347" s="16" t="str">
        <x:f>IF(OR(I347="",I347=0),"",MIN(K347/I347,1))</x:f>
      </x:c>
      <x:c r="O347" s="2" t="n">
        <x:f>24-COUNTIFS('Клиентлер'!$T$8:$T$31,1)</x:f>
        <x:v>24</x:v>
      </x:c>
      <x:c r="P347" s="2"/>
      <x:c r="Q347" s="2" t="str">
        <x:v>Ишки</x:v>
      </x:c>
      <x:c r="R347" s="10"/>
      <x:c r="S347" s="2" t="n">
        <x:f>IF(COUNT(I347)=1,1,0)</x:f>
        <x:v>0</x:v>
      </x:c>
    </x:row>
    <x:row r="348" ht="46" customHeight="1">
      <x:c r="A348" s="2" t="n">
        <x:v>341</x:v>
      </x:c>
      <x:c r="B348" s="2"/>
      <x:c r="C348" s="12" t="n">
        <x:v>46718</x:v>
      </x:c>
      <x:c r="D348" s="13" t="str">
        <x:v>1С ҳүжжетлерин толық киритиў</x:v>
      </x:c>
      <x:c r="E348" s="14" t="n">
        <x:v>46721</x:v>
      </x:c>
      <x:c r="F348" s="14"/>
      <x:c r="G348" s="2" t="str">
        <x:v>2027-11</x:v>
      </x:c>
      <x:c r="H348" s="2" t="str">
        <x:v>Барлығы</x:v>
      </x:c>
      <x:c r="I348" s="10"/>
      <x:c r="J348" s="10"/>
      <x:c r="K348" s="2" t="n">
        <x:f>SUMIFS('Күнлик есабат'!$F$8:$F$507,'Күнлик есабат'!$C$8:$C$507,A348,'Күнлик есабат'!$L$8:$L$507,0,'Күнлик есабат'!$M$8:$M$507,0)-SUMIFS('Күнлик есабат'!$H$8:$H$507,'Күнлик есабат'!$C$8:$C$507,A348,'Күнлик есабат'!$L$8:$L$507,0,'Күнлик есабат'!$M$8:$M$507,0)</x:f>
        <x:v>0</x:v>
      </x:c>
      <x:c r="L348" s="2" t="n">
        <x:f>SUMIFS('Күнлик есабат'!$G$8:$G$507,'Күнлик есабат'!$C$8:$C$507,A348,'Күнлик есабат'!$L$8:$L$507,0,'Күнлик есабат'!$M$8:$M$507,0)</x:f>
        <x:v>0</x:v>
      </x:c>
      <x:c r="M348" s="2" t="str">
        <x:f>IF(I348="","",MAX(I348-K348,0))</x:f>
      </x:c>
      <x:c r="N348" s="16" t="str">
        <x:f>IF(OR(I348="",I348=0),"",MIN(K348/I348,1))</x:f>
      </x:c>
      <x:c r="O348" s="2" t="n">
        <x:f>24-COUNTIFS('Клиентлер'!$T$8:$T$31,1)</x:f>
        <x:v>24</x:v>
      </x:c>
      <x:c r="P348" s="2"/>
      <x:c r="Q348" s="2" t="str">
        <x:v>Ишки</x:v>
      </x:c>
      <x:c r="R348" s="10"/>
      <x:c r="S348" s="2" t="n">
        <x:f>IF(COUNT(I348)=1,1,0)</x:f>
        <x:v>0</x:v>
      </x:c>
    </x:row>
    <x:row r="349" ht="46" customHeight="1">
      <x:c r="A349" s="2" t="n">
        <x:v>342</x:v>
      </x:c>
      <x:c r="B349" s="2"/>
      <x:c r="C349" s="12" t="n">
        <x:v>46718</x:v>
      </x:c>
      <x:c r="D349" s="13" t="str">
        <x:v>ККМ чеклери ҳәм фактураларды салыстырыў</x:v>
      </x:c>
      <x:c r="E349" s="14" t="n">
        <x:v>46721</x:v>
      </x:c>
      <x:c r="F349" s="14"/>
      <x:c r="G349" s="2" t="str">
        <x:v>2027-11</x:v>
      </x:c>
      <x:c r="H349" s="2" t="str">
        <x:v>Барлығы</x:v>
      </x:c>
      <x:c r="I349" s="10"/>
      <x:c r="J349" s="10"/>
      <x:c r="K349" s="2" t="n">
        <x:f>SUMIFS('Күнлик есабат'!$F$8:$F$507,'Күнлик есабат'!$C$8:$C$507,A349,'Күнлик есабат'!$L$8:$L$507,0,'Күнлик есабат'!$M$8:$M$507,0)-SUMIFS('Күнлик есабат'!$H$8:$H$507,'Күнлик есабат'!$C$8:$C$507,A349,'Күнлик есабат'!$L$8:$L$507,0,'Күнлик есабат'!$M$8:$M$507,0)</x:f>
        <x:v>0</x:v>
      </x:c>
      <x:c r="L349" s="2" t="n">
        <x:f>SUMIFS('Күнлик есабат'!$G$8:$G$507,'Күнлик есабат'!$C$8:$C$507,A349,'Күнлик есабат'!$L$8:$L$507,0,'Күнлик есабат'!$M$8:$M$507,0)</x:f>
        <x:v>0</x:v>
      </x:c>
      <x:c r="M349" s="2" t="str">
        <x:f>IF(I349="","",MAX(I349-K349,0))</x:f>
      </x:c>
      <x:c r="N349" s="16" t="str">
        <x:f>IF(OR(I349="",I349=0),"",MIN(K349/I349,1))</x:f>
      </x:c>
      <x:c r="O349" s="2" t="n">
        <x:f>24-COUNTIFS('Клиентлер'!$T$8:$T$31,1)</x:f>
        <x:v>24</x:v>
      </x:c>
      <x:c r="P349" s="2"/>
      <x:c r="Q349" s="2" t="str">
        <x:v>Ишки</x:v>
      </x:c>
      <x:c r="R349" s="10"/>
      <x:c r="S349" s="2" t="n">
        <x:f>IF(COUNT(I349)=1,1,0)</x:f>
        <x:v>0</x:v>
      </x:c>
    </x:row>
    <x:row r="350" ht="46" customHeight="1">
      <x:c r="A350" s="2" t="n">
        <x:v>343</x:v>
      </x:c>
      <x:c r="B350" s="2"/>
      <x:c r="C350" s="12" t="n">
        <x:v>46718</x:v>
      </x:c>
      <x:c r="D350" s="13" t="str">
        <x:v>Қойма кирим-шығымын тексериў</x:v>
      </x:c>
      <x:c r="E350" s="14" t="n">
        <x:v>46721</x:v>
      </x:c>
      <x:c r="F350" s="14"/>
      <x:c r="G350" s="2" t="str">
        <x:v>2027-11</x:v>
      </x:c>
      <x:c r="H350" s="2" t="str">
        <x:v>Барлығы</x:v>
      </x:c>
      <x:c r="I350" s="10"/>
      <x:c r="J350" s="10"/>
      <x:c r="K350" s="2" t="n">
        <x:f>SUMIFS('Күнлик есабат'!$F$8:$F$507,'Күнлик есабат'!$C$8:$C$507,A350,'Күнлик есабат'!$L$8:$L$507,0,'Күнлик есабат'!$M$8:$M$507,0)-SUMIFS('Күнлик есабат'!$H$8:$H$507,'Күнлик есабат'!$C$8:$C$507,A350,'Күнлик есабат'!$L$8:$L$507,0,'Күнлик есабат'!$M$8:$M$507,0)</x:f>
        <x:v>0</x:v>
      </x:c>
      <x:c r="L350" s="2" t="n">
        <x:f>SUMIFS('Күнлик есабат'!$G$8:$G$507,'Күнлик есабат'!$C$8:$C$507,A350,'Күнлик есабат'!$L$8:$L$507,0,'Күнлик есабат'!$M$8:$M$507,0)</x:f>
        <x:v>0</x:v>
      </x:c>
      <x:c r="M350" s="2" t="str">
        <x:f>IF(I350="","",MAX(I350-K350,0))</x:f>
      </x:c>
      <x:c r="N350" s="16" t="str">
        <x:f>IF(OR(I350="",I350=0),"",MIN(K350/I350,1))</x:f>
      </x:c>
      <x:c r="O350" s="2" t="n">
        <x:f>24-COUNTIFS('Клиентлер'!$T$8:$T$31,1)</x:f>
        <x:v>24</x:v>
      </x:c>
      <x:c r="P350" s="2"/>
      <x:c r="Q350" s="2" t="str">
        <x:v>Ишки</x:v>
      </x:c>
      <x:c r="R350" s="10"/>
      <x:c r="S350" s="2" t="n">
        <x:f>IF(COUNT(I350)=1,1,0)</x:f>
        <x:v>0</x:v>
      </x:c>
    </x:row>
    <x:row r="351" ht="46" customHeight="1">
      <x:c r="A351" s="2" t="n">
        <x:v>344</x:v>
      </x:c>
      <x:c r="B351" s="2"/>
      <x:c r="C351" s="12" t="n">
        <x:v>46718</x:v>
      </x:c>
      <x:c r="D351" s="13" t="str">
        <x:v>Дебитор-кредитор қарызларын салыстырыў</x:v>
      </x:c>
      <x:c r="E351" s="14" t="n">
        <x:v>46721</x:v>
      </x:c>
      <x:c r="F351" s="14"/>
      <x:c r="G351" s="2" t="str">
        <x:v>2027-11</x:v>
      </x:c>
      <x:c r="H351" s="2" t="str">
        <x:v>Барлығы</x:v>
      </x:c>
      <x:c r="I351" s="10"/>
      <x:c r="J351" s="10"/>
      <x:c r="K351" s="2" t="n">
        <x:f>SUMIFS('Күнлик есабат'!$F$8:$F$507,'Күнлик есабат'!$C$8:$C$507,A351,'Күнлик есабат'!$L$8:$L$507,0,'Күнлик есабат'!$M$8:$M$507,0)-SUMIFS('Күнлик есабат'!$H$8:$H$507,'Күнлик есабат'!$C$8:$C$507,A351,'Күнлик есабат'!$L$8:$L$507,0,'Күнлик есабат'!$M$8:$M$507,0)</x:f>
        <x:v>0</x:v>
      </x:c>
      <x:c r="L351" s="2" t="n">
        <x:f>SUMIFS('Күнлик есабат'!$G$8:$G$507,'Күнлик есабат'!$C$8:$C$507,A351,'Күнлик есабат'!$L$8:$L$507,0,'Күнлик есабат'!$M$8:$M$507,0)</x:f>
        <x:v>0</x:v>
      </x:c>
      <x:c r="M351" s="2" t="str">
        <x:f>IF(I351="","",MAX(I351-K351,0))</x:f>
      </x:c>
      <x:c r="N351" s="16" t="str">
        <x:f>IF(OR(I351="",I351=0),"",MIN(K351/I351,1))</x:f>
      </x:c>
      <x:c r="O351" s="2" t="n">
        <x:f>24-COUNTIFS('Клиентлер'!$T$8:$T$31,1)</x:f>
        <x:v>24</x:v>
      </x:c>
      <x:c r="P351" s="2"/>
      <x:c r="Q351" s="2" t="str">
        <x:v>Ишки</x:v>
      </x:c>
      <x:c r="R351" s="10"/>
      <x:c r="S351" s="2" t="n">
        <x:f>IF(COUNT(I351)=1,1,0)</x:f>
        <x:v>0</x:v>
      </x:c>
    </x:row>
    <x:row r="352" ht="46" customHeight="1">
      <x:c r="A352" s="2" t="n">
        <x:v>345</x:v>
      </x:c>
      <x:c r="B352" s="2"/>
      <x:c r="C352" s="12" t="n">
        <x:v>46718</x:v>
      </x:c>
      <x:c r="D352" s="13" t="str">
        <x:v>Айлық ҳәм кадр ҳүжжетлерин тексериў</x:v>
      </x:c>
      <x:c r="E352" s="14" t="n">
        <x:v>46721</x:v>
      </x:c>
      <x:c r="F352" s="14"/>
      <x:c r="G352" s="2" t="str">
        <x:v>2027-11</x:v>
      </x:c>
      <x:c r="H352" s="2" t="str">
        <x:v>Барлығы</x:v>
      </x:c>
      <x:c r="I352" s="10"/>
      <x:c r="J352" s="10"/>
      <x:c r="K352" s="2" t="n">
        <x:f>SUMIFS('Күнлик есабат'!$F$8:$F$507,'Күнлик есабат'!$C$8:$C$507,A352,'Күнлик есабат'!$L$8:$L$507,0,'Күнлик есабат'!$M$8:$M$507,0)-SUMIFS('Күнлик есабат'!$H$8:$H$507,'Күнлик есабат'!$C$8:$C$507,A352,'Күнлик есабат'!$L$8:$L$507,0,'Күнлик есабат'!$M$8:$M$507,0)</x:f>
        <x:v>0</x:v>
      </x:c>
      <x:c r="L352" s="2" t="n">
        <x:f>SUMIFS('Күнлик есабат'!$G$8:$G$507,'Күнлик есабат'!$C$8:$C$507,A352,'Күнлик есабат'!$L$8:$L$507,0,'Күнлик есабат'!$M$8:$M$507,0)</x:f>
        <x:v>0</x:v>
      </x:c>
      <x:c r="M352" s="2" t="str">
        <x:f>IF(I352="","",MAX(I352-K352,0))</x:f>
      </x:c>
      <x:c r="N352" s="16" t="str">
        <x:f>IF(OR(I352="",I352=0),"",MIN(K352/I352,1))</x:f>
      </x:c>
      <x:c r="O352" s="2" t="n">
        <x:f>24-COUNTIFS('Клиентлер'!$T$8:$T$31,1)</x:f>
        <x:v>24</x:v>
      </x:c>
      <x:c r="P352" s="2"/>
      <x:c r="Q352" s="2" t="str">
        <x:v>Ишки</x:v>
      </x:c>
      <x:c r="R352" s="10"/>
      <x:c r="S352" s="2" t="n">
        <x:f>IF(COUNT(I352)=1,1,0)</x:f>
        <x:v>0</x:v>
      </x:c>
    </x:row>
    <x:row r="353" ht="46" customHeight="1">
      <x:c r="A353" s="2" t="n">
        <x:v>346</x:v>
      </x:c>
      <x:c r="B353" s="2"/>
      <x:c r="C353" s="12" t="n">
        <x:v>46718</x:v>
      </x:c>
      <x:c r="D353" s="13" t="str">
        <x:v>Клиентке айлық жуўмақ бериў</x:v>
      </x:c>
      <x:c r="E353" s="14" t="n">
        <x:v>46721</x:v>
      </x:c>
      <x:c r="F353" s="14"/>
      <x:c r="G353" s="2" t="str">
        <x:v>2027-11</x:v>
      </x:c>
      <x:c r="H353" s="2" t="str">
        <x:v>Барлығы</x:v>
      </x:c>
      <x:c r="I353" s="10"/>
      <x:c r="J353" s="10"/>
      <x:c r="K353" s="2" t="n">
        <x:f>SUMIFS('Күнлик есабат'!$F$8:$F$507,'Күнлик есабат'!$C$8:$C$507,A353,'Күнлик есабат'!$L$8:$L$507,0,'Күнлик есабат'!$M$8:$M$507,0)-SUMIFS('Күнлик есабат'!$H$8:$H$507,'Күнлик есабат'!$C$8:$C$507,A353,'Күнлик есабат'!$L$8:$L$507,0,'Күнлик есабат'!$M$8:$M$507,0)</x:f>
        <x:v>0</x:v>
      </x:c>
      <x:c r="L353" s="2" t="n">
        <x:f>SUMIFS('Күнлик есабат'!$G$8:$G$507,'Күнлик есабат'!$C$8:$C$507,A353,'Күнлик есабат'!$L$8:$L$507,0,'Күнлик есабат'!$M$8:$M$507,0)</x:f>
        <x:v>0</x:v>
      </x:c>
      <x:c r="M353" s="2" t="str">
        <x:f>IF(I353="","",MAX(I353-K353,0))</x:f>
      </x:c>
      <x:c r="N353" s="16" t="str">
        <x:f>IF(OR(I353="",I353=0),"",MIN(K353/I353,1))</x:f>
      </x:c>
      <x:c r="O353" s="2" t="n">
        <x:f>24-COUNTIFS('Клиентлер'!$T$8:$T$31,1)</x:f>
        <x:v>24</x:v>
      </x:c>
      <x:c r="P353" s="2"/>
      <x:c r="Q353" s="2" t="str">
        <x:v>Ишки</x:v>
      </x:c>
      <x:c r="R353" s="10"/>
      <x:c r="S353" s="2" t="n">
        <x:f>IF(COUNT(I353)=1,1,0)</x:f>
        <x:v>0</x:v>
      </x:c>
    </x:row>
    <x:row r="354" ht="46" customHeight="1">
      <x:c r="A354" s="2" t="n">
        <x:v>347</x:v>
      </x:c>
      <x:c r="B354" s="2"/>
      <x:c r="C354" s="12" t="n">
        <x:v>46749</x:v>
      </x:c>
      <x:c r="D354" s="13" t="str">
        <x:v>Банк ҳәм касса есабын салыстырыў</x:v>
      </x:c>
      <x:c r="E354" s="14" t="n">
        <x:v>46752</x:v>
      </x:c>
      <x:c r="F354" s="14"/>
      <x:c r="G354" s="2" t="str">
        <x:v>2027-12</x:v>
      </x:c>
      <x:c r="H354" s="2" t="str">
        <x:v>Барлығы</x:v>
      </x:c>
      <x:c r="I354" s="10"/>
      <x:c r="J354" s="10"/>
      <x:c r="K354" s="2" t="n">
        <x:f>SUMIFS('Күнлик есабат'!$F$8:$F$507,'Күнлик есабат'!$C$8:$C$507,A354,'Күнлик есабат'!$L$8:$L$507,0,'Күнлик есабат'!$M$8:$M$507,0)-SUMIFS('Күнлик есабат'!$H$8:$H$507,'Күнлик есабат'!$C$8:$C$507,A354,'Күнлик есабат'!$L$8:$L$507,0,'Күнлик есабат'!$M$8:$M$507,0)</x:f>
        <x:v>0</x:v>
      </x:c>
      <x:c r="L354" s="2" t="n">
        <x:f>SUMIFS('Күнлик есабат'!$G$8:$G$507,'Күнлик есабат'!$C$8:$C$507,A354,'Күнлик есабат'!$L$8:$L$507,0,'Күнлик есабат'!$M$8:$M$507,0)</x:f>
        <x:v>0</x:v>
      </x:c>
      <x:c r="M354" s="2" t="str">
        <x:f>IF(I354="","",MAX(I354-K354,0))</x:f>
      </x:c>
      <x:c r="N354" s="16" t="str">
        <x:f>IF(OR(I354="",I354=0),"",MIN(K354/I354,1))</x:f>
      </x:c>
      <x:c r="O354" s="2" t="n">
        <x:f>24-COUNTIFS('Клиентлер'!$T$8:$T$31,1)</x:f>
        <x:v>24</x:v>
      </x:c>
      <x:c r="P354" s="2"/>
      <x:c r="Q354" s="2" t="str">
        <x:v>Ишки</x:v>
      </x:c>
      <x:c r="R354" s="10"/>
      <x:c r="S354" s="2" t="n">
        <x:f>IF(COUNT(I354)=1,1,0)</x:f>
        <x:v>0</x:v>
      </x:c>
    </x:row>
    <x:row r="355" ht="46" customHeight="1">
      <x:c r="A355" s="2" t="n">
        <x:v>348</x:v>
      </x:c>
      <x:c r="B355" s="2"/>
      <x:c r="C355" s="12" t="n">
        <x:v>46749</x:v>
      </x:c>
      <x:c r="D355" s="13" t="str">
        <x:v>1С ҳүжжетлерин толық киритиў</x:v>
      </x:c>
      <x:c r="E355" s="14" t="n">
        <x:v>46752</x:v>
      </x:c>
      <x:c r="F355" s="14"/>
      <x:c r="G355" s="2" t="str">
        <x:v>2027-12</x:v>
      </x:c>
      <x:c r="H355" s="2" t="str">
        <x:v>Барлығы</x:v>
      </x:c>
      <x:c r="I355" s="10"/>
      <x:c r="J355" s="10"/>
      <x:c r="K355" s="2" t="n">
        <x:f>SUMIFS('Күнлик есабат'!$F$8:$F$507,'Күнлик есабат'!$C$8:$C$507,A355,'Күнлик есабат'!$L$8:$L$507,0,'Күнлик есабат'!$M$8:$M$507,0)-SUMIFS('Күнлик есабат'!$H$8:$H$507,'Күнлик есабат'!$C$8:$C$507,A355,'Күнлик есабат'!$L$8:$L$507,0,'Күнлик есабат'!$M$8:$M$507,0)</x:f>
        <x:v>0</x:v>
      </x:c>
      <x:c r="L355" s="2" t="n">
        <x:f>SUMIFS('Күнлик есабат'!$G$8:$G$507,'Күнлик есабат'!$C$8:$C$507,A355,'Күнлик есабат'!$L$8:$L$507,0,'Күнлик есабат'!$M$8:$M$507,0)</x:f>
        <x:v>0</x:v>
      </x:c>
      <x:c r="M355" s="2" t="str">
        <x:f>IF(I355="","",MAX(I355-K355,0))</x:f>
      </x:c>
      <x:c r="N355" s="16" t="str">
        <x:f>IF(OR(I355="",I355=0),"",MIN(K355/I355,1))</x:f>
      </x:c>
      <x:c r="O355" s="2" t="n">
        <x:f>24-COUNTIFS('Клиентлер'!$T$8:$T$31,1)</x:f>
        <x:v>24</x:v>
      </x:c>
      <x:c r="P355" s="2"/>
      <x:c r="Q355" s="2" t="str">
        <x:v>Ишки</x:v>
      </x:c>
      <x:c r="R355" s="10"/>
      <x:c r="S355" s="2" t="n">
        <x:f>IF(COUNT(I355)=1,1,0)</x:f>
        <x:v>0</x:v>
      </x:c>
    </x:row>
    <x:row r="356" ht="46" customHeight="1">
      <x:c r="A356" s="2" t="n">
        <x:v>349</x:v>
      </x:c>
      <x:c r="B356" s="2"/>
      <x:c r="C356" s="12" t="n">
        <x:v>46749</x:v>
      </x:c>
      <x:c r="D356" s="13" t="str">
        <x:v>ККМ чеклери ҳәм фактураларды салыстырыў</x:v>
      </x:c>
      <x:c r="E356" s="14" t="n">
        <x:v>46752</x:v>
      </x:c>
      <x:c r="F356" s="14"/>
      <x:c r="G356" s="2" t="str">
        <x:v>2027-12</x:v>
      </x:c>
      <x:c r="H356" s="2" t="str">
        <x:v>Барлығы</x:v>
      </x:c>
      <x:c r="I356" s="10"/>
      <x:c r="J356" s="10"/>
      <x:c r="K356" s="2" t="n">
        <x:f>SUMIFS('Күнлик есабат'!$F$8:$F$507,'Күнлик есабат'!$C$8:$C$507,A356,'Күнлик есабат'!$L$8:$L$507,0,'Күнлик есабат'!$M$8:$M$507,0)-SUMIFS('Күнлик есабат'!$H$8:$H$507,'Күнлик есабат'!$C$8:$C$507,A356,'Күнлик есабат'!$L$8:$L$507,0,'Күнлик есабат'!$M$8:$M$507,0)</x:f>
        <x:v>0</x:v>
      </x:c>
      <x:c r="L356" s="2" t="n">
        <x:f>SUMIFS('Күнлик есабат'!$G$8:$G$507,'Күнлик есабат'!$C$8:$C$507,A356,'Күнлик есабат'!$L$8:$L$507,0,'Күнлик есабат'!$M$8:$M$507,0)</x:f>
        <x:v>0</x:v>
      </x:c>
      <x:c r="M356" s="2" t="str">
        <x:f>IF(I356="","",MAX(I356-K356,0))</x:f>
      </x:c>
      <x:c r="N356" s="16" t="str">
        <x:f>IF(OR(I356="",I356=0),"",MIN(K356/I356,1))</x:f>
      </x:c>
      <x:c r="O356" s="2" t="n">
        <x:f>24-COUNTIFS('Клиентлер'!$T$8:$T$31,1)</x:f>
        <x:v>24</x:v>
      </x:c>
      <x:c r="P356" s="2"/>
      <x:c r="Q356" s="2" t="str">
        <x:v>Ишки</x:v>
      </x:c>
      <x:c r="R356" s="10"/>
      <x:c r="S356" s="2" t="n">
        <x:f>IF(COUNT(I356)=1,1,0)</x:f>
        <x:v>0</x:v>
      </x:c>
    </x:row>
    <x:row r="357" ht="46" customHeight="1">
      <x:c r="A357" s="2" t="n">
        <x:v>350</x:v>
      </x:c>
      <x:c r="B357" s="2"/>
      <x:c r="C357" s="12" t="n">
        <x:v>46749</x:v>
      </x:c>
      <x:c r="D357" s="13" t="str">
        <x:v>Қойма кирим-шығымын тексериў</x:v>
      </x:c>
      <x:c r="E357" s="14" t="n">
        <x:v>46752</x:v>
      </x:c>
      <x:c r="F357" s="14"/>
      <x:c r="G357" s="2" t="str">
        <x:v>2027-12</x:v>
      </x:c>
      <x:c r="H357" s="2" t="str">
        <x:v>Барлығы</x:v>
      </x:c>
      <x:c r="I357" s="10"/>
      <x:c r="J357" s="10"/>
      <x:c r="K357" s="2" t="n">
        <x:f>SUMIFS('Күнлик есабат'!$F$8:$F$507,'Күнлик есабат'!$C$8:$C$507,A357,'Күнлик есабат'!$L$8:$L$507,0,'Күнлик есабат'!$M$8:$M$507,0)-SUMIFS('Күнлик есабат'!$H$8:$H$507,'Күнлик есабат'!$C$8:$C$507,A357,'Күнлик есабат'!$L$8:$L$507,0,'Күнлик есабат'!$M$8:$M$507,0)</x:f>
        <x:v>0</x:v>
      </x:c>
      <x:c r="L357" s="2" t="n">
        <x:f>SUMIFS('Күнлик есабат'!$G$8:$G$507,'Күнлик есабат'!$C$8:$C$507,A357,'Күнлик есабат'!$L$8:$L$507,0,'Күнлик есабат'!$M$8:$M$507,0)</x:f>
        <x:v>0</x:v>
      </x:c>
      <x:c r="M357" s="2" t="str">
        <x:f>IF(I357="","",MAX(I357-K357,0))</x:f>
      </x:c>
      <x:c r="N357" s="16" t="str">
        <x:f>IF(OR(I357="",I357=0),"",MIN(K357/I357,1))</x:f>
      </x:c>
      <x:c r="O357" s="2" t="n">
        <x:f>24-COUNTIFS('Клиентлер'!$T$8:$T$31,1)</x:f>
        <x:v>24</x:v>
      </x:c>
      <x:c r="P357" s="2"/>
      <x:c r="Q357" s="2" t="str">
        <x:v>Ишки</x:v>
      </x:c>
      <x:c r="R357" s="10"/>
      <x:c r="S357" s="2" t="n">
        <x:f>IF(COUNT(I357)=1,1,0)</x:f>
        <x:v>0</x:v>
      </x:c>
    </x:row>
    <x:row r="358" ht="46" customHeight="1">
      <x:c r="A358" s="2" t="n">
        <x:v>351</x:v>
      </x:c>
      <x:c r="B358" s="2"/>
      <x:c r="C358" s="12" t="n">
        <x:v>46749</x:v>
      </x:c>
      <x:c r="D358" s="13" t="str">
        <x:v>Дебитор-кредитор қарызларын салыстырыў</x:v>
      </x:c>
      <x:c r="E358" s="14" t="n">
        <x:v>46752</x:v>
      </x:c>
      <x:c r="F358" s="14"/>
      <x:c r="G358" s="2" t="str">
        <x:v>2027-12</x:v>
      </x:c>
      <x:c r="H358" s="2" t="str">
        <x:v>Барлығы</x:v>
      </x:c>
      <x:c r="I358" s="10"/>
      <x:c r="J358" s="10"/>
      <x:c r="K358" s="2" t="n">
        <x:f>SUMIFS('Күнлик есабат'!$F$8:$F$507,'Күнлик есабат'!$C$8:$C$507,A358,'Күнлик есабат'!$L$8:$L$507,0,'Күнлик есабат'!$M$8:$M$507,0)-SUMIFS('Күнлик есабат'!$H$8:$H$507,'Күнлик есабат'!$C$8:$C$507,A358,'Күнлик есабат'!$L$8:$L$507,0,'Күнлик есабат'!$M$8:$M$507,0)</x:f>
        <x:v>0</x:v>
      </x:c>
      <x:c r="L358" s="2" t="n">
        <x:f>SUMIFS('Күнлик есабат'!$G$8:$G$507,'Күнлик есабат'!$C$8:$C$507,A358,'Күнлик есабат'!$L$8:$L$507,0,'Күнлик есабат'!$M$8:$M$507,0)</x:f>
        <x:v>0</x:v>
      </x:c>
      <x:c r="M358" s="2" t="str">
        <x:f>IF(I358="","",MAX(I358-K358,0))</x:f>
      </x:c>
      <x:c r="N358" s="16" t="str">
        <x:f>IF(OR(I358="",I358=0),"",MIN(K358/I358,1))</x:f>
      </x:c>
      <x:c r="O358" s="2" t="n">
        <x:f>24-COUNTIFS('Клиентлер'!$T$8:$T$31,1)</x:f>
        <x:v>24</x:v>
      </x:c>
      <x:c r="P358" s="2"/>
      <x:c r="Q358" s="2" t="str">
        <x:v>Ишки</x:v>
      </x:c>
      <x:c r="R358" s="10"/>
      <x:c r="S358" s="2" t="n">
        <x:f>IF(COUNT(I358)=1,1,0)</x:f>
        <x:v>0</x:v>
      </x:c>
    </x:row>
    <x:row r="359" ht="46" customHeight="1">
      <x:c r="A359" s="2" t="n">
        <x:v>352</x:v>
      </x:c>
      <x:c r="B359" s="2"/>
      <x:c r="C359" s="12" t="n">
        <x:v>46749</x:v>
      </x:c>
      <x:c r="D359" s="13" t="str">
        <x:v>Айлық ҳәм кадр ҳүжжетлерин тексериў</x:v>
      </x:c>
      <x:c r="E359" s="14" t="n">
        <x:v>46752</x:v>
      </x:c>
      <x:c r="F359" s="14"/>
      <x:c r="G359" s="2" t="str">
        <x:v>2027-12</x:v>
      </x:c>
      <x:c r="H359" s="2" t="str">
        <x:v>Барлығы</x:v>
      </x:c>
      <x:c r="I359" s="10"/>
      <x:c r="J359" s="10"/>
      <x:c r="K359" s="2" t="n">
        <x:f>SUMIFS('Күнлик есабат'!$F$8:$F$507,'Күнлик есабат'!$C$8:$C$507,A359,'Күнлик есабат'!$L$8:$L$507,0,'Күнлик есабат'!$M$8:$M$507,0)-SUMIFS('Күнлик есабат'!$H$8:$H$507,'Күнлик есабат'!$C$8:$C$507,A359,'Күнлик есабат'!$L$8:$L$507,0,'Күнлик есабат'!$M$8:$M$507,0)</x:f>
        <x:v>0</x:v>
      </x:c>
      <x:c r="L359" s="2" t="n">
        <x:f>SUMIFS('Күнлик есабат'!$G$8:$G$507,'Күнлик есабат'!$C$8:$C$507,A359,'Күнлик есабат'!$L$8:$L$507,0,'Күнлик есабат'!$M$8:$M$507,0)</x:f>
        <x:v>0</x:v>
      </x:c>
      <x:c r="M359" s="2" t="str">
        <x:f>IF(I359="","",MAX(I359-K359,0))</x:f>
      </x:c>
      <x:c r="N359" s="16" t="str">
        <x:f>IF(OR(I359="",I359=0),"",MIN(K359/I359,1))</x:f>
      </x:c>
      <x:c r="O359" s="2" t="n">
        <x:f>24-COUNTIFS('Клиентлер'!$T$8:$T$31,1)</x:f>
        <x:v>24</x:v>
      </x:c>
      <x:c r="P359" s="2"/>
      <x:c r="Q359" s="2" t="str">
        <x:v>Ишки</x:v>
      </x:c>
      <x:c r="R359" s="10"/>
      <x:c r="S359" s="2" t="n">
        <x:f>IF(COUNT(I359)=1,1,0)</x:f>
        <x:v>0</x:v>
      </x:c>
    </x:row>
    <x:row r="360" ht="46" customHeight="1">
      <x:c r="A360" s="2" t="n">
        <x:v>353</x:v>
      </x:c>
      <x:c r="B360" s="2"/>
      <x:c r="C360" s="12" t="n">
        <x:v>46749</x:v>
      </x:c>
      <x:c r="D360" s="13" t="str">
        <x:v>Клиентке айлық жуўмақ бериў</x:v>
      </x:c>
      <x:c r="E360" s="14" t="n">
        <x:v>46752</x:v>
      </x:c>
      <x:c r="F360" s="14"/>
      <x:c r="G360" s="2" t="str">
        <x:v>2027-12</x:v>
      </x:c>
      <x:c r="H360" s="2" t="str">
        <x:v>Барлығы</x:v>
      </x:c>
      <x:c r="I360" s="10"/>
      <x:c r="J360" s="10"/>
      <x:c r="K360" s="2" t="n">
        <x:f>SUMIFS('Күнлик есабат'!$F$8:$F$507,'Күнлик есабат'!$C$8:$C$507,A360,'Күнлик есабат'!$L$8:$L$507,0,'Күнлик есабат'!$M$8:$M$507,0)-SUMIFS('Күнлик есабат'!$H$8:$H$507,'Күнлик есабат'!$C$8:$C$507,A360,'Күнлик есабат'!$L$8:$L$507,0,'Күнлик есабат'!$M$8:$M$507,0)</x:f>
        <x:v>0</x:v>
      </x:c>
      <x:c r="L360" s="2" t="n">
        <x:f>SUMIFS('Күнлик есабат'!$G$8:$G$507,'Күнлик есабат'!$C$8:$C$507,A360,'Күнлик есабат'!$L$8:$L$507,0,'Күнлик есабат'!$M$8:$M$507,0)</x:f>
        <x:v>0</x:v>
      </x:c>
      <x:c r="M360" s="2" t="str">
        <x:f>IF(I360="","",MAX(I360-K360,0))</x:f>
      </x:c>
      <x:c r="N360" s="16" t="str">
        <x:f>IF(OR(I360="",I360=0),"",MIN(K360/I360,1))</x:f>
      </x:c>
      <x:c r="O360" s="2" t="n">
        <x:f>24-COUNTIFS('Клиентлер'!$T$8:$T$31,1)</x:f>
        <x:v>24</x:v>
      </x:c>
      <x:c r="P360" s="2"/>
      <x:c r="Q360" s="2" t="str">
        <x:v>Ишки</x:v>
      </x:c>
      <x:c r="R360" s="10"/>
      <x:c r="S360" s="2" t="n">
        <x:f>IF(COUNT(I360)=1,1,0)</x:f>
        <x:v>0</x:v>
      </x:c>
    </x:row>
    <x:row r="361" ht="46" customHeight="1">
      <x:c r="A361" s="2" t="n">
        <x:v>354</x:v>
      </x:c>
      <x:c r="B361" s="2"/>
      <x:c r="C361" s="12"/>
      <x:c r="D361" s="13" t="str">
        <x:v>Мүлк салығы жыллық есабаты</x:v>
      </x:c>
      <x:c r="E361" s="14"/>
      <x:c r="F361" s="14"/>
      <x:c r="G361" s="2" t="str">
        <x:v>Клиент бойынша</x:v>
      </x:c>
      <x:c r="H361" s="2" t="str">
        <x:v>Барлығы</x:v>
      </x:c>
      <x:c r="I361" s="10"/>
      <x:c r="J361" s="10"/>
      <x:c r="K361" s="2" t="n">
        <x:f>SUMIFS('Күнлик есабат'!$F$8:$F$507,'Күнлик есабат'!$C$8:$C$507,A361,'Күнлик есабат'!$L$8:$L$507,0,'Күнлик есабат'!$M$8:$M$507,0)-SUMIFS('Күнлик есабат'!$H$8:$H$507,'Күнлик есабат'!$C$8:$C$507,A361,'Күнлик есабат'!$L$8:$L$507,0,'Күнлик есабат'!$M$8:$M$507,0)</x:f>
        <x:v>0</x:v>
      </x:c>
      <x:c r="L361" s="2" t="n">
        <x:f>SUMIFS('Күнлик есабат'!$G$8:$G$507,'Күнлик есабат'!$C$8:$C$507,A361,'Күнлик есабат'!$L$8:$L$507,0,'Күнлик есабат'!$M$8:$M$507,0)</x:f>
        <x:v>0</x:v>
      </x:c>
      <x:c r="M361" s="2" t="str">
        <x:f>IF(I361="","",MAX(I361-K361,0))</x:f>
      </x:c>
      <x:c r="N361" s="16" t="str">
        <x:f>IF(OR(I361="",I361=0),"",MIN(K361/I361,1))</x:f>
      </x:c>
      <x:c r="O361" s="2" t="n">
        <x:f>24-COUNTIFS('Клиентлер'!$T$8:$T$31,1)</x:f>
        <x:v>24</x:v>
      </x:c>
      <x:c r="P361" s="2"/>
      <x:c r="Q361" s="2" t="str">
        <x:v>Клиент бойынша</x:v>
      </x:c>
      <x:c r="R361" s="10"/>
      <x:c r="S361" s="2" t="n">
        <x:f>IF(COUNT(I361)=1,1,0)</x:f>
        <x:v>0</x:v>
      </x:c>
    </x:row>
    <x:row r="362" ht="46" customHeight="1">
      <x:c r="A362" s="2" t="n">
        <x:v>355</x:v>
      </x:c>
      <x:c r="B362" s="2"/>
      <x:c r="C362" s="12"/>
      <x:c r="D362" s="13" t="str">
        <x:v>Суў салығы жыллық есабаты</x:v>
      </x:c>
      <x:c r="E362" s="14"/>
      <x:c r="F362" s="14"/>
      <x:c r="G362" s="2" t="str">
        <x:v>Клиент бойынша</x:v>
      </x:c>
      <x:c r="H362" s="2" t="str">
        <x:v>Барлығы</x:v>
      </x:c>
      <x:c r="I362" s="10"/>
      <x:c r="J362" s="10"/>
      <x:c r="K362" s="2" t="n">
        <x:f>SUMIFS('Күнлик есабат'!$F$8:$F$507,'Күнлик есабат'!$C$8:$C$507,A362,'Күнлик есабат'!$L$8:$L$507,0,'Күнлик есабат'!$M$8:$M$507,0)-SUMIFS('Күнлик есабат'!$H$8:$H$507,'Күнлик есабат'!$C$8:$C$507,A362,'Күнлик есабат'!$L$8:$L$507,0,'Күнлик есабат'!$M$8:$M$507,0)</x:f>
        <x:v>0</x:v>
      </x:c>
      <x:c r="L362" s="2" t="n">
        <x:f>SUMIFS('Күнлик есабат'!$G$8:$G$507,'Күнлик есабат'!$C$8:$C$507,A362,'Күнлик есабат'!$L$8:$L$507,0,'Күнлик есабат'!$M$8:$M$507,0)</x:f>
        <x:v>0</x:v>
      </x:c>
      <x:c r="M362" s="2" t="str">
        <x:f>IF(I362="","",MAX(I362-K362,0))</x:f>
      </x:c>
      <x:c r="N362" s="16" t="str">
        <x:f>IF(OR(I362="",I362=0),"",MIN(K362/I362,1))</x:f>
      </x:c>
      <x:c r="O362" s="2" t="n">
        <x:f>24-COUNTIFS('Клиентлер'!$T$8:$T$31,1)</x:f>
        <x:v>24</x:v>
      </x:c>
      <x:c r="P362" s="2"/>
      <x:c r="Q362" s="2" t="str">
        <x:v>Клиент бойынша</x:v>
      </x:c>
      <x:c r="R362" s="10"/>
      <x:c r="S362" s="2" t="n">
        <x:f>IF(COUNT(I362)=1,1,0)</x:f>
        <x:v>0</x:v>
      </x:c>
    </x:row>
    <x:row r="363" ht="46" customHeight="1">
      <x:c r="A363" s="2" t="n">
        <x:v>356</x:v>
      </x:c>
      <x:c r="B363" s="2"/>
      <x:c r="C363" s="12"/>
      <x:c r="D363" s="13" t="str">
        <x:v>Мүлк салығы аванс мағлыўматнамасы</x:v>
      </x:c>
      <x:c r="E363" s="14"/>
      <x:c r="F363" s="14"/>
      <x:c r="G363" s="2" t="str">
        <x:v>Клиент бойынша</x:v>
      </x:c>
      <x:c r="H363" s="2" t="str">
        <x:v>Барлығы</x:v>
      </x:c>
      <x:c r="I363" s="10"/>
      <x:c r="J363" s="10"/>
      <x:c r="K363" s="2" t="n">
        <x:f>SUMIFS('Күнлик есабат'!$F$8:$F$507,'Күнлик есабат'!$C$8:$C$507,A363,'Күнлик есабат'!$L$8:$L$507,0,'Күнлик есабат'!$M$8:$M$507,0)-SUMIFS('Күнлик есабат'!$H$8:$H$507,'Күнлик есабат'!$C$8:$C$507,A363,'Күнлик есабат'!$L$8:$L$507,0,'Күнлик есабат'!$M$8:$M$507,0)</x:f>
        <x:v>0</x:v>
      </x:c>
      <x:c r="L363" s="2" t="n">
        <x:f>SUMIFS('Күнлик есабат'!$G$8:$G$507,'Күнлик есабат'!$C$8:$C$507,A363,'Күнлик есабат'!$L$8:$L$507,0,'Күнлик есабат'!$M$8:$M$507,0)</x:f>
        <x:v>0</x:v>
      </x:c>
      <x:c r="M363" s="2" t="str">
        <x:f>IF(I363="","",MAX(I363-K363,0))</x:f>
      </x:c>
      <x:c r="N363" s="16" t="str">
        <x:f>IF(OR(I363="",I363=0),"",MIN(K363/I363,1))</x:f>
      </x:c>
      <x:c r="O363" s="2" t="n">
        <x:f>24-COUNTIFS('Клиентлер'!$T$8:$T$31,1)</x:f>
        <x:v>24</x:v>
      </x:c>
      <x:c r="P363" s="2"/>
      <x:c r="Q363" s="2" t="str">
        <x:v>Клиент бойынша</x:v>
      </x:c>
      <x:c r="R363" s="10"/>
      <x:c r="S363" s="2" t="n">
        <x:f>IF(COUNT(I363)=1,1,0)</x:f>
        <x:v>0</x:v>
      </x:c>
    </x:row>
    <x:row r="364" ht="46" customHeight="1">
      <x:c r="A364" s="2" t="n">
        <x:v>357</x:v>
      </x:c>
      <x:c r="B364" s="2"/>
      <x:c r="C364" s="12"/>
      <x:c r="D364" s="13" t="str">
        <x:v>Айланба төлеўшиниң мүлк салығы кварталлық авансы</x:v>
      </x:c>
      <x:c r="E364" s="14"/>
      <x:c r="F364" s="14"/>
      <x:c r="G364" s="2" t="str">
        <x:v>Клиент бойынша</x:v>
      </x:c>
      <x:c r="H364" s="2" t="str">
        <x:v>Барлығы</x:v>
      </x:c>
      <x:c r="I364" s="10"/>
      <x:c r="J364" s="10"/>
      <x:c r="K364" s="2" t="n">
        <x:f>SUMIFS('Күнлик есабат'!$F$8:$F$507,'Күнлик есабат'!$C$8:$C$507,A364,'Күнлик есабат'!$L$8:$L$507,0,'Күнлик есабат'!$M$8:$M$507,0)-SUMIFS('Күнлик есабат'!$H$8:$H$507,'Күнлик есабат'!$C$8:$C$507,A364,'Күнлик есабат'!$L$8:$L$507,0,'Күнлик есабат'!$M$8:$M$507,0)</x:f>
        <x:v>0</x:v>
      </x:c>
      <x:c r="L364" s="2" t="n">
        <x:f>SUMIFS('Күнлик есабат'!$G$8:$G$507,'Күнлик есабат'!$C$8:$C$507,A364,'Күнлик есабат'!$L$8:$L$507,0,'Күнлик есабат'!$M$8:$M$507,0)</x:f>
        <x:v>0</x:v>
      </x:c>
      <x:c r="M364" s="2" t="str">
        <x:f>IF(I364="","",MAX(I364-K364,0))</x:f>
      </x:c>
      <x:c r="N364" s="16" t="str">
        <x:f>IF(OR(I364="",I364=0),"",MIN(K364/I364,1))</x:f>
      </x:c>
      <x:c r="O364" s="2" t="n">
        <x:f>24-COUNTIFS('Клиентлер'!$T$8:$T$31,1)</x:f>
        <x:v>24</x:v>
      </x:c>
      <x:c r="P364" s="2"/>
      <x:c r="Q364" s="2" t="str">
        <x:v>Клиент бойынша</x:v>
      </x:c>
      <x:c r="R364" s="10"/>
      <x:c r="S364" s="2" t="n">
        <x:f>IF(COUNT(I364)=1,1,0)</x:f>
        <x:v>0</x:v>
      </x:c>
    </x:row>
    <x:row r="365" ht="46" customHeight="1">
      <x:c r="A365" s="2" t="n">
        <x:v>358</x:v>
      </x:c>
      <x:c r="B365" s="2"/>
      <x:c r="C365" s="12"/>
      <x:c r="D365" s="13" t="str">
        <x:v>Айланба төлеўшиниң жер салығы кварталлық төлеми</x:v>
      </x:c>
      <x:c r="E365" s="14"/>
      <x:c r="F365" s="14"/>
      <x:c r="G365" s="2" t="str">
        <x:v>Клиент бойынша</x:v>
      </x:c>
      <x:c r="H365" s="2" t="str">
        <x:v>Барлығы</x:v>
      </x:c>
      <x:c r="I365" s="10"/>
      <x:c r="J365" s="10"/>
      <x:c r="K365" s="2" t="n">
        <x:f>SUMIFS('Күнлик есабат'!$F$8:$F$507,'Күнлик есабат'!$C$8:$C$507,A365,'Күнлик есабат'!$L$8:$L$507,0,'Күнлик есабат'!$M$8:$M$507,0)-SUMIFS('Күнлик есабат'!$H$8:$H$507,'Күнлик есабат'!$C$8:$C$507,A365,'Күнлик есабат'!$L$8:$L$507,0,'Күнлик есабат'!$M$8:$M$507,0)</x:f>
        <x:v>0</x:v>
      </x:c>
      <x:c r="L365" s="2" t="n">
        <x:f>SUMIFS('Күнлик есабат'!$G$8:$G$507,'Күнлик есабат'!$C$8:$C$507,A365,'Күнлик есабат'!$L$8:$L$507,0,'Күнлик есабат'!$M$8:$M$507,0)</x:f>
        <x:v>0</x:v>
      </x:c>
      <x:c r="M365" s="2" t="str">
        <x:f>IF(I365="","",MAX(I365-K365,0))</x:f>
      </x:c>
      <x:c r="N365" s="16" t="str">
        <x:f>IF(OR(I365="",I365=0),"",MIN(K365/I365,1))</x:f>
      </x:c>
      <x:c r="O365" s="2" t="n">
        <x:f>24-COUNTIFS('Клиентлер'!$T$8:$T$31,1)</x:f>
        <x:v>24</x:v>
      </x:c>
      <x:c r="P365" s="2"/>
      <x:c r="Q365" s="2" t="str">
        <x:v>Клиент бойынша</x:v>
      </x:c>
      <x:c r="R365" s="10"/>
      <x:c r="S365" s="2" t="n">
        <x:f>IF(COUNT(I365)=1,1,0)</x:f>
        <x:v>0</x:v>
      </x:c>
    </x:row>
    <x:row r="366" ht="46" customHeight="1">
      <x:c r="A366" s="2" t="n">
        <x:v>359</x:v>
      </x:c>
      <x:c r="B366" s="2"/>
      <x:c r="C366" s="12"/>
      <x:c r="D366" s="13" t="str">
        <x:v>Суў салығы кварталлық авансы</x:v>
      </x:c>
      <x:c r="E366" s="14"/>
      <x:c r="F366" s="14"/>
      <x:c r="G366" s="2" t="str">
        <x:v>Клиент бойынша</x:v>
      </x:c>
      <x:c r="H366" s="2" t="str">
        <x:v>Барлығы</x:v>
      </x:c>
      <x:c r="I366" s="10"/>
      <x:c r="J366" s="10"/>
      <x:c r="K366" s="2" t="n">
        <x:f>SUMIFS('Күнлик есабат'!$F$8:$F$507,'Күнлик есабат'!$C$8:$C$507,A366,'Күнлик есабат'!$L$8:$L$507,0,'Күнлик есабат'!$M$8:$M$507,0)-SUMIFS('Күнлик есабат'!$H$8:$H$507,'Күнлик есабат'!$C$8:$C$507,A366,'Күнлик есабат'!$L$8:$L$507,0,'Күнлик есабат'!$M$8:$M$507,0)</x:f>
        <x:v>0</x:v>
      </x:c>
      <x:c r="L366" s="2" t="n">
        <x:f>SUMIFS('Күнлик есабат'!$G$8:$G$507,'Күнлик есабат'!$C$8:$C$507,A366,'Күнлик есабат'!$L$8:$L$507,0,'Күнлик есабат'!$M$8:$M$507,0)</x:f>
        <x:v>0</x:v>
      </x:c>
      <x:c r="M366" s="2" t="str">
        <x:f>IF(I366="","",MAX(I366-K366,0))</x:f>
      </x:c>
      <x:c r="N366" s="16" t="str">
        <x:f>IF(OR(I366="",I366=0),"",MIN(K366/I366,1))</x:f>
      </x:c>
      <x:c r="O366" s="2" t="n">
        <x:f>24-COUNTIFS('Клиентлер'!$T$8:$T$31,1)</x:f>
        <x:v>24</x:v>
      </x:c>
      <x:c r="P366" s="2"/>
      <x:c r="Q366" s="2" t="str">
        <x:v>Клиент бойынша</x:v>
      </x:c>
      <x:c r="R366" s="10"/>
      <x:c r="S366" s="2" t="n">
        <x:f>IF(COUNT(I366)=1,1,0)</x:f>
        <x:v>0</x:v>
      </x:c>
    </x:row>
    <x:row r="367" ht="46" customHeight="1">
      <x:c r="A367" s="2" t="n">
        <x:v>360</x:v>
      </x:c>
      <x:c r="B367" s="2"/>
      <x:c r="C367" s="12"/>
      <x:c r="D367" s="13" t="str">
        <x:v>Пайда салығы аванс мағлыўматнамасы</x:v>
      </x:c>
      <x:c r="E367" s="14"/>
      <x:c r="F367" s="14"/>
      <x:c r="G367" s="2" t="str">
        <x:v>Клиент бойынша</x:v>
      </x:c>
      <x:c r="H367" s="2" t="str">
        <x:v>Барлығы</x:v>
      </x:c>
      <x:c r="I367" s="10"/>
      <x:c r="J367" s="10"/>
      <x:c r="K367" s="2" t="n">
        <x:f>SUMIFS('Күнлик есабат'!$F$8:$F$507,'Күнлик есабат'!$C$8:$C$507,A367,'Күнлик есабат'!$L$8:$L$507,0,'Күнлик есабат'!$M$8:$M$507,0)-SUMIFS('Күнлик есабат'!$H$8:$H$507,'Күнлик есабат'!$C$8:$C$507,A367,'Күнлик есабат'!$L$8:$L$507,0,'Күнлик есабат'!$M$8:$M$507,0)</x:f>
        <x:v>0</x:v>
      </x:c>
      <x:c r="L367" s="2" t="n">
        <x:f>SUMIFS('Күнлик есабат'!$G$8:$G$507,'Күнлик есабат'!$C$8:$C$507,A367,'Күнлик есабат'!$L$8:$L$507,0,'Күнлик есабат'!$M$8:$M$507,0)</x:f>
        <x:v>0</x:v>
      </x:c>
      <x:c r="M367" s="2" t="str">
        <x:f>IF(I367="","",MAX(I367-K367,0))</x:f>
      </x:c>
      <x:c r="N367" s="16" t="str">
        <x:f>IF(OR(I367="",I367=0),"",MIN(K367/I367,1))</x:f>
      </x:c>
      <x:c r="O367" s="2" t="n">
        <x:f>24-COUNTIFS('Клиентлер'!$T$8:$T$31,1)</x:f>
        <x:v>24</x:v>
      </x:c>
      <x:c r="P367" s="2"/>
      <x:c r="Q367" s="2" t="str">
        <x:v>Клиент бойынша</x:v>
      </x:c>
      <x:c r="R367" s="10"/>
      <x:c r="S367" s="2" t="n">
        <x:f>IF(COUNT(I367)=1,1,0)</x:f>
        <x:v>0</x:v>
      </x:c>
    </x:row>
    <x:row r="368" ht="46" customHeight="1">
      <x:c r="A368" s="2" t="n">
        <x:v>361</x:v>
      </x:c>
      <x:c r="B368" s="2"/>
      <x:c r="C368" s="12"/>
      <x:c r="D368" s="13" t="str">
        <x:v>Дәрамат салығы төлеми</x:v>
      </x:c>
      <x:c r="E368" s="14"/>
      <x:c r="F368" s="14"/>
      <x:c r="G368" s="2" t="str">
        <x:v>Клиент бойынша</x:v>
      </x:c>
      <x:c r="H368" s="2" t="str">
        <x:v>Барлығы</x:v>
      </x:c>
      <x:c r="I368" s="10"/>
      <x:c r="J368" s="10"/>
      <x:c r="K368" s="2" t="n">
        <x:f>SUMIFS('Күнлик есабат'!$F$8:$F$507,'Күнлик есабат'!$C$8:$C$507,A368,'Күнлик есабат'!$L$8:$L$507,0,'Күнлик есабат'!$M$8:$M$507,0)-SUMIFS('Күнлик есабат'!$H$8:$H$507,'Күнлик есабат'!$C$8:$C$507,A368,'Күнлик есабат'!$L$8:$L$507,0,'Күнлик есабат'!$M$8:$M$507,0)</x:f>
        <x:v>0</x:v>
      </x:c>
      <x:c r="L368" s="2" t="n">
        <x:f>SUMIFS('Күнлик есабат'!$G$8:$G$507,'Күнлик есабат'!$C$8:$C$507,A368,'Күнлик есабат'!$L$8:$L$507,0,'Күнлик есабат'!$M$8:$M$507,0)</x:f>
        <x:v>0</x:v>
      </x:c>
      <x:c r="M368" s="2" t="str">
        <x:f>IF(I368="","",MAX(I368-K368,0))</x:f>
      </x:c>
      <x:c r="N368" s="16" t="str">
        <x:f>IF(OR(I368="",I368=0),"",MIN(K368/I368,1))</x:f>
      </x:c>
      <x:c r="O368" s="2" t="n">
        <x:f>24-COUNTIFS('Клиентлер'!$T$8:$T$31,1)</x:f>
        <x:v>24</x:v>
      </x:c>
      <x:c r="P368" s="2"/>
      <x:c r="Q368" s="2" t="str">
        <x:v>Клиент бойынша</x:v>
      </x:c>
      <x:c r="R368" s="10"/>
      <x:c r="S368" s="2" t="n">
        <x:f>IF(COUNT(I368)=1,1,0)</x:f>
        <x:v>0</x:v>
      </x:c>
    </x:row>
    <x:row r="369" ht="46" customHeight="1">
      <x:c r="A369" s="2" t="n">
        <x:v>362</x:v>
      </x:c>
      <x:c r="B369" s="2"/>
      <x:c r="C369" s="12"/>
      <x:c r="D369" s="13" t="str">
        <x:v>ИНПС төлеми ҳәм мағлыўматы</x:v>
      </x:c>
      <x:c r="E369" s="14"/>
      <x:c r="F369" s="14"/>
      <x:c r="G369" s="2" t="str">
        <x:v>Клиент бойынша</x:v>
      </x:c>
      <x:c r="H369" s="2" t="str">
        <x:v>Барлығы</x:v>
      </x:c>
      <x:c r="I369" s="10"/>
      <x:c r="J369" s="10"/>
      <x:c r="K369" s="2" t="n">
        <x:f>SUMIFS('Күнлик есабат'!$F$8:$F$507,'Күнлик есабат'!$C$8:$C$507,A369,'Күнлик есабат'!$L$8:$L$507,0,'Күнлик есабат'!$M$8:$M$507,0)-SUMIFS('Күнлик есабат'!$H$8:$H$507,'Күнлик есабат'!$C$8:$C$507,A369,'Күнлик есабат'!$L$8:$L$507,0,'Күнлик есабат'!$M$8:$M$507,0)</x:f>
        <x:v>0</x:v>
      </x:c>
      <x:c r="L369" s="2" t="n">
        <x:f>SUMIFS('Күнлик есабат'!$G$8:$G$507,'Күнлик есабат'!$C$8:$C$507,A369,'Күнлик есабат'!$L$8:$L$507,0,'Күнлик есабат'!$M$8:$M$507,0)</x:f>
        <x:v>0</x:v>
      </x:c>
      <x:c r="M369" s="2" t="str">
        <x:f>IF(I369="","",MAX(I369-K369,0))</x:f>
      </x:c>
      <x:c r="N369" s="16" t="str">
        <x:f>IF(OR(I369="",I369=0),"",MIN(K369/I369,1))</x:f>
      </x:c>
      <x:c r="O369" s="2" t="n">
        <x:f>24-COUNTIFS('Клиентлер'!$T$8:$T$31,1)</x:f>
        <x:v>24</x:v>
      </x:c>
      <x:c r="P369" s="2"/>
      <x:c r="Q369" s="2" t="str">
        <x:v>Клиент бойынша</x:v>
      </x:c>
      <x:c r="R369" s="10"/>
      <x:c r="S369" s="2" t="n">
        <x:f>IF(COUNT(I369)=1,1,0)</x:f>
        <x:v>0</x:v>
      </x:c>
    </x:row>
    <x:row r="370" ht="46" customHeight="1">
      <x:c r="A370" s="2" t="n">
        <x:v>363</x:v>
      </x:c>
      <x:c r="B370" s="2"/>
      <x:c r="C370" s="12"/>
      <x:c r="D370" s="13" t="str">
        <x:v>Норезидент салығы төлеми</x:v>
      </x:c>
      <x:c r="E370" s="14"/>
      <x:c r="F370" s="14"/>
      <x:c r="G370" s="2" t="str">
        <x:v>Клиент бойынша</x:v>
      </x:c>
      <x:c r="H370" s="2" t="str">
        <x:v>Барлығы</x:v>
      </x:c>
      <x:c r="I370" s="10"/>
      <x:c r="J370" s="10"/>
      <x:c r="K370" s="2" t="n">
        <x:f>SUMIFS('Күнлик есабат'!$F$8:$F$507,'Күнлик есабат'!$C$8:$C$507,A370,'Күнлик есабат'!$L$8:$L$507,0,'Күнлик есабат'!$M$8:$M$507,0)-SUMIFS('Күнлик есабат'!$H$8:$H$507,'Күнлик есабат'!$C$8:$C$507,A370,'Күнлик есабат'!$L$8:$L$507,0,'Күнлик есабат'!$M$8:$M$507,0)</x:f>
        <x:v>0</x:v>
      </x:c>
      <x:c r="L370" s="2" t="n">
        <x:f>SUMIFS('Күнлик есабат'!$G$8:$G$507,'Күнлик есабат'!$C$8:$C$507,A370,'Күнлик есабат'!$L$8:$L$507,0,'Күнлик есабат'!$M$8:$M$507,0)</x:f>
        <x:v>0</x:v>
      </x:c>
      <x:c r="M370" s="2" t="str">
        <x:f>IF(I370="","",MAX(I370-K370,0))</x:f>
      </x:c>
      <x:c r="N370" s="16" t="str">
        <x:f>IF(OR(I370="",I370=0),"",MIN(K370/I370,1))</x:f>
      </x:c>
      <x:c r="O370" s="2" t="n">
        <x:f>24-COUNTIFS('Клиентлер'!$T$8:$T$31,1)</x:f>
        <x:v>24</x:v>
      </x:c>
      <x:c r="P370" s="2"/>
      <x:c r="Q370" s="2" t="str">
        <x:v>Клиент бойынша</x:v>
      </x:c>
      <x:c r="R370" s="10"/>
      <x:c r="S370" s="2" t="n">
        <x:f>IF(COUNT(I370)=1,1,0)</x:f>
        <x:v>0</x:v>
      </x:c>
    </x:row>
    <x:row r="371" ht="46" customHeight="1">
      <x:c r="A371" s="2" t="n">
        <x:v>364</x:v>
      </x:c>
      <x:c r="B371" s="2"/>
      <x:c r="C371" s="12"/>
      <x:c r="D371" s="13" t="str">
        <x:v>Дивиденд салығы төлеми</x:v>
      </x:c>
      <x:c r="E371" s="14"/>
      <x:c r="F371" s="14"/>
      <x:c r="G371" s="2" t="str">
        <x:v>Клиент бойынша</x:v>
      </x:c>
      <x:c r="H371" s="2" t="str">
        <x:v>Барлығы</x:v>
      </x:c>
      <x:c r="I371" s="10"/>
      <x:c r="J371" s="10"/>
      <x:c r="K371" s="2" t="n">
        <x:f>SUMIFS('Күнлик есабат'!$F$8:$F$507,'Күнлик есабат'!$C$8:$C$507,A371,'Күнлик есабат'!$L$8:$L$507,0,'Күнлик есабат'!$M$8:$M$507,0)-SUMIFS('Күнлик есабат'!$H$8:$H$507,'Күнлик есабат'!$C$8:$C$507,A371,'Күнлик есабат'!$L$8:$L$507,0,'Күнлик есабат'!$M$8:$M$507,0)</x:f>
        <x:v>0</x:v>
      </x:c>
      <x:c r="L371" s="2" t="n">
        <x:f>SUMIFS('Күнлик есабат'!$G$8:$G$507,'Күнлик есабат'!$C$8:$C$507,A371,'Күнлик есабат'!$L$8:$L$507,0,'Күнлик есабат'!$M$8:$M$507,0)</x:f>
        <x:v>0</x:v>
      </x:c>
      <x:c r="M371" s="2" t="str">
        <x:f>IF(I371="","",MAX(I371-K371,0))</x:f>
      </x:c>
      <x:c r="N371" s="16" t="str">
        <x:f>IF(OR(I371="",I371=0),"",MIN(K371/I371,1))</x:f>
      </x:c>
      <x:c r="O371" s="2" t="n">
        <x:f>24-COUNTIFS('Клиентлер'!$T$8:$T$31,1)</x:f>
        <x:v>24</x:v>
      </x:c>
      <x:c r="P371" s="2"/>
      <x:c r="Q371" s="2" t="str">
        <x:v>Клиент бойынша</x:v>
      </x:c>
      <x:c r="R371" s="10"/>
      <x:c r="S371" s="2" t="n">
        <x:f>IF(COUNT(I371)=1,1,0)</x:f>
        <x:v>0</x:v>
      </x:c>
    </x:row>
    <x:row r="372" ht="46" customHeight="1">
      <x:c r="A372" s="2" t="n">
        <x:v>365</x:v>
      </x:c>
      <x:c r="B372" s="2"/>
      <x:c r="C372" s="12"/>
      <x:c r="D372" s="13" t="str">
        <x:v>Алкоголь жыйымы</x:v>
      </x:c>
      <x:c r="E372" s="14"/>
      <x:c r="F372" s="14"/>
      <x:c r="G372" s="2" t="str">
        <x:v>Клиент бойынша</x:v>
      </x:c>
      <x:c r="H372" s="2" t="str">
        <x:v>Барлығы</x:v>
      </x:c>
      <x:c r="I372" s="10"/>
      <x:c r="J372" s="10"/>
      <x:c r="K372" s="2" t="n">
        <x:f>SUMIFS('Күнлик есабат'!$F$8:$F$507,'Күнлик есабат'!$C$8:$C$507,A372,'Күнлик есабат'!$L$8:$L$507,0,'Күнлик есабат'!$M$8:$M$507,0)-SUMIFS('Күнлик есабат'!$H$8:$H$507,'Күнлик есабат'!$C$8:$C$507,A372,'Күнлик есабат'!$L$8:$L$507,0,'Күнлик есабат'!$M$8:$M$507,0)</x:f>
        <x:v>0</x:v>
      </x:c>
      <x:c r="L372" s="2" t="n">
        <x:f>SUMIFS('Күнлик есабат'!$G$8:$G$507,'Күнлик есабат'!$C$8:$C$507,A372,'Күнлик есабат'!$L$8:$L$507,0,'Күнлик есабат'!$M$8:$M$507,0)</x:f>
        <x:v>0</x:v>
      </x:c>
      <x:c r="M372" s="2" t="str">
        <x:f>IF(I372="","",MAX(I372-K372,0))</x:f>
      </x:c>
      <x:c r="N372" s="16" t="str">
        <x:f>IF(OR(I372="",I372=0),"",MIN(K372/I372,1))</x:f>
      </x:c>
      <x:c r="O372" s="2" t="n">
        <x:f>24-COUNTIFS('Клиентлер'!$T$8:$T$31,1)</x:f>
        <x:v>24</x:v>
      </x:c>
      <x:c r="P372" s="2"/>
      <x:c r="Q372" s="2" t="str">
        <x:v>Клиент бойынша</x:v>
      </x:c>
      <x:c r="R372" s="10"/>
      <x:c r="S372" s="2" t="n">
        <x:f>IF(COUNT(I372)=1,1,0)</x:f>
        <x:v>0</x:v>
      </x:c>
    </x:row>
    <x:row r="373" ht="46" customHeight="1">
      <x:c r="A373" s="2" t="n">
        <x:v>366</x:v>
      </x:c>
      <x:c r="B373" s="2"/>
      <x:c r="C373" s="12"/>
      <x:c r="D373" s="13" t="str">
        <x:v>Арнаўлы рента салығы</x:v>
      </x:c>
      <x:c r="E373" s="14"/>
      <x:c r="F373" s="14"/>
      <x:c r="G373" s="2" t="str">
        <x:v>Клиент бойынша</x:v>
      </x:c>
      <x:c r="H373" s="2" t="str">
        <x:v>Барлығы</x:v>
      </x:c>
      <x:c r="I373" s="10"/>
      <x:c r="J373" s="10"/>
      <x:c r="K373" s="2" t="n">
        <x:f>SUMIFS('Күнлик есабат'!$F$8:$F$507,'Күнлик есабат'!$C$8:$C$507,A373,'Күнлик есабат'!$L$8:$L$507,0,'Күнлик есабат'!$M$8:$M$507,0)-SUMIFS('Күнлик есабат'!$H$8:$H$507,'Күнлик есабат'!$C$8:$C$507,A373,'Күнлик есабат'!$L$8:$L$507,0,'Күнлик есабат'!$M$8:$M$507,0)</x:f>
        <x:v>0</x:v>
      </x:c>
      <x:c r="L373" s="2" t="n">
        <x:f>SUMIFS('Күнлик есабат'!$G$8:$G$507,'Күнлик есабат'!$C$8:$C$507,A373,'Күнлик есабат'!$L$8:$L$507,0,'Күнлик есабат'!$M$8:$M$507,0)</x:f>
        <x:v>0</x:v>
      </x:c>
      <x:c r="M373" s="2" t="str">
        <x:f>IF(I373="","",MAX(I373-K373,0))</x:f>
      </x:c>
      <x:c r="N373" s="16" t="str">
        <x:f>IF(OR(I373="",I373=0),"",MIN(K373/I373,1))</x:f>
      </x:c>
      <x:c r="O373" s="2" t="n">
        <x:f>24-COUNTIFS('Клиентлер'!$T$8:$T$31,1)</x:f>
        <x:v>24</x:v>
      </x:c>
      <x:c r="P373" s="2"/>
      <x:c r="Q373" s="2" t="str">
        <x:v>Клиент бойынша</x:v>
      </x:c>
      <x:c r="R373" s="10"/>
      <x:c r="S373" s="2" t="n">
        <x:f>IF(COUNT(I373)=1,1,0)</x:f>
        <x:v>0</x:v>
      </x:c>
    </x:row>
    <x:row r="374" ht="46" customHeight="1">
      <x:c r="A374" s="2" t="n">
        <x:v>367</x:v>
      </x:c>
      <x:c r="B374" s="2"/>
      <x:c r="C374" s="12"/>
      <x:c r="D374" s="13" t="str">
        <x:v>Аўыл хожалығы жер салығы</x:v>
      </x:c>
      <x:c r="E374" s="14"/>
      <x:c r="F374" s="14"/>
      <x:c r="G374" s="2" t="str">
        <x:v>Клиент бойынша</x:v>
      </x:c>
      <x:c r="H374" s="2" t="str">
        <x:v>Барлығы</x:v>
      </x:c>
      <x:c r="I374" s="10"/>
      <x:c r="J374" s="10"/>
      <x:c r="K374" s="2" t="n">
        <x:f>SUMIFS('Күнлик есабат'!$F$8:$F$507,'Күнлик есабат'!$C$8:$C$507,A374,'Күнлик есабат'!$L$8:$L$507,0,'Күнлик есабат'!$M$8:$M$507,0)-SUMIFS('Күнлик есабат'!$H$8:$H$507,'Күнлик есабат'!$C$8:$C$507,A374,'Күнлик есабат'!$L$8:$L$507,0,'Күнлик есабат'!$M$8:$M$507,0)</x:f>
        <x:v>0</x:v>
      </x:c>
      <x:c r="L374" s="2" t="n">
        <x:f>SUMIFS('Күнлик есабат'!$G$8:$G$507,'Күнлик есабат'!$C$8:$C$507,A374,'Күнлик есабат'!$L$8:$L$507,0,'Күнлик есабат'!$M$8:$M$507,0)</x:f>
        <x:v>0</x:v>
      </x:c>
      <x:c r="M374" s="2" t="str">
        <x:f>IF(I374="","",MAX(I374-K374,0))</x:f>
      </x:c>
      <x:c r="N374" s="16" t="str">
        <x:f>IF(OR(I374="",I374=0),"",MIN(K374/I374,1))</x:f>
      </x:c>
      <x:c r="O374" s="2" t="n">
        <x:f>24-COUNTIFS('Клиентлер'!$T$8:$T$31,1)</x:f>
        <x:v>24</x:v>
      </x:c>
      <x:c r="P374" s="2"/>
      <x:c r="Q374" s="2" t="str">
        <x:v>Клиент бойынша</x:v>
      </x:c>
      <x:c r="R374" s="10"/>
      <x:c r="S374" s="2" t="n">
        <x:f>IF(COUNT(I374)=1,1,0)</x:f>
        <x:v>0</x:v>
      </x:c>
    </x:row>
    <x:row r="375" ht="46" customHeight="1">
      <x:c r="A375" s="2" t="n">
        <x:v>368</x:v>
      </x:c>
      <x:c r="B375" s="2"/>
      <x:c r="C375" s="12"/>
      <x:c r="D375" s="13" t="str">
        <x:v>Аўыл хожалығы суў салығы</x:v>
      </x:c>
      <x:c r="E375" s="14"/>
      <x:c r="F375" s="14"/>
      <x:c r="G375" s="2" t="str">
        <x:v>Клиент бойынша</x:v>
      </x:c>
      <x:c r="H375" s="2" t="str">
        <x:v>Барлығы</x:v>
      </x:c>
      <x:c r="I375" s="10"/>
      <x:c r="J375" s="10"/>
      <x:c r="K375" s="2" t="n">
        <x:f>SUMIFS('Күнлик есабат'!$F$8:$F$507,'Күнлик есабат'!$C$8:$C$507,A375,'Күнлик есабат'!$L$8:$L$507,0,'Күнлик есабат'!$M$8:$M$507,0)-SUMIFS('Күнлик есабат'!$H$8:$H$507,'Күнлик есабат'!$C$8:$C$507,A375,'Күнлик есабат'!$L$8:$L$507,0,'Күнлик есабат'!$M$8:$M$507,0)</x:f>
        <x:v>0</x:v>
      </x:c>
      <x:c r="L375" s="2" t="n">
        <x:f>SUMIFS('Күнлик есабат'!$G$8:$G$507,'Күнлик есабат'!$C$8:$C$507,A375,'Күнлик есабат'!$L$8:$L$507,0,'Күнлик есабат'!$M$8:$M$507,0)</x:f>
        <x:v>0</x:v>
      </x:c>
      <x:c r="M375" s="2" t="str">
        <x:f>IF(I375="","",MAX(I375-K375,0))</x:f>
      </x:c>
      <x:c r="N375" s="16" t="str">
        <x:f>IF(OR(I375="",I375=0),"",MIN(K375/I375,1))</x:f>
      </x:c>
      <x:c r="O375" s="2" t="n">
        <x:f>24-COUNTIFS('Клиентлер'!$T$8:$T$31,1)</x:f>
        <x:v>24</x:v>
      </x:c>
      <x:c r="P375" s="2"/>
      <x:c r="Q375" s="2" t="str">
        <x:v>Клиент бойынша</x:v>
      </x:c>
      <x:c r="R375" s="10"/>
      <x:c r="S375" s="2" t="n">
        <x:f>IF(COUNT(I375)=1,1,0)</x:f>
        <x:v>0</x:v>
      </x:c>
    </x:row>
    <x:row r="376" ht="46" customHeight="1">
      <x:c r="A376" s="2" t="n">
        <x:v>369</x:v>
      </x:c>
      <x:c r="B376" s="2"/>
      <x:c r="C376" s="12"/>
      <x:c r="D376" s="13" t="str">
        <x:v>Финанслық есабат (Ф-1 / Ф-2)</x:v>
      </x:c>
      <x:c r="E376" s="14"/>
      <x:c r="F376" s="14"/>
      <x:c r="G376" s="2" t="str">
        <x:v>Клиент бойынша</x:v>
      </x:c>
      <x:c r="H376" s="2" t="str">
        <x:v>Барлығы</x:v>
      </x:c>
      <x:c r="I376" s="10"/>
      <x:c r="J376" s="10"/>
      <x:c r="K376" s="2" t="n">
        <x:f>SUMIFS('Күнлик есабат'!$F$8:$F$507,'Күнлик есабат'!$C$8:$C$507,A376,'Күнлик есабат'!$L$8:$L$507,0,'Күнлик есабат'!$M$8:$M$507,0)-SUMIFS('Күнлик есабат'!$H$8:$H$507,'Күнлик есабат'!$C$8:$C$507,A376,'Күнлик есабат'!$L$8:$L$507,0,'Күнлик есабат'!$M$8:$M$507,0)</x:f>
        <x:v>0</x:v>
      </x:c>
      <x:c r="L376" s="2" t="n">
        <x:f>SUMIFS('Күнлик есабат'!$G$8:$G$507,'Күнлик есабат'!$C$8:$C$507,A376,'Күнлик есабат'!$L$8:$L$507,0,'Күнлик есабат'!$M$8:$M$507,0)</x:f>
        <x:v>0</x:v>
      </x:c>
      <x:c r="M376" s="2" t="str">
        <x:f>IF(I376="","",MAX(I376-K376,0))</x:f>
      </x:c>
      <x:c r="N376" s="16" t="str">
        <x:f>IF(OR(I376="",I376=0),"",MIN(K376/I376,1))</x:f>
      </x:c>
      <x:c r="O376" s="2" t="n">
        <x:f>24-COUNTIFS('Клиентлер'!$T$8:$T$31,1)</x:f>
        <x:v>24</x:v>
      </x:c>
      <x:c r="P376" s="2"/>
      <x:c r="Q376" s="2" t="str">
        <x:v>Клиент бойынша</x:v>
      </x:c>
      <x:c r="R376" s="10"/>
      <x:c r="S376" s="2" t="n">
        <x:f>IF(COUNT(I376)=1,1,0)</x:f>
        <x:v>0</x:v>
      </x:c>
    </x:row>
    <x:row r="377" ht="46" customHeight="1">
      <x:c r="A377" s="2" t="n">
        <x:v>370</x:v>
      </x:c>
      <x:c r="B377" s="2"/>
      <x:c r="C377" s="12"/>
      <x:c r="D377" s="13" t="str">
        <x:v>Статистика есабаты</x:v>
      </x:c>
      <x:c r="E377" s="14"/>
      <x:c r="F377" s="14"/>
      <x:c r="G377" s="2" t="str">
        <x:v>Клиент бойынша</x:v>
      </x:c>
      <x:c r="H377" s="2" t="str">
        <x:v>Барлығы</x:v>
      </x:c>
      <x:c r="I377" s="10"/>
      <x:c r="J377" s="10"/>
      <x:c r="K377" s="2" t="n">
        <x:f>SUMIFS('Күнлик есабат'!$F$8:$F$507,'Күнлик есабат'!$C$8:$C$507,A377,'Күнлик есабат'!$L$8:$L$507,0,'Күнлик есабат'!$M$8:$M$507,0)-SUMIFS('Күнлик есабат'!$H$8:$H$507,'Күнлик есабат'!$C$8:$C$507,A377,'Күнлик есабат'!$L$8:$L$507,0,'Күнлик есабат'!$M$8:$M$507,0)</x:f>
        <x:v>0</x:v>
      </x:c>
      <x:c r="L377" s="2" t="n">
        <x:f>SUMIFS('Күнлик есабат'!$G$8:$G$507,'Күнлик есабат'!$C$8:$C$507,A377,'Күнлик есабат'!$L$8:$L$507,0,'Күнлик есабат'!$M$8:$M$507,0)</x:f>
        <x:v>0</x:v>
      </x:c>
      <x:c r="M377" s="2" t="str">
        <x:f>IF(I377="","",MAX(I377-K377,0))</x:f>
      </x:c>
      <x:c r="N377" s="16" t="str">
        <x:f>IF(OR(I377="",I377=0),"",MIN(K377/I377,1))</x:f>
      </x:c>
      <x:c r="O377" s="2" t="n">
        <x:f>24-COUNTIFS('Клиентлер'!$T$8:$T$31,1)</x:f>
        <x:v>24</x:v>
      </x:c>
      <x:c r="P377" s="2"/>
      <x:c r="Q377" s="2" t="str">
        <x:v>Клиент бойынша</x:v>
      </x:c>
      <x:c r="R377" s="10"/>
      <x:c r="S377" s="2" t="n">
        <x:f>IF(COUNT(I377)=1,1,0)</x:f>
        <x:v>0</x:v>
      </x:c>
    </x:row>
    <x:row r="378" ht="46" customHeight="1">
      <x:c r="A378" s="2" t="n">
        <x:v>371</x:v>
      </x:c>
      <x:c r="B378" s="2"/>
      <x:c r="C378" s="12"/>
      <x:c r="D378" s="13" t="str">
        <x:v>Қайта есабат тапсырыў</x:v>
      </x:c>
      <x:c r="E378" s="14"/>
      <x:c r="F378" s="14"/>
      <x:c r="G378" s="2" t="str">
        <x:v>Клиент бойынша</x:v>
      </x:c>
      <x:c r="H378" s="2" t="str">
        <x:v>Барлығы</x:v>
      </x:c>
      <x:c r="I378" s="10"/>
      <x:c r="J378" s="10"/>
      <x:c r="K378" s="2" t="n">
        <x:f>SUMIFS('Күнлик есабат'!$F$8:$F$507,'Күнлик есабат'!$C$8:$C$507,A378,'Күнлик есабат'!$L$8:$L$507,0,'Күнлик есабат'!$M$8:$M$507,0)-SUMIFS('Күнлик есабат'!$H$8:$H$507,'Күнлик есабат'!$C$8:$C$507,A378,'Күнлик есабат'!$L$8:$L$507,0,'Күнлик есабат'!$M$8:$M$507,0)</x:f>
        <x:v>0</x:v>
      </x:c>
      <x:c r="L378" s="2" t="n">
        <x:f>SUMIFS('Күнлик есабат'!$G$8:$G$507,'Күнлик есабат'!$C$8:$C$507,A378,'Күнлик есабат'!$L$8:$L$507,0,'Күнлик есабат'!$M$8:$M$507,0)</x:f>
        <x:v>0</x:v>
      </x:c>
      <x:c r="M378" s="2" t="str">
        <x:f>IF(I378="","",MAX(I378-K378,0))</x:f>
      </x:c>
      <x:c r="N378" s="16" t="str">
        <x:f>IF(OR(I378="",I378=0),"",MIN(K378/I378,1))</x:f>
      </x:c>
      <x:c r="O378" s="2" t="n">
        <x:f>24-COUNTIFS('Клиентлер'!$T$8:$T$31,1)</x:f>
        <x:v>24</x:v>
      </x:c>
      <x:c r="P378" s="2"/>
      <x:c r="Q378" s="2" t="str">
        <x:v>Клиент бойынша</x:v>
      </x:c>
      <x:c r="R378" s="10"/>
      <x:c r="S378" s="2" t="n">
        <x:f>IF(COUNT(I378)=1,1,0)</x:f>
        <x:v>0</x:v>
      </x:c>
    </x:row>
    <x:row r="379" ht="46" customHeight="1">
      <x:c r="A379" s="2" t="n">
        <x:v>372</x:v>
      </x:c>
      <x:c r="B379" s="2"/>
      <x:c r="C379" s="12"/>
      <x:c r="D379" s="13" t="str">
        <x:v>Автокамерал хабарға жуўап</x:v>
      </x:c>
      <x:c r="E379" s="14"/>
      <x:c r="F379" s="14"/>
      <x:c r="G379" s="2" t="str">
        <x:v>Клиент бойынша</x:v>
      </x:c>
      <x:c r="H379" s="2" t="str">
        <x:v>Барлығы</x:v>
      </x:c>
      <x:c r="I379" s="10"/>
      <x:c r="J379" s="10"/>
      <x:c r="K379" s="2" t="n">
        <x:f>SUMIFS('Күнлик есабат'!$F$8:$F$507,'Күнлик есабат'!$C$8:$C$507,A379,'Күнлик есабат'!$L$8:$L$507,0,'Күнлик есабат'!$M$8:$M$507,0)-SUMIFS('Күнлик есабат'!$H$8:$H$507,'Күнлик есабат'!$C$8:$C$507,A379,'Күнлик есабат'!$L$8:$L$507,0,'Күнлик есабат'!$M$8:$M$507,0)</x:f>
        <x:v>0</x:v>
      </x:c>
      <x:c r="L379" s="2" t="n">
        <x:f>SUMIFS('Күнлик есабат'!$G$8:$G$507,'Күнлик есабат'!$C$8:$C$507,A379,'Күнлик есабат'!$L$8:$L$507,0,'Күнлик есабат'!$M$8:$M$507,0)</x:f>
        <x:v>0</x:v>
      </x:c>
      <x:c r="M379" s="2" t="str">
        <x:f>IF(I379="","",MAX(I379-K379,0))</x:f>
      </x:c>
      <x:c r="N379" s="16" t="str">
        <x:f>IF(OR(I379="",I379=0),"",MIN(K379/I379,1))</x:f>
      </x:c>
      <x:c r="O379" s="2" t="n">
        <x:f>24-COUNTIFS('Клиентлер'!$T$8:$T$31,1)</x:f>
        <x:v>24</x:v>
      </x:c>
      <x:c r="P379" s="2"/>
      <x:c r="Q379" s="2" t="str">
        <x:v>Клиент бойынша</x:v>
      </x:c>
      <x:c r="R379" s="10"/>
      <x:c r="S379" s="2" t="n">
        <x:f>IF(COUNT(I379)=1,1,0)</x:f>
        <x:v>0</x:v>
      </x:c>
    </x:row>
    <x:row r="380" ht="46" customHeight="1">
      <x:c r="A380" s="2" t="n">
        <x:v>373</x:v>
      </x:c>
      <x:c r="B380" s="2"/>
      <x:c r="C380" s="12"/>
      <x:c r="D380" s="13" t="str">
        <x:v>Шәртнама таярлаў</x:v>
      </x:c>
      <x:c r="E380" s="14"/>
      <x:c r="F380" s="14"/>
      <x:c r="G380" s="2" t="str">
        <x:v>Клиент бойынша</x:v>
      </x:c>
      <x:c r="H380" s="2" t="str">
        <x:v>Барлығы</x:v>
      </x:c>
      <x:c r="I380" s="10"/>
      <x:c r="J380" s="10"/>
      <x:c r="K380" s="2" t="n">
        <x:f>SUMIFS('Күнлик есабат'!$F$8:$F$507,'Күнлик есабат'!$C$8:$C$507,A380,'Күнлик есабат'!$L$8:$L$507,0,'Күнлик есабат'!$M$8:$M$507,0)-SUMIFS('Күнлик есабат'!$H$8:$H$507,'Күнлик есабат'!$C$8:$C$507,A380,'Күнлик есабат'!$L$8:$L$507,0,'Күнлик есабат'!$M$8:$M$507,0)</x:f>
        <x:v>0</x:v>
      </x:c>
      <x:c r="L380" s="2" t="n">
        <x:f>SUMIFS('Күнлик есабат'!$G$8:$G$507,'Күнлик есабат'!$C$8:$C$507,A380,'Күнлик есабат'!$L$8:$L$507,0,'Күнлик есабат'!$M$8:$M$507,0)</x:f>
        <x:v>0</x:v>
      </x:c>
      <x:c r="M380" s="2" t="str">
        <x:f>IF(I380="","",MAX(I380-K380,0))</x:f>
      </x:c>
      <x:c r="N380" s="16" t="str">
        <x:f>IF(OR(I380="",I380=0),"",MIN(K380/I380,1))</x:f>
      </x:c>
      <x:c r="O380" s="2" t="n">
        <x:f>24-COUNTIFS('Клиентлер'!$T$8:$T$31,1)</x:f>
        <x:v>24</x:v>
      </x:c>
      <x:c r="P380" s="2"/>
      <x:c r="Q380" s="2" t="str">
        <x:v>Клиент бойынша</x:v>
      </x:c>
      <x:c r="R380" s="10"/>
      <x:c r="S380" s="2" t="n">
        <x:f>IF(COUNT(I380)=1,1,0)</x:f>
        <x:v>0</x:v>
      </x:c>
    </x:row>
    <x:row r="381" ht="46" customHeight="1">
      <x:c r="A381" s="2" t="n">
        <x:v>374</x:v>
      </x:c>
      <x:c r="B381" s="2"/>
      <x:c r="C381" s="12"/>
      <x:c r="D381" s="13" t="str">
        <x:v>Исенимнама таярлаў</x:v>
      </x:c>
      <x:c r="E381" s="14"/>
      <x:c r="F381" s="14"/>
      <x:c r="G381" s="2" t="str">
        <x:v>Клиент бойынша</x:v>
      </x:c>
      <x:c r="H381" s="2" t="str">
        <x:v>Барлығы</x:v>
      </x:c>
      <x:c r="I381" s="10"/>
      <x:c r="J381" s="10"/>
      <x:c r="K381" s="2" t="n">
        <x:f>SUMIFS('Күнлик есабат'!$F$8:$F$507,'Күнлик есабат'!$C$8:$C$507,A381,'Күнлик есабат'!$L$8:$L$507,0,'Күнлик есабат'!$M$8:$M$507,0)-SUMIFS('Күнлик есабат'!$H$8:$H$507,'Күнлик есабат'!$C$8:$C$507,A381,'Күнлик есабат'!$L$8:$L$507,0,'Күнлик есабат'!$M$8:$M$507,0)</x:f>
        <x:v>0</x:v>
      </x:c>
      <x:c r="L381" s="2" t="n">
        <x:f>SUMIFS('Күнлик есабат'!$G$8:$G$507,'Күнлик есабат'!$C$8:$C$507,A381,'Күнлик есабат'!$L$8:$L$507,0,'Күнлик есабат'!$M$8:$M$507,0)</x:f>
        <x:v>0</x:v>
      </x:c>
      <x:c r="M381" s="2" t="str">
        <x:f>IF(I381="","",MAX(I381-K381,0))</x:f>
      </x:c>
      <x:c r="N381" s="16" t="str">
        <x:f>IF(OR(I381="",I381=0),"",MIN(K381/I381,1))</x:f>
      </x:c>
      <x:c r="O381" s="2" t="n">
        <x:f>24-COUNTIFS('Клиентлер'!$T$8:$T$31,1)</x:f>
        <x:v>24</x:v>
      </x:c>
      <x:c r="P381" s="2"/>
      <x:c r="Q381" s="2" t="str">
        <x:v>Клиент бойынша</x:v>
      </x:c>
      <x:c r="R381" s="10"/>
      <x:c r="S381" s="2" t="n">
        <x:f>IF(COUNT(I381)=1,1,0)</x:f>
        <x:v>0</x:v>
      </x:c>
    </x:row>
    <x:row r="382" ht="46" customHeight="1">
      <x:c r="A382" s="2" t="n">
        <x:v>375</x:v>
      </x:c>
      <x:c r="B382" s="2"/>
      <x:c r="C382" s="12"/>
      <x:c r="D382" s="13" t="str">
        <x:v>Төлем тапсырмасын таярлаў</x:v>
      </x:c>
      <x:c r="E382" s="14"/>
      <x:c r="F382" s="14"/>
      <x:c r="G382" s="2" t="str">
        <x:v>Клиент бойынша</x:v>
      </x:c>
      <x:c r="H382" s="2" t="str">
        <x:v>Барлығы</x:v>
      </x:c>
      <x:c r="I382" s="10"/>
      <x:c r="J382" s="10"/>
      <x:c r="K382" s="2" t="n">
        <x:f>SUMIFS('Күнлик есабат'!$F$8:$F$507,'Күнлик есабат'!$C$8:$C$507,A382,'Күнлик есабат'!$L$8:$L$507,0,'Күнлик есабат'!$M$8:$M$507,0)-SUMIFS('Күнлик есабат'!$H$8:$H$507,'Күнлик есабат'!$C$8:$C$507,A382,'Күнлик есабат'!$L$8:$L$507,0,'Күнлик есабат'!$M$8:$M$507,0)</x:f>
        <x:v>0</x:v>
      </x:c>
      <x:c r="L382" s="2" t="n">
        <x:f>SUMIFS('Күнлик есабат'!$G$8:$G$507,'Күнлик есабат'!$C$8:$C$507,A382,'Күнлик есабат'!$L$8:$L$507,0,'Күнлик есабат'!$M$8:$M$507,0)</x:f>
        <x:v>0</x:v>
      </x:c>
      <x:c r="M382" s="2" t="str">
        <x:f>IF(I382="","",MAX(I382-K382,0))</x:f>
      </x:c>
      <x:c r="N382" s="16" t="str">
        <x:f>IF(OR(I382="",I382=0),"",MIN(K382/I382,1))</x:f>
      </x:c>
      <x:c r="O382" s="2" t="n">
        <x:f>24-COUNTIFS('Клиентлер'!$T$8:$T$31,1)</x:f>
        <x:v>24</x:v>
      </x:c>
      <x:c r="P382" s="2"/>
      <x:c r="Q382" s="2" t="str">
        <x:v>Клиент бойынша</x:v>
      </x:c>
      <x:c r="R382" s="10"/>
      <x:c r="S382" s="2" t="n">
        <x:f>IF(COUNT(I382)=1,1,0)</x:f>
        <x:v>0</x:v>
      </x:c>
    </x:row>
    <x:row r="383" ht="46" customHeight="1">
      <x:c r="A383" s="2" t="n">
        <x:v>376</x:v>
      </x:c>
      <x:c r="B383" s="2"/>
      <x:c r="C383" s="12"/>
      <x:c r="D383" s="13" t="str">
        <x:v>Чек басыў</x:v>
      </x:c>
      <x:c r="E383" s="14"/>
      <x:c r="F383" s="14"/>
      <x:c r="G383" s="2" t="str">
        <x:v>Клиент бойынша</x:v>
      </x:c>
      <x:c r="H383" s="2" t="str">
        <x:v>Барлығы</x:v>
      </x:c>
      <x:c r="I383" s="10"/>
      <x:c r="J383" s="10"/>
      <x:c r="K383" s="2" t="n">
        <x:f>SUMIFS('Күнлик есабат'!$F$8:$F$507,'Күнлик есабат'!$C$8:$C$507,A383,'Күнлик есабат'!$L$8:$L$507,0,'Күнлик есабат'!$M$8:$M$507,0)-SUMIFS('Күнлик есабат'!$H$8:$H$507,'Күнлик есабат'!$C$8:$C$507,A383,'Күнлик есабат'!$L$8:$L$507,0,'Күнлик есабат'!$M$8:$M$507,0)</x:f>
        <x:v>0</x:v>
      </x:c>
      <x:c r="L383" s="2" t="n">
        <x:f>SUMIFS('Күнлик есабат'!$G$8:$G$507,'Күнлик есабат'!$C$8:$C$507,A383,'Күнлик есабат'!$L$8:$L$507,0,'Күнлик есабат'!$M$8:$M$507,0)</x:f>
        <x:v>0</x:v>
      </x:c>
      <x:c r="M383" s="2" t="str">
        <x:f>IF(I383="","",MAX(I383-K383,0))</x:f>
      </x:c>
      <x:c r="N383" s="16" t="str">
        <x:f>IF(OR(I383="",I383=0),"",MIN(K383/I383,1))</x:f>
      </x:c>
      <x:c r="O383" s="2" t="n">
        <x:f>24-COUNTIFS('Клиентлер'!$T$8:$T$31,1)</x:f>
        <x:v>24</x:v>
      </x:c>
      <x:c r="P383" s="2"/>
      <x:c r="Q383" s="2" t="str">
        <x:v>Клиент бойынша</x:v>
      </x:c>
      <x:c r="R383" s="10"/>
      <x:c r="S383" s="2" t="n">
        <x:f>IF(COUNT(I383)=1,1,0)</x:f>
        <x:v>0</x:v>
      </x:c>
    </x:row>
    <x:row r="384" ht="46" customHeight="1">
      <x:c r="A384" s="2" t="n">
        <x:v>377</x:v>
      </x:c>
      <x:c r="B384" s="2"/>
      <x:c r="C384" s="12"/>
      <x:c r="D384" s="13" t="str">
        <x:v>Клиент қоңыраўы</x:v>
      </x:c>
      <x:c r="E384" s="14"/>
      <x:c r="F384" s="14"/>
      <x:c r="G384" s="2" t="str">
        <x:v>Клиент бойынша</x:v>
      </x:c>
      <x:c r="H384" s="2" t="str">
        <x:v>Барлығы</x:v>
      </x:c>
      <x:c r="I384" s="10"/>
      <x:c r="J384" s="10"/>
      <x:c r="K384" s="2" t="n">
        <x:f>SUMIFS('Күнлик есабат'!$F$8:$F$507,'Күнлик есабат'!$C$8:$C$507,A384,'Күнлик есабат'!$L$8:$L$507,0,'Күнлик есабат'!$M$8:$M$507,0)-SUMIFS('Күнлик есабат'!$H$8:$H$507,'Күнлик есабат'!$C$8:$C$507,A384,'Күнлик есабат'!$L$8:$L$507,0,'Күнлик есабат'!$M$8:$M$507,0)</x:f>
        <x:v>0</x:v>
      </x:c>
      <x:c r="L384" s="2" t="n">
        <x:f>SUMIFS('Күнлик есабат'!$G$8:$G$507,'Күнлик есабат'!$C$8:$C$507,A384,'Күнлик есабат'!$L$8:$L$507,0,'Күнлик есабат'!$M$8:$M$507,0)</x:f>
        <x:v>0</x:v>
      </x:c>
      <x:c r="M384" s="2" t="str">
        <x:f>IF(I384="","",MAX(I384-K384,0))</x:f>
      </x:c>
      <x:c r="N384" s="16" t="str">
        <x:f>IF(OR(I384="",I384=0),"",MIN(K384/I384,1))</x:f>
      </x:c>
      <x:c r="O384" s="2" t="n">
        <x:f>24-COUNTIFS('Клиентлер'!$T$8:$T$31,1)</x:f>
        <x:v>24</x:v>
      </x:c>
      <x:c r="P384" s="2"/>
      <x:c r="Q384" s="2" t="str">
        <x:v>Клиент бойынша</x:v>
      </x:c>
      <x:c r="R384" s="10"/>
      <x:c r="S384" s="2" t="n">
        <x:f>IF(COUNT(I384)=1,1,0)</x:f>
        <x:v>0</x:v>
      </x:c>
    </x:row>
    <x:row r="385" ht="46" customHeight="1">
      <x:c r="A385" s="2" t="n">
        <x:v>378</x:v>
      </x:c>
      <x:c r="B385" s="2"/>
      <x:c r="C385" s="12"/>
      <x:c r="D385" s="13" t="str">
        <x:v>Салықшы менен сөйлесиў</x:v>
      </x:c>
      <x:c r="E385" s="14"/>
      <x:c r="F385" s="14"/>
      <x:c r="G385" s="2" t="str">
        <x:v>Клиент бойынша</x:v>
      </x:c>
      <x:c r="H385" s="2" t="str">
        <x:v>Барлығы</x:v>
      </x:c>
      <x:c r="I385" s="10"/>
      <x:c r="J385" s="10"/>
      <x:c r="K385" s="2" t="n">
        <x:f>SUMIFS('Күнлик есабат'!$F$8:$F$507,'Күнлик есабат'!$C$8:$C$507,A385,'Күнлик есабат'!$L$8:$L$507,0,'Күнлик есабат'!$M$8:$M$507,0)-SUMIFS('Күнлик есабат'!$H$8:$H$507,'Күнлик есабат'!$C$8:$C$507,A385,'Күнлик есабат'!$L$8:$L$507,0,'Күнлик есабат'!$M$8:$M$507,0)</x:f>
        <x:v>0</x:v>
      </x:c>
      <x:c r="L385" s="2" t="n">
        <x:f>SUMIFS('Күнлик есабат'!$G$8:$G$507,'Күнлик есабат'!$C$8:$C$507,A385,'Күнлик есабат'!$L$8:$L$507,0,'Күнлик есабат'!$M$8:$M$507,0)</x:f>
        <x:v>0</x:v>
      </x:c>
      <x:c r="M385" s="2" t="str">
        <x:f>IF(I385="","",MAX(I385-K385,0))</x:f>
      </x:c>
      <x:c r="N385" s="16" t="str">
        <x:f>IF(OR(I385="",I385=0),"",MIN(K385/I385,1))</x:f>
      </x:c>
      <x:c r="O385" s="2" t="n">
        <x:f>24-COUNTIFS('Клиентлер'!$T$8:$T$31,1)</x:f>
        <x:v>24</x:v>
      </x:c>
      <x:c r="P385" s="2"/>
      <x:c r="Q385" s="2" t="str">
        <x:v>Клиент бойынша</x:v>
      </x:c>
      <x:c r="R385" s="10"/>
      <x:c r="S385" s="2" t="n">
        <x:f>IF(COUNT(I385)=1,1,0)</x:f>
        <x:v>0</x:v>
      </x:c>
    </x:row>
    <x:row r="386" ht="46" customHeight="1">
      <x:c r="A386" s="2" t="n">
        <x:v>379</x:v>
      </x:c>
      <x:c r="B386" s="2"/>
      <x:c r="C386" s="12"/>
      <x:c r="D386" s="13" t="str">
        <x:v>Басшының қосымша илтимасы</x:v>
      </x:c>
      <x:c r="E386" s="14"/>
      <x:c r="F386" s="14"/>
      <x:c r="G386" s="2" t="str">
        <x:v>Клиент бойынша</x:v>
      </x:c>
      <x:c r="H386" s="2" t="str">
        <x:v>Барлығы</x:v>
      </x:c>
      <x:c r="I386" s="10"/>
      <x:c r="J386" s="10"/>
      <x:c r="K386" s="2" t="n">
        <x:f>SUMIFS('Күнлик есабат'!$F$8:$F$507,'Күнлик есабат'!$C$8:$C$507,A386,'Күнлик есабат'!$L$8:$L$507,0,'Күнлик есабат'!$M$8:$M$507,0)-SUMIFS('Күнлик есабат'!$H$8:$H$507,'Күнлик есабат'!$C$8:$C$507,A386,'Күнлик есабат'!$L$8:$L$507,0,'Күнлик есабат'!$M$8:$M$507,0)</x:f>
        <x:v>0</x:v>
      </x:c>
      <x:c r="L386" s="2" t="n">
        <x:f>SUMIFS('Күнлик есабат'!$G$8:$G$507,'Күнлик есабат'!$C$8:$C$507,A386,'Күнлик есабат'!$L$8:$L$507,0,'Күнлик есабат'!$M$8:$M$507,0)</x:f>
        <x:v>0</x:v>
      </x:c>
      <x:c r="M386" s="2" t="str">
        <x:f>IF(I386="","",MAX(I386-K386,0))</x:f>
      </x:c>
      <x:c r="N386" s="16" t="str">
        <x:f>IF(OR(I386="",I386=0),"",MIN(K386/I386,1))</x:f>
      </x:c>
      <x:c r="O386" s="2" t="n">
        <x:f>24-COUNTIFS('Клиентлер'!$T$8:$T$31,1)</x:f>
        <x:v>24</x:v>
      </x:c>
      <x:c r="P386" s="2"/>
      <x:c r="Q386" s="2" t="str">
        <x:v>Клиент бойынша</x:v>
      </x:c>
      <x:c r="R386" s="10"/>
      <x:c r="S386" s="2" t="n">
        <x:f>IF(COUNT(I386)=1,1,0)</x:f>
        <x:v>0</x:v>
      </x:c>
    </x:row>
    <x:row r="387" ht="46" customHeight="1">
      <x:c r="A387" s="2" t="n">
        <x:v>380</x:v>
      </x:c>
      <x:c r="B387" s="2"/>
      <x:c r="C387" s="12"/>
      <x:c r="D387" s="13" t="str">
        <x:v>Жумыстан тыс тапсырма</x:v>
      </x:c>
      <x:c r="E387" s="14"/>
      <x:c r="F387" s="14"/>
      <x:c r="G387" s="2" t="str">
        <x:v>Клиент бойынша</x:v>
      </x:c>
      <x:c r="H387" s="2" t="str">
        <x:v>Барлығы</x:v>
      </x:c>
      <x:c r="I387" s="10"/>
      <x:c r="J387" s="10"/>
      <x:c r="K387" s="2" t="n">
        <x:f>SUMIFS('Күнлик есабат'!$F$8:$F$507,'Күнлик есабат'!$C$8:$C$507,A387,'Күнлик есабат'!$L$8:$L$507,0,'Күнлик есабат'!$M$8:$M$507,0)-SUMIFS('Күнлик есабат'!$H$8:$H$507,'Күнлик есабат'!$C$8:$C$507,A387,'Күнлик есабат'!$L$8:$L$507,0,'Күнлик есабат'!$M$8:$M$507,0)</x:f>
        <x:v>0</x:v>
      </x:c>
      <x:c r="L387" s="2" t="n">
        <x:f>SUMIFS('Күнлик есабат'!$G$8:$G$507,'Күнлик есабат'!$C$8:$C$507,A387,'Күнлик есабат'!$L$8:$L$507,0,'Күнлик есабат'!$M$8:$M$507,0)</x:f>
        <x:v>0</x:v>
      </x:c>
      <x:c r="M387" s="2" t="str">
        <x:f>IF(I387="","",MAX(I387-K387,0))</x:f>
      </x:c>
      <x:c r="N387" s="16" t="str">
        <x:f>IF(OR(I387="",I387=0),"",MIN(K387/I387,1))</x:f>
      </x:c>
      <x:c r="O387" s="2" t="n">
        <x:f>24-COUNTIFS('Клиентлер'!$T$8:$T$31,1)</x:f>
        <x:v>24</x:v>
      </x:c>
      <x:c r="P387" s="2"/>
      <x:c r="Q387" s="2" t="str">
        <x:v>Клиент бойынша</x:v>
      </x:c>
      <x:c r="R387" s="10"/>
      <x:c r="S387" s="2" t="n">
        <x:f>IF(COUNT(I387)=1,1,0)</x:f>
        <x:v>0</x:v>
      </x:c>
    </x:row>
    <x:row r="388" ht="46" customHeight="1">
      <x:c r="A388" s="2" t="n">
        <x:v>381</x:v>
      </x:c>
      <x:c r="B388" s="2"/>
      <x:c r="C388" s="12"/>
      <x:c r="D388" s="13" t="str">
        <x:v>Шұғыл сораў</x:v>
      </x:c>
      <x:c r="E388" s="14"/>
      <x:c r="F388" s="14"/>
      <x:c r="G388" s="2" t="str">
        <x:v>Клиент бойынша</x:v>
      </x:c>
      <x:c r="H388" s="2" t="str">
        <x:v>Барлығы</x:v>
      </x:c>
      <x:c r="I388" s="10"/>
      <x:c r="J388" s="10"/>
      <x:c r="K388" s="2" t="n">
        <x:f>SUMIFS('Күнлик есабат'!$F$8:$F$507,'Күнлик есабат'!$C$8:$C$507,A388,'Күнлик есабат'!$L$8:$L$507,0,'Күнлик есабат'!$M$8:$M$507,0)-SUMIFS('Күнлик есабат'!$H$8:$H$507,'Күнлик есабат'!$C$8:$C$507,A388,'Күнлик есабат'!$L$8:$L$507,0,'Күнлик есабат'!$M$8:$M$507,0)</x:f>
        <x:v>0</x:v>
      </x:c>
      <x:c r="L388" s="2" t="n">
        <x:f>SUMIFS('Күнлик есабат'!$G$8:$G$507,'Күнлик есабат'!$C$8:$C$507,A388,'Күнлик есабат'!$L$8:$L$507,0,'Күнлик есабат'!$M$8:$M$507,0)</x:f>
        <x:v>0</x:v>
      </x:c>
      <x:c r="M388" s="2" t="str">
        <x:f>IF(I388="","",MAX(I388-K388,0))</x:f>
      </x:c>
      <x:c r="N388" s="16" t="str">
        <x:f>IF(OR(I388="",I388=0),"",MIN(K388/I388,1))</x:f>
      </x:c>
      <x:c r="O388" s="2" t="n">
        <x:f>24-COUNTIFS('Клиентлер'!$T$8:$T$31,1)</x:f>
        <x:v>24</x:v>
      </x:c>
      <x:c r="P388" s="2"/>
      <x:c r="Q388" s="2" t="str">
        <x:v>Клиент бойынша</x:v>
      </x:c>
      <x:c r="R388" s="10"/>
      <x:c r="S388" s="2" t="n">
        <x:f>IF(COUNT(I388)=1,1,0)</x:f>
        <x:v>0</x:v>
      </x:c>
    </x:row>
    <x:row r="389" ht="46" customHeight="1">
      <x:c r="A389" s="2" t="n">
        <x:v>382</x:v>
      </x:c>
      <x:c r="B389" s="2"/>
      <x:c r="C389" s="12"/>
      <x:c r="D389" s="13" t="str">
        <x:v>Резерв көшермесин тексериў</x:v>
      </x:c>
      <x:c r="E389" s="14"/>
      <x:c r="F389" s="14"/>
      <x:c r="G389" s="2" t="str">
        <x:v>Клиент бойынша</x:v>
      </x:c>
      <x:c r="H389" s="2" t="str">
        <x:v>Барлығы</x:v>
      </x:c>
      <x:c r="I389" s="10"/>
      <x:c r="J389" s="10"/>
      <x:c r="K389" s="2" t="n">
        <x:f>SUMIFS('Күнлик есабат'!$F$8:$F$507,'Күнлик есабат'!$C$8:$C$507,A389,'Күнлик есабат'!$L$8:$L$507,0,'Күнлик есабат'!$M$8:$M$507,0)-SUMIFS('Күнлик есабат'!$H$8:$H$507,'Күнлик есабат'!$C$8:$C$507,A389,'Күнлик есабат'!$L$8:$L$507,0,'Күнлик есабат'!$M$8:$M$507,0)</x:f>
        <x:v>0</x:v>
      </x:c>
      <x:c r="L389" s="2" t="n">
        <x:f>SUMIFS('Күнлик есабат'!$G$8:$G$507,'Күнлик есабат'!$C$8:$C$507,A389,'Күнлик есабат'!$L$8:$L$507,0,'Күнлик есабат'!$M$8:$M$507,0)</x:f>
        <x:v>0</x:v>
      </x:c>
      <x:c r="M389" s="2" t="str">
        <x:f>IF(I389="","",MAX(I389-K389,0))</x:f>
      </x:c>
      <x:c r="N389" s="16" t="str">
        <x:f>IF(OR(I389="",I389=0),"",MIN(K389/I389,1))</x:f>
      </x:c>
      <x:c r="O389" s="2" t="n">
        <x:f>24-COUNTIFS('Клиентлер'!$T$8:$T$31,1)</x:f>
        <x:v>24</x:v>
      </x:c>
      <x:c r="P389" s="2"/>
      <x:c r="Q389" s="2" t="str">
        <x:v>Клиент бойынша</x:v>
      </x:c>
      <x:c r="R389" s="10"/>
      <x:c r="S389" s="2" t="n">
        <x:f>IF(COUNT(I389)=1,1,0)</x:f>
        <x:v>0</x:v>
      </x:c>
    </x:row>
    <x:row r="390" ht="46" customHeight="1">
      <x:c r="A390" s="2" t="n">
        <x:v>383</x:v>
      </x:c>
      <x:c r="B390" s="2"/>
      <x:c r="C390" s="12"/>
      <x:c r="D390" s="13" t="str">
        <x:v>Қонуншылық өзгерислерин тексериў</x:v>
      </x:c>
      <x:c r="E390" s="14"/>
      <x:c r="F390" s="14"/>
      <x:c r="G390" s="2" t="str">
        <x:v>Клиент бойынша</x:v>
      </x:c>
      <x:c r="H390" s="2" t="str">
        <x:v>Барлығы</x:v>
      </x:c>
      <x:c r="I390" s="10"/>
      <x:c r="J390" s="10"/>
      <x:c r="K390" s="2" t="n">
        <x:f>SUMIFS('Күнлик есабат'!$F$8:$F$507,'Күнлик есабат'!$C$8:$C$507,A390,'Күнлик есабат'!$L$8:$L$507,0,'Күнлик есабат'!$M$8:$M$507,0)-SUMIFS('Күнлик есабат'!$H$8:$H$507,'Күнлик есабат'!$C$8:$C$507,A390,'Күнлик есабат'!$L$8:$L$507,0,'Күнлик есабат'!$M$8:$M$507,0)</x:f>
        <x:v>0</x:v>
      </x:c>
      <x:c r="L390" s="2" t="n">
        <x:f>SUMIFS('Күнлик есабат'!$G$8:$G$507,'Күнлик есабат'!$C$8:$C$507,A390,'Күнлик есабат'!$L$8:$L$507,0,'Күнлик есабат'!$M$8:$M$507,0)</x:f>
        <x:v>0</x:v>
      </x:c>
      <x:c r="M390" s="2" t="str">
        <x:f>IF(I390="","",MAX(I390-K390,0))</x:f>
      </x:c>
      <x:c r="N390" s="16" t="str">
        <x:f>IF(OR(I390="",I390=0),"",MIN(K390/I390,1))</x:f>
      </x:c>
      <x:c r="O390" s="2" t="n">
        <x:f>24-COUNTIFS('Клиентлер'!$T$8:$T$31,1)</x:f>
        <x:v>24</x:v>
      </x:c>
      <x:c r="P390" s="2"/>
      <x:c r="Q390" s="2" t="str">
        <x:v>Клиент бойынша</x:v>
      </x:c>
      <x:c r="R390" s="10"/>
      <x:c r="S390" s="2" t="n">
        <x:f>IF(COUNT(I390)=1,1,0)</x:f>
        <x:v>0</x:v>
      </x:c>
    </x:row>
    <x:row r="391" ht="28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</x:row>
    <x:row r="392" ht="28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</x:row>
    <x:row r="393" ht="28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</x:row>
    <x:row r="394" ht="28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</x:row>
    <x:row r="395" ht="28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</x:row>
    <x:row r="396" ht="28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</x:row>
    <x:row r="397" ht="28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</x:row>
    <x:row r="398" ht="28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</x:row>
    <x:row r="399" ht="28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</x:row>
    <x:row r="400" ht="28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</x:row>
  </x:sheetData>
  <x:pageMargins left="0.7" right="0.7" top="0.75" bottom="0.75" header="0.3" footer="0.3"/>
  <x:tableParts count="1">
    <x:tablePart xmlns:r="http://schemas.openxmlformats.org/officeDocument/2006/relationships" r:id="R66b3c67f85ae43c1"/>
  </x:tableParts>
</x:worksheet>
</file>

<file path=xl/worksheets/sheet4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ҲӘПТЕЛИК РЕЖЕ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Тапсырмалар реже күни бойынша жыйналған. Орынланыў — сол тапсырмаларға байланысқан барлық есабатлар бойынша.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2" t="str">
        <x:v>Нақты саат есабат сәнеси бойынша. Бос реже саны бар тапсырмалар бөлек көрсетиледи.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50" customHeight="1">
      <x:c r="A7" s="8" t="str">
        <x:v>Дәўир</x:v>
      </x:c>
      <x:c r="B7" s="8" t="str">
        <x:v>Басланыў</x:v>
      </x:c>
      <x:c r="C7" s="8" t="str">
        <x:v>Аяқланыў</x:v>
      </x:c>
      <x:c r="D7" s="8" t="str">
        <x:v>Тапсырма саны</x:v>
      </x:c>
      <x:c r="E7" s="8" t="str">
        <x:v>Саны анықланбаған</x:v>
      </x:c>
      <x:c r="F7" s="8" t="str">
        <x:v>Тийисли емес (0)</x:v>
      </x:c>
      <x:c r="G7" s="8" t="str">
        <x:v>Толық питкен</x:v>
      </x:c>
      <x:c r="H7" s="8" t="str">
        <x:v>Қалған тапсырма</x:v>
      </x:c>
      <x:c r="I7" s="8" t="str">
        <x:v>Реже саат</x:v>
      </x:c>
      <x:c r="J7" s="8" t="str">
        <x:v>Нақты саат</x:v>
      </x:c>
    </x:row>
    <x:row r="8" ht="28" customHeight="1">
      <x:c r="A8" s="2" t="str">
        <x:v>1-ҳәпте</x:v>
      </x:c>
      <x:c r="B8" s="14" t="n">
        <x:v>46304</x:v>
      </x:c>
      <x:c r="C8" s="14" t="n">
        <x:v>46306</x:v>
      </x:c>
      <x:c r="D8" s="2" t="n">
        <x:f>COUNTIFS('Күнлик реже'!$C$8:$C$390,"&gt;="&amp;B8,'Күнлик реже'!$C$8:$C$390,"&lt;="&amp;C8)</x:f>
        <x:v>0</x:v>
      </x:c>
      <x:c r="E8" s="2" t="n">
        <x:f>D8-COUNTIFS('Күнлик реже'!$C$8:$C$390,"&gt;="&amp;B8,'Күнлик реже'!$C$8:$C$390,"&lt;="&amp;C8,'Күнлик реже'!$S$8:$S$390,1)</x:f>
        <x:v>0</x:v>
      </x:c>
      <x:c r="F8" s="2" t="n">
        <x:f>COUNTIFS('Күнлик реже'!$C$8:$C$390,"&gt;="&amp;B8,'Күнлик реже'!$C$8:$C$390,"&lt;="&amp;C8,'Күнлик реже'!$I$8:$I$390,0,'Күнлик реже'!$S$8:$S$390,1)</x:f>
        <x:v>0</x:v>
      </x:c>
      <x:c r="G8" s="2" t="n">
        <x:f>COUNTIFS('Күнлик реже'!$C$8:$C$390,"&gt;="&amp;B8,'Күнлик реже'!$C$8:$C$390,"&lt;="&amp;C8,'Күнлик реже'!$N$8:$N$390,1)</x:f>
        <x:v>0</x:v>
      </x:c>
      <x:c r="H8" s="2" t="n">
        <x:f>D8-E8-F8-G8</x:f>
        <x:v>0</x:v>
      </x:c>
      <x:c r="I8" s="17" t="n">
        <x:f>SUMIFS('Күнлик реже'!$J$8:$J$390,'Күнлик реже'!$C$8:$C$390,"&gt;="&amp;B8,'Күнлик реже'!$C$8:$C$390,"&lt;="&amp;C8)/60</x:f>
        <x:v>0</x:v>
      </x:c>
      <x:c r="J8" s="17" t="n">
        <x:f>SUMIFS('Күнлик есабат'!$G$8:$G$507,'Күнлик есабат'!$A$8:$A$507,"&gt;="&amp;B8,'Күнлик есабат'!$A$8:$A$507,"&lt;="&amp;C8,'Күнлик есабат'!$L$8:$L$507,0,'Күнлик есабат'!$M$8:$M$507,0)/60</x:f>
        <x:v>0</x:v>
      </x:c>
    </x:row>
    <x:row r="9" ht="28" customHeight="1">
      <x:c r="A9" s="2" t="str">
        <x:v>2-ҳәпте</x:v>
      </x:c>
      <x:c r="B9" s="14" t="n">
        <x:v>46307</x:v>
      </x:c>
      <x:c r="C9" s="14" t="n">
        <x:v>46313</x:v>
      </x:c>
      <x:c r="D9" s="2" t="n">
        <x:f>COUNTIFS('Күнлик реже'!$C$8:$C$390,"&gt;="&amp;B9,'Күнлик реже'!$C$8:$C$390,"&lt;="&amp;C9)</x:f>
        <x:v>12</x:v>
      </x:c>
      <x:c r="E9" s="2" t="n">
        <x:f>D9-COUNTIFS('Күнлик реже'!$C$8:$C$390,"&gt;="&amp;B9,'Күнлик реже'!$C$8:$C$390,"&lt;="&amp;C9,'Күнлик реже'!$S$8:$S$390,1)</x:f>
        <x:v>12</x:v>
      </x:c>
      <x:c r="F9" s="2" t="n">
        <x:f>COUNTIFS('Күнлик реже'!$C$8:$C$390,"&gt;="&amp;B9,'Күнлик реже'!$C$8:$C$390,"&lt;="&amp;C9,'Күнлик реже'!$I$8:$I$390,0,'Күнлик реже'!$S$8:$S$390,1)</x:f>
        <x:v>0</x:v>
      </x:c>
      <x:c r="G9" s="2" t="n">
        <x:f>COUNTIFS('Күнлик реже'!$C$8:$C$390,"&gt;="&amp;B9,'Күнлик реже'!$C$8:$C$390,"&lt;="&amp;C9,'Күнлик реже'!$N$8:$N$390,1)</x:f>
        <x:v>0</x:v>
      </x:c>
      <x:c r="H9" s="2" t="n">
        <x:f>D9-E9-F9-G9</x:f>
        <x:v>0</x:v>
      </x:c>
      <x:c r="I9" s="17" t="n">
        <x:f>SUMIFS('Күнлик реже'!$J$8:$J$390,'Күнлик реже'!$C$8:$C$390,"&gt;="&amp;B9,'Күнлик реже'!$C$8:$C$390,"&lt;="&amp;C9)/60</x:f>
        <x:v>0</x:v>
      </x:c>
      <x:c r="J9" s="17" t="n">
        <x:f>SUMIFS('Күнлик есабат'!$G$8:$G$507,'Күнлик есабат'!$A$8:$A$507,"&gt;="&amp;B9,'Күнлик есабат'!$A$8:$A$507,"&lt;="&amp;C9,'Күнлик есабат'!$L$8:$L$507,0,'Күнлик есабат'!$M$8:$M$507,0)/60</x:f>
        <x:v>0</x:v>
      </x:c>
    </x:row>
    <x:row r="10" ht="28" customHeight="1">
      <x:c r="A10" s="2" t="str">
        <x:v>3-ҳәпте</x:v>
      </x:c>
      <x:c r="B10" s="14" t="n">
        <x:v>46314</x:v>
      </x:c>
      <x:c r="C10" s="14" t="n">
        <x:v>46320</x:v>
      </x:c>
      <x:c r="D10" s="2" t="n">
        <x:f>COUNTIFS('Күнлик реже'!$C$8:$C$390,"&gt;="&amp;B10,'Күнлик реже'!$C$8:$C$390,"&lt;="&amp;C10)</x:f>
        <x:v>1</x:v>
      </x:c>
      <x:c r="E10" s="2" t="n">
        <x:f>D10-COUNTIFS('Күнлик реже'!$C$8:$C$390,"&gt;="&amp;B10,'Күнлик реже'!$C$8:$C$390,"&lt;="&amp;C10,'Күнлик реже'!$S$8:$S$390,1)</x:f>
        <x:v>1</x:v>
      </x:c>
      <x:c r="F10" s="2" t="n">
        <x:f>COUNTIFS('Күнлик реже'!$C$8:$C$390,"&gt;="&amp;B10,'Күнлик реже'!$C$8:$C$390,"&lt;="&amp;C10,'Күнлик реже'!$I$8:$I$390,0,'Күнлик реже'!$S$8:$S$390,1)</x:f>
        <x:v>0</x:v>
      </x:c>
      <x:c r="G10" s="2" t="n">
        <x:f>COUNTIFS('Күнлик реже'!$C$8:$C$390,"&gt;="&amp;B10,'Күнлик реже'!$C$8:$C$390,"&lt;="&amp;C10,'Күнлик реже'!$N$8:$N$390,1)</x:f>
        <x:v>0</x:v>
      </x:c>
      <x:c r="H10" s="2" t="n">
        <x:f>D10-E10-F10-G10</x:f>
        <x:v>0</x:v>
      </x:c>
      <x:c r="I10" s="17" t="n">
        <x:f>SUMIFS('Күнлик реже'!$J$8:$J$390,'Күнлик реже'!$C$8:$C$390,"&gt;="&amp;B10,'Күнлик реже'!$C$8:$C$390,"&lt;="&amp;C10)/60</x:f>
        <x:v>0</x:v>
      </x:c>
      <x:c r="J10" s="17" t="n">
        <x:f>SUMIFS('Күнлик есабат'!$G$8:$G$507,'Күнлик есабат'!$A$8:$A$507,"&gt;="&amp;B10,'Күнлик есабат'!$A$8:$A$507,"&lt;="&amp;C10,'Күнлик есабат'!$L$8:$L$507,0,'Күнлик есабат'!$M$8:$M$507,0)/60</x:f>
        <x:v>0</x:v>
      </x:c>
    </x:row>
    <x:row r="11" ht="28" customHeight="1">
      <x:c r="A11" s="2" t="str">
        <x:v>4-ҳәпте</x:v>
      </x:c>
      <x:c r="B11" s="14" t="n">
        <x:v>46321</x:v>
      </x:c>
      <x:c r="C11" s="14" t="n">
        <x:v>46327</x:v>
      </x:c>
      <x:c r="D11" s="2" t="n">
        <x:f>COUNTIFS('Күнлик реже'!$C$8:$C$390,"&gt;="&amp;B11,'Күнлик реже'!$C$8:$C$390,"&lt;="&amp;C11)</x:f>
        <x:v>7</x:v>
      </x:c>
      <x:c r="E11" s="2" t="n">
        <x:f>D11-COUNTIFS('Күнлик реже'!$C$8:$C$390,"&gt;="&amp;B11,'Күнлик реже'!$C$8:$C$390,"&lt;="&amp;C11,'Күнлик реже'!$S$8:$S$390,1)</x:f>
        <x:v>7</x:v>
      </x:c>
      <x:c r="F11" s="2" t="n">
        <x:f>COUNTIFS('Күнлик реже'!$C$8:$C$390,"&gt;="&amp;B11,'Күнлик реже'!$C$8:$C$390,"&lt;="&amp;C11,'Күнлик реже'!$I$8:$I$390,0,'Күнлик реже'!$S$8:$S$390,1)</x:f>
        <x:v>0</x:v>
      </x:c>
      <x:c r="G11" s="2" t="n">
        <x:f>COUNTIFS('Күнлик реже'!$C$8:$C$390,"&gt;="&amp;B11,'Күнлик реже'!$C$8:$C$390,"&lt;="&amp;C11,'Күнлик реже'!$N$8:$N$390,1)</x:f>
        <x:v>0</x:v>
      </x:c>
      <x:c r="H11" s="2" t="n">
        <x:f>D11-E11-F11-G11</x:f>
        <x:v>0</x:v>
      </x:c>
      <x:c r="I11" s="17" t="n">
        <x:f>SUMIFS('Күнлик реже'!$J$8:$J$390,'Күнлик реже'!$C$8:$C$390,"&gt;="&amp;B11,'Күнлик реже'!$C$8:$C$390,"&lt;="&amp;C11)/60</x:f>
        <x:v>0</x:v>
      </x:c>
      <x:c r="J11" s="17" t="n">
        <x:f>SUMIFS('Күнлик есабат'!$G$8:$G$507,'Күнлик есабат'!$A$8:$A$507,"&gt;="&amp;B11,'Күнлик есабат'!$A$8:$A$507,"&lt;="&amp;C11,'Күнлик есабат'!$L$8:$L$507,0,'Күнлик есабат'!$M$8:$M$507,0)/60</x:f>
        <x:v>0</x:v>
      </x:c>
    </x:row>
    <x:row r="12" ht="28" customHeight="1">
      <x:c r="A12" s="2" t="str">
        <x:v>5-ҳәпте</x:v>
      </x:c>
      <x:c r="B12" s="14" t="n">
        <x:v>46328</x:v>
      </x:c>
      <x:c r="C12" s="14" t="n">
        <x:v>46334</x:v>
      </x:c>
      <x:c r="D12" s="2" t="n">
        <x:f>COUNTIFS('Күнлик реже'!$C$8:$C$390,"&gt;="&amp;B12,'Күнлик реже'!$C$8:$C$390,"&lt;="&amp;C12)</x:f>
        <x:v>3</x:v>
      </x:c>
      <x:c r="E12" s="2" t="n">
        <x:f>D12-COUNTIFS('Күнлик реже'!$C$8:$C$390,"&gt;="&amp;B12,'Күнлик реже'!$C$8:$C$390,"&lt;="&amp;C12,'Күнлик реже'!$S$8:$S$390,1)</x:f>
        <x:v>3</x:v>
      </x:c>
      <x:c r="F12" s="2" t="n">
        <x:f>COUNTIFS('Күнлик реже'!$C$8:$C$390,"&gt;="&amp;B12,'Күнлик реже'!$C$8:$C$390,"&lt;="&amp;C12,'Күнлик реже'!$I$8:$I$390,0,'Күнлик реже'!$S$8:$S$390,1)</x:f>
        <x:v>0</x:v>
      </x:c>
      <x:c r="G12" s="2" t="n">
        <x:f>COUNTIFS('Күнлик реже'!$C$8:$C$390,"&gt;="&amp;B12,'Күнлик реже'!$C$8:$C$390,"&lt;="&amp;C12,'Күнлик реже'!$N$8:$N$390,1)</x:f>
        <x:v>0</x:v>
      </x:c>
      <x:c r="H12" s="2" t="n">
        <x:f>D12-E12-F12-G12</x:f>
        <x:v>0</x:v>
      </x:c>
      <x:c r="I12" s="17" t="n">
        <x:f>SUMIFS('Күнлик реже'!$J$8:$J$390,'Күнлик реже'!$C$8:$C$390,"&gt;="&amp;B12,'Күнлик реже'!$C$8:$C$390,"&lt;="&amp;C12)/60</x:f>
        <x:v>0</x:v>
      </x:c>
      <x:c r="J12" s="17" t="n">
        <x:f>SUMIFS('Күнлик есабат'!$G$8:$G$507,'Күнлик есабат'!$A$8:$A$507,"&gt;="&amp;B12,'Күнлик есабат'!$A$8:$A$507,"&lt;="&amp;C12,'Күнлик есабат'!$L$8:$L$507,0,'Күнлик есабат'!$M$8:$M$507,0)/60</x:f>
        <x:v>0</x:v>
      </x:c>
    </x:row>
    <x:row r="13" ht="28" customHeight="1">
      <x:c r="A13" s="2" t="str">
        <x:v>6-ҳәпте</x:v>
      </x:c>
      <x:c r="B13" s="14" t="n">
        <x:v>46335</x:v>
      </x:c>
      <x:c r="C13" s="14" t="n">
        <x:v>46341</x:v>
      </x:c>
      <x:c r="D13" s="2" t="n">
        <x:f>COUNTIFS('Күнлик реже'!$C$8:$C$390,"&gt;="&amp;B13,'Күнлик реже'!$C$8:$C$390,"&lt;="&amp;C13)</x:f>
        <x:v>5</x:v>
      </x:c>
      <x:c r="E13" s="2" t="n">
        <x:f>D13-COUNTIFS('Күнлик реже'!$C$8:$C$390,"&gt;="&amp;B13,'Күнлик реже'!$C$8:$C$390,"&lt;="&amp;C13,'Күнлик реже'!$S$8:$S$390,1)</x:f>
        <x:v>5</x:v>
      </x:c>
      <x:c r="F13" s="2" t="n">
        <x:f>COUNTIFS('Күнлик реже'!$C$8:$C$390,"&gt;="&amp;B13,'Күнлик реже'!$C$8:$C$390,"&lt;="&amp;C13,'Күнлик реже'!$I$8:$I$390,0,'Күнлик реже'!$S$8:$S$390,1)</x:f>
        <x:v>0</x:v>
      </x:c>
      <x:c r="G13" s="2" t="n">
        <x:f>COUNTIFS('Күнлик реже'!$C$8:$C$390,"&gt;="&amp;B13,'Күнлик реже'!$C$8:$C$390,"&lt;="&amp;C13,'Күнлик реже'!$N$8:$N$390,1)</x:f>
        <x:v>0</x:v>
      </x:c>
      <x:c r="H13" s="2" t="n">
        <x:f>D13-E13-F13-G13</x:f>
        <x:v>0</x:v>
      </x:c>
      <x:c r="I13" s="17" t="n">
        <x:f>SUMIFS('Күнлик реже'!$J$8:$J$390,'Күнлик реже'!$C$8:$C$390,"&gt;="&amp;B13,'Күнлик реже'!$C$8:$C$390,"&lt;="&amp;C13)/60</x:f>
        <x:v>0</x:v>
      </x:c>
      <x:c r="J13" s="17" t="n">
        <x:f>SUMIFS('Күнлик есабат'!$G$8:$G$507,'Күнлик есабат'!$A$8:$A$507,"&gt;="&amp;B13,'Күнлик есабат'!$A$8:$A$507,"&lt;="&amp;C13,'Күнлик есабат'!$L$8:$L$507,0,'Күнлик есабат'!$M$8:$M$507,0)/60</x:f>
        <x:v>0</x:v>
      </x:c>
    </x:row>
    <x:row r="14" ht="28" customHeight="1">
      <x:c r="A14" s="2" t="str">
        <x:v>7-ҳәпте</x:v>
      </x:c>
      <x:c r="B14" s="14" t="n">
        <x:v>46342</x:v>
      </x:c>
      <x:c r="C14" s="14" t="n">
        <x:v>46348</x:v>
      </x:c>
      <x:c r="D14" s="2" t="n">
        <x:f>COUNTIFS('Күнлик реже'!$C$8:$C$390,"&gt;="&amp;B14,'Күнлик реже'!$C$8:$C$390,"&lt;="&amp;C14)</x:f>
        <x:v>7</x:v>
      </x:c>
      <x:c r="E14" s="2" t="n">
        <x:f>D14-COUNTIFS('Күнлик реже'!$C$8:$C$390,"&gt;="&amp;B14,'Күнлик реже'!$C$8:$C$390,"&lt;="&amp;C14,'Күнлик реже'!$S$8:$S$390,1)</x:f>
        <x:v>7</x:v>
      </x:c>
      <x:c r="F14" s="2" t="n">
        <x:f>COUNTIFS('Күнлик реже'!$C$8:$C$390,"&gt;="&amp;B14,'Күнлик реже'!$C$8:$C$390,"&lt;="&amp;C14,'Күнлик реже'!$I$8:$I$390,0,'Күнлик реже'!$S$8:$S$390,1)</x:f>
        <x:v>0</x:v>
      </x:c>
      <x:c r="G14" s="2" t="n">
        <x:f>COUNTIFS('Күнлик реже'!$C$8:$C$390,"&gt;="&amp;B14,'Күнлик реже'!$C$8:$C$390,"&lt;="&amp;C14,'Күнлик реже'!$N$8:$N$390,1)</x:f>
        <x:v>0</x:v>
      </x:c>
      <x:c r="H14" s="2" t="n">
        <x:f>D14-E14-F14-G14</x:f>
        <x:v>0</x:v>
      </x:c>
      <x:c r="I14" s="17" t="n">
        <x:f>SUMIFS('Күнлик реже'!$J$8:$J$390,'Күнлик реже'!$C$8:$C$390,"&gt;="&amp;B14,'Күнлик реже'!$C$8:$C$390,"&lt;="&amp;C14)/60</x:f>
        <x:v>0</x:v>
      </x:c>
      <x:c r="J14" s="17" t="n">
        <x:f>SUMIFS('Күнлик есабат'!$G$8:$G$507,'Күнлик есабат'!$A$8:$A$507,"&gt;="&amp;B14,'Күнлик есабат'!$A$8:$A$507,"&lt;="&amp;C14,'Күнлик есабат'!$L$8:$L$507,0,'Күнлик есабат'!$M$8:$M$507,0)/60</x:f>
        <x:v>0</x:v>
      </x:c>
    </x:row>
    <x:row r="15" ht="28" customHeight="1">
      <x:c r="A15" s="2" t="str">
        <x:v>8-ҳәпте</x:v>
      </x:c>
      <x:c r="B15" s="14" t="n">
        <x:v>46349</x:v>
      </x:c>
      <x:c r="C15" s="14" t="n">
        <x:v>46355</x:v>
      </x:c>
      <x:c r="D15" s="2" t="n">
        <x:f>COUNTIFS('Күнлик реже'!$C$8:$C$390,"&gt;="&amp;B15,'Күнлик реже'!$C$8:$C$390,"&lt;="&amp;C15)</x:f>
        <x:v>7</x:v>
      </x:c>
      <x:c r="E15" s="2" t="n">
        <x:f>D15-COUNTIFS('Күнлик реже'!$C$8:$C$390,"&gt;="&amp;B15,'Күнлик реже'!$C$8:$C$390,"&lt;="&amp;C15,'Күнлик реже'!$S$8:$S$390,1)</x:f>
        <x:v>7</x:v>
      </x:c>
      <x:c r="F15" s="2" t="n">
        <x:f>COUNTIFS('Күнлик реже'!$C$8:$C$390,"&gt;="&amp;B15,'Күнлик реже'!$C$8:$C$390,"&lt;="&amp;C15,'Күнлик реже'!$I$8:$I$390,0,'Күнлик реже'!$S$8:$S$390,1)</x:f>
        <x:v>0</x:v>
      </x:c>
      <x:c r="G15" s="2" t="n">
        <x:f>COUNTIFS('Күнлик реже'!$C$8:$C$390,"&gt;="&amp;B15,'Күнлик реже'!$C$8:$C$390,"&lt;="&amp;C15,'Күнлик реже'!$N$8:$N$390,1)</x:f>
        <x:v>0</x:v>
      </x:c>
      <x:c r="H15" s="2" t="n">
        <x:f>D15-E15-F15-G15</x:f>
        <x:v>0</x:v>
      </x:c>
      <x:c r="I15" s="17" t="n">
        <x:f>SUMIFS('Күнлик реже'!$J$8:$J$390,'Күнлик реже'!$C$8:$C$390,"&gt;="&amp;B15,'Күнлик реже'!$C$8:$C$390,"&lt;="&amp;C15)/60</x:f>
        <x:v>0</x:v>
      </x:c>
      <x:c r="J15" s="17" t="n">
        <x:f>SUMIFS('Күнлик есабат'!$G$8:$G$507,'Күнлик есабат'!$A$8:$A$507,"&gt;="&amp;B15,'Күнлик есабат'!$A$8:$A$507,"&lt;="&amp;C15,'Күнлик есабат'!$L$8:$L$507,0,'Күнлик есабат'!$M$8:$M$507,0)/60</x:f>
        <x:v>0</x:v>
      </x:c>
    </x:row>
    <x:row r="16" ht="28" customHeight="1">
      <x:c r="A16" s="2" t="str">
        <x:v>9-ҳәпте</x:v>
      </x:c>
      <x:c r="B16" s="14" t="n">
        <x:v>46356</x:v>
      </x:c>
      <x:c r="C16" s="14" t="n">
        <x:v>46362</x:v>
      </x:c>
      <x:c r="D16" s="2" t="n">
        <x:f>COUNTIFS('Күнлик реже'!$C$8:$C$390,"&gt;="&amp;B16,'Күнлик реже'!$C$8:$C$390,"&lt;="&amp;C16)</x:f>
        <x:v>0</x:v>
      </x:c>
      <x:c r="E16" s="2" t="n">
        <x:f>D16-COUNTIFS('Күнлик реже'!$C$8:$C$390,"&gt;="&amp;B16,'Күнлик реже'!$C$8:$C$390,"&lt;="&amp;C16,'Күнлик реже'!$S$8:$S$390,1)</x:f>
        <x:v>0</x:v>
      </x:c>
      <x:c r="F16" s="2" t="n">
        <x:f>COUNTIFS('Күнлик реже'!$C$8:$C$390,"&gt;="&amp;B16,'Күнлик реже'!$C$8:$C$390,"&lt;="&amp;C16,'Күнлик реже'!$I$8:$I$390,0,'Күнлик реже'!$S$8:$S$390,1)</x:f>
        <x:v>0</x:v>
      </x:c>
      <x:c r="G16" s="2" t="n">
        <x:f>COUNTIFS('Күнлик реже'!$C$8:$C$390,"&gt;="&amp;B16,'Күнлик реже'!$C$8:$C$390,"&lt;="&amp;C16,'Күнлик реже'!$N$8:$N$390,1)</x:f>
        <x:v>0</x:v>
      </x:c>
      <x:c r="H16" s="2" t="n">
        <x:f>D16-E16-F16-G16</x:f>
        <x:v>0</x:v>
      </x:c>
      <x:c r="I16" s="17" t="n">
        <x:f>SUMIFS('Күнлик реже'!$J$8:$J$390,'Күнлик реже'!$C$8:$C$390,"&gt;="&amp;B16,'Күнлик реже'!$C$8:$C$390,"&lt;="&amp;C16)/60</x:f>
        <x:v>0</x:v>
      </x:c>
      <x:c r="J16" s="17" t="n">
        <x:f>SUMIFS('Күнлик есабат'!$G$8:$G$507,'Күнлик есабат'!$A$8:$A$507,"&gt;="&amp;B16,'Күнлик есабат'!$A$8:$A$507,"&lt;="&amp;C16,'Күнлик есабат'!$L$8:$L$507,0,'Күнлик есабат'!$M$8:$M$507,0)/60</x:f>
        <x:v>0</x:v>
      </x:c>
    </x:row>
    <x:row r="17" ht="28" customHeight="1">
      <x:c r="A17" s="2" t="str">
        <x:v>10-ҳәпте</x:v>
      </x:c>
      <x:c r="B17" s="14" t="n">
        <x:v>46363</x:v>
      </x:c>
      <x:c r="C17" s="14" t="n">
        <x:v>46369</x:v>
      </x:c>
      <x:c r="D17" s="2" t="n">
        <x:f>COUNTIFS('Күнлик реже'!$C$8:$C$390,"&gt;="&amp;B17,'Күнлик реже'!$C$8:$C$390,"&lt;="&amp;C17)</x:f>
        <x:v>8</x:v>
      </x:c>
      <x:c r="E17" s="2" t="n">
        <x:f>D17-COUNTIFS('Күнлик реже'!$C$8:$C$390,"&gt;="&amp;B17,'Күнлик реже'!$C$8:$C$390,"&lt;="&amp;C17,'Күнлик реже'!$S$8:$S$390,1)</x:f>
        <x:v>8</x:v>
      </x:c>
      <x:c r="F17" s="2" t="n">
        <x:f>COUNTIFS('Күнлик реже'!$C$8:$C$390,"&gt;="&amp;B17,'Күнлик реже'!$C$8:$C$390,"&lt;="&amp;C17,'Күнлик реже'!$I$8:$I$390,0,'Күнлик реже'!$S$8:$S$390,1)</x:f>
        <x:v>0</x:v>
      </x:c>
      <x:c r="G17" s="2" t="n">
        <x:f>COUNTIFS('Күнлик реже'!$C$8:$C$390,"&gt;="&amp;B17,'Күнлик реже'!$C$8:$C$390,"&lt;="&amp;C17,'Күнлик реже'!$N$8:$N$390,1)</x:f>
        <x:v>0</x:v>
      </x:c>
      <x:c r="H17" s="2" t="n">
        <x:f>D17-E17-F17-G17</x:f>
        <x:v>0</x:v>
      </x:c>
      <x:c r="I17" s="17" t="n">
        <x:f>SUMIFS('Күнлик реже'!$J$8:$J$390,'Күнлик реже'!$C$8:$C$390,"&gt;="&amp;B17,'Күнлик реже'!$C$8:$C$390,"&lt;="&amp;C17)/60</x:f>
        <x:v>0</x:v>
      </x:c>
      <x:c r="J17" s="17" t="n">
        <x:f>SUMIFS('Күнлик есабат'!$G$8:$G$507,'Күнлик есабат'!$A$8:$A$507,"&gt;="&amp;B17,'Күнлик есабат'!$A$8:$A$507,"&lt;="&amp;C17,'Күнлик есабат'!$L$8:$L$507,0,'Күнлик есабат'!$M$8:$M$507,0)/60</x:f>
        <x:v>0</x:v>
      </x:c>
    </x:row>
    <x:row r="18" ht="28" customHeight="1">
      <x:c r="A18" s="2" t="str">
        <x:v>11-ҳәпте</x:v>
      </x:c>
      <x:c r="B18" s="14" t="n">
        <x:v>46370</x:v>
      </x:c>
      <x:c r="C18" s="14" t="n">
        <x:v>46376</x:v>
      </x:c>
      <x:c r="D18" s="2" t="n">
        <x:f>COUNTIFS('Күнлик реже'!$C$8:$C$390,"&gt;="&amp;B18,'Күнлик реже'!$C$8:$C$390,"&lt;="&amp;C18)</x:f>
        <x:v>7</x:v>
      </x:c>
      <x:c r="E18" s="2" t="n">
        <x:f>D18-COUNTIFS('Күнлик реже'!$C$8:$C$390,"&gt;="&amp;B18,'Күнлик реже'!$C$8:$C$390,"&lt;="&amp;C18,'Күнлик реже'!$S$8:$S$390,1)</x:f>
        <x:v>7</x:v>
      </x:c>
      <x:c r="F18" s="2" t="n">
        <x:f>COUNTIFS('Күнлик реже'!$C$8:$C$390,"&gt;="&amp;B18,'Күнлик реже'!$C$8:$C$390,"&lt;="&amp;C18,'Күнлик реже'!$I$8:$I$390,0,'Күнлик реже'!$S$8:$S$390,1)</x:f>
        <x:v>0</x:v>
      </x:c>
      <x:c r="G18" s="2" t="n">
        <x:f>COUNTIFS('Күнлик реже'!$C$8:$C$390,"&gt;="&amp;B18,'Күнлик реже'!$C$8:$C$390,"&lt;="&amp;C18,'Күнлик реже'!$N$8:$N$390,1)</x:f>
        <x:v>0</x:v>
      </x:c>
      <x:c r="H18" s="2" t="n">
        <x:f>D18-E18-F18-G18</x:f>
        <x:v>0</x:v>
      </x:c>
      <x:c r="I18" s="17" t="n">
        <x:f>SUMIFS('Күнлик реже'!$J$8:$J$390,'Күнлик реже'!$C$8:$C$390,"&gt;="&amp;B18,'Күнлик реже'!$C$8:$C$390,"&lt;="&amp;C18)/60</x:f>
        <x:v>0</x:v>
      </x:c>
      <x:c r="J18" s="17" t="n">
        <x:f>SUMIFS('Күнлик есабат'!$G$8:$G$507,'Күнлик есабат'!$A$8:$A$507,"&gt;="&amp;B18,'Күнлик есабат'!$A$8:$A$507,"&lt;="&amp;C18,'Күнлик есабат'!$L$8:$L$507,0,'Күнлик есабат'!$M$8:$M$507,0)/60</x:f>
        <x:v>0</x:v>
      </x:c>
    </x:row>
    <x:row r="19" ht="28" customHeight="1">
      <x:c r="A19" s="2" t="str">
        <x:v>12-ҳәпте</x:v>
      </x:c>
      <x:c r="B19" s="14" t="n">
        <x:v>46377</x:v>
      </x:c>
      <x:c r="C19" s="14" t="n">
        <x:v>46383</x:v>
      </x:c>
      <x:c r="D19" s="2" t="n">
        <x:f>COUNTIFS('Күнлик реже'!$C$8:$C$390,"&gt;="&amp;B19,'Күнлик реже'!$C$8:$C$390,"&lt;="&amp;C19)</x:f>
        <x:v>0</x:v>
      </x:c>
      <x:c r="E19" s="2" t="n">
        <x:f>D19-COUNTIFS('Күнлик реже'!$C$8:$C$390,"&gt;="&amp;B19,'Күнлик реже'!$C$8:$C$390,"&lt;="&amp;C19,'Күнлик реже'!$S$8:$S$390,1)</x:f>
        <x:v>0</x:v>
      </x:c>
      <x:c r="F19" s="2" t="n">
        <x:f>COUNTIFS('Күнлик реже'!$C$8:$C$390,"&gt;="&amp;B19,'Күнлик реже'!$C$8:$C$390,"&lt;="&amp;C19,'Күнлик реже'!$I$8:$I$390,0,'Күнлик реже'!$S$8:$S$390,1)</x:f>
        <x:v>0</x:v>
      </x:c>
      <x:c r="G19" s="2" t="n">
        <x:f>COUNTIFS('Күнлик реже'!$C$8:$C$390,"&gt;="&amp;B19,'Күнлик реже'!$C$8:$C$390,"&lt;="&amp;C19,'Күнлик реже'!$N$8:$N$390,1)</x:f>
        <x:v>0</x:v>
      </x:c>
      <x:c r="H19" s="2" t="n">
        <x:f>D19-E19-F19-G19</x:f>
        <x:v>0</x:v>
      </x:c>
      <x:c r="I19" s="17" t="n">
        <x:f>SUMIFS('Күнлик реже'!$J$8:$J$390,'Күнлик реже'!$C$8:$C$390,"&gt;="&amp;B19,'Күнлик реже'!$C$8:$C$390,"&lt;="&amp;C19)/60</x:f>
        <x:v>0</x:v>
      </x:c>
      <x:c r="J19" s="17" t="n">
        <x:f>SUMIFS('Күнлик есабат'!$G$8:$G$507,'Күнлик есабат'!$A$8:$A$507,"&gt;="&amp;B19,'Күнлик есабат'!$A$8:$A$507,"&lt;="&amp;C19,'Күнлик есабат'!$L$8:$L$507,0,'Күнлик есабат'!$M$8:$M$507,0)/60</x:f>
        <x:v>0</x:v>
      </x:c>
    </x:row>
    <x:row r="20" ht="28" customHeight="1">
      <x:c r="A20" s="2" t="str">
        <x:v>13-ҳәпте</x:v>
      </x:c>
      <x:c r="B20" s="14" t="n">
        <x:v>46384</x:v>
      </x:c>
      <x:c r="C20" s="14" t="n">
        <x:v>46390</x:v>
      </x:c>
      <x:c r="D20" s="2" t="n">
        <x:f>COUNTIFS('Күнлик реже'!$C$8:$C$390,"&gt;="&amp;B20,'Күнлик реже'!$C$8:$C$390,"&lt;="&amp;C20)</x:f>
        <x:v>7</x:v>
      </x:c>
      <x:c r="E20" s="2" t="n">
        <x:f>D20-COUNTIFS('Күнлик реже'!$C$8:$C$390,"&gt;="&amp;B20,'Күнлик реже'!$C$8:$C$390,"&lt;="&amp;C20,'Күнлик реже'!$S$8:$S$390,1)</x:f>
        <x:v>7</x:v>
      </x:c>
      <x:c r="F20" s="2" t="n">
        <x:f>COUNTIFS('Күнлик реже'!$C$8:$C$390,"&gt;="&amp;B20,'Күнлик реже'!$C$8:$C$390,"&lt;="&amp;C20,'Күнлик реже'!$I$8:$I$390,0,'Күнлик реже'!$S$8:$S$390,1)</x:f>
        <x:v>0</x:v>
      </x:c>
      <x:c r="G20" s="2" t="n">
        <x:f>COUNTIFS('Күнлик реже'!$C$8:$C$390,"&gt;="&amp;B20,'Күнлик реже'!$C$8:$C$390,"&lt;="&amp;C20,'Күнлик реже'!$N$8:$N$390,1)</x:f>
        <x:v>0</x:v>
      </x:c>
      <x:c r="H20" s="2" t="n">
        <x:f>D20-E20-F20-G20</x:f>
        <x:v>0</x:v>
      </x:c>
      <x:c r="I20" s="17" t="n">
        <x:f>SUMIFS('Күнлик реже'!$J$8:$J$390,'Күнлик реже'!$C$8:$C$390,"&gt;="&amp;B20,'Күнлик реже'!$C$8:$C$390,"&lt;="&amp;C20)/60</x:f>
        <x:v>0</x:v>
      </x:c>
      <x:c r="J20" s="17" t="n">
        <x:f>SUMIFS('Күнлик есабат'!$G$8:$G$507,'Күнлик есабат'!$A$8:$A$507,"&gt;="&amp;B20,'Күнлик есабат'!$A$8:$A$507,"&lt;="&amp;C20,'Күнлик есабат'!$L$8:$L$507,0,'Күнлик есабат'!$M$8:$M$507,0)/60</x:f>
        <x:v>0</x:v>
      </x:c>
    </x:row>
    <x:row r="21" ht="28" customHeight="1">
      <x:c r="A21" s="2" t="str">
        <x:v>14-ҳәпте</x:v>
      </x:c>
      <x:c r="B21" s="14" t="n">
        <x:v>46391</x:v>
      </x:c>
      <x:c r="C21" s="14" t="n">
        <x:v>46397</x:v>
      </x:c>
      <x:c r="D21" s="2" t="n">
        <x:f>COUNTIFS('Күнлик реже'!$C$8:$C$390,"&gt;="&amp;B21,'Күнлик реже'!$C$8:$C$390,"&lt;="&amp;C21)</x:f>
        <x:v>3</x:v>
      </x:c>
      <x:c r="E21" s="2" t="n">
        <x:f>D21-COUNTIFS('Күнлик реже'!$C$8:$C$390,"&gt;="&amp;B21,'Күнлик реже'!$C$8:$C$390,"&lt;="&amp;C21,'Күнлик реже'!$S$8:$S$390,1)</x:f>
        <x:v>3</x:v>
      </x:c>
      <x:c r="F21" s="2" t="n">
        <x:f>COUNTIFS('Күнлик реже'!$C$8:$C$390,"&gt;="&amp;B21,'Күнлик реже'!$C$8:$C$390,"&lt;="&amp;C21,'Күнлик реже'!$I$8:$I$390,0,'Күнлик реже'!$S$8:$S$390,1)</x:f>
        <x:v>0</x:v>
      </x:c>
      <x:c r="G21" s="2" t="n">
        <x:f>COUNTIFS('Күнлик реже'!$C$8:$C$390,"&gt;="&amp;B21,'Күнлик реже'!$C$8:$C$390,"&lt;="&amp;C21,'Күнлик реже'!$N$8:$N$390,1)</x:f>
        <x:v>0</x:v>
      </x:c>
      <x:c r="H21" s="2" t="n">
        <x:f>D21-E21-F21-G21</x:f>
        <x:v>0</x:v>
      </x:c>
      <x:c r="I21" s="17" t="n">
        <x:f>SUMIFS('Күнлик реже'!$J$8:$J$390,'Күнлик реже'!$C$8:$C$390,"&gt;="&amp;B21,'Күнлик реже'!$C$8:$C$390,"&lt;="&amp;C21)/60</x:f>
        <x:v>0</x:v>
      </x:c>
      <x:c r="J21" s="17" t="n">
        <x:f>SUMIFS('Күнлик есабат'!$G$8:$G$507,'Күнлик есабат'!$A$8:$A$507,"&gt;="&amp;B21,'Күнлик есабат'!$A$8:$A$507,"&lt;="&amp;C21,'Күнлик есабат'!$L$8:$L$507,0,'Күнлик есабат'!$M$8:$M$507,0)/60</x:f>
        <x:v>0</x:v>
      </x:c>
    </x:row>
    <x:row r="22" ht="28" customHeight="1">
      <x:c r="A22" s="2" t="str">
        <x:v>15-ҳәпте</x:v>
      </x:c>
      <x:c r="B22" s="14" t="n">
        <x:v>46398</x:v>
      </x:c>
      <x:c r="C22" s="14" t="n">
        <x:v>46404</x:v>
      </x:c>
      <x:c r="D22" s="2" t="n">
        <x:f>COUNTIFS('Күнлик реже'!$C$8:$C$390,"&gt;="&amp;B22,'Күнлик реже'!$C$8:$C$390,"&lt;="&amp;C22)</x:f>
        <x:v>13</x:v>
      </x:c>
      <x:c r="E22" s="2" t="n">
        <x:f>D22-COUNTIFS('Күнлик реже'!$C$8:$C$390,"&gt;="&amp;B22,'Күнлик реже'!$C$8:$C$390,"&lt;="&amp;C22,'Күнлик реже'!$S$8:$S$390,1)</x:f>
        <x:v>13</x:v>
      </x:c>
      <x:c r="F22" s="2" t="n">
        <x:f>COUNTIFS('Күнлик реже'!$C$8:$C$390,"&gt;="&amp;B22,'Күнлик реже'!$C$8:$C$390,"&lt;="&amp;C22,'Күнлик реже'!$I$8:$I$390,0,'Күнлик реже'!$S$8:$S$390,1)</x:f>
        <x:v>0</x:v>
      </x:c>
      <x:c r="G22" s="2" t="n">
        <x:f>COUNTIFS('Күнлик реже'!$C$8:$C$390,"&gt;="&amp;B22,'Күнлик реже'!$C$8:$C$390,"&lt;="&amp;C22,'Күнлик реже'!$N$8:$N$390,1)</x:f>
        <x:v>0</x:v>
      </x:c>
      <x:c r="H22" s="2" t="n">
        <x:f>D22-E22-F22-G22</x:f>
        <x:v>0</x:v>
      </x:c>
      <x:c r="I22" s="17" t="n">
        <x:f>SUMIFS('Күнлик реже'!$J$8:$J$390,'Күнлик реже'!$C$8:$C$390,"&gt;="&amp;B22,'Күнлик реже'!$C$8:$C$390,"&lt;="&amp;C22)/60</x:f>
        <x:v>0</x:v>
      </x:c>
      <x:c r="J22" s="17" t="n">
        <x:f>SUMIFS('Күнлик есабат'!$G$8:$G$507,'Күнлик есабат'!$A$8:$A$507,"&gt;="&amp;B22,'Күнлик есабат'!$A$8:$A$507,"&lt;="&amp;C22,'Күнлик есабат'!$L$8:$L$507,0,'Күнлик есабат'!$M$8:$M$507,0)/60</x:f>
        <x:v>0</x:v>
      </x:c>
    </x:row>
    <x:row r="23" ht="28" customHeight="1">
      <x:c r="A23" s="2" t="str">
        <x:v>16-ҳәпте</x:v>
      </x:c>
      <x:c r="B23" s="14" t="n">
        <x:v>46405</x:v>
      </x:c>
      <x:c r="C23" s="14" t="n">
        <x:v>46411</x:v>
      </x:c>
      <x:c r="D23" s="2" t="n">
        <x:f>COUNTIFS('Күнлик реже'!$C$8:$C$390,"&gt;="&amp;B23,'Күнлик реже'!$C$8:$C$390,"&lt;="&amp;C23)</x:f>
        <x:v>1</x:v>
      </x:c>
      <x:c r="E23" s="2" t="n">
        <x:f>D23-COUNTIFS('Күнлик реже'!$C$8:$C$390,"&gt;="&amp;B23,'Күнлик реже'!$C$8:$C$390,"&lt;="&amp;C23,'Күнлик реже'!$S$8:$S$390,1)</x:f>
        <x:v>1</x:v>
      </x:c>
      <x:c r="F23" s="2" t="n">
        <x:f>COUNTIFS('Күнлик реже'!$C$8:$C$390,"&gt;="&amp;B23,'Күнлик реже'!$C$8:$C$390,"&lt;="&amp;C23,'Күнлик реже'!$I$8:$I$390,0,'Күнлик реже'!$S$8:$S$390,1)</x:f>
        <x:v>0</x:v>
      </x:c>
      <x:c r="G23" s="2" t="n">
        <x:f>COUNTIFS('Күнлик реже'!$C$8:$C$390,"&gt;="&amp;B23,'Күнлик реже'!$C$8:$C$390,"&lt;="&amp;C23,'Күнлик реже'!$N$8:$N$390,1)</x:f>
        <x:v>0</x:v>
      </x:c>
      <x:c r="H23" s="2" t="n">
        <x:f>D23-E23-F23-G23</x:f>
        <x:v>0</x:v>
      </x:c>
      <x:c r="I23" s="17" t="n">
        <x:f>SUMIFS('Күнлик реже'!$J$8:$J$390,'Күнлик реже'!$C$8:$C$390,"&gt;="&amp;B23,'Күнлик реже'!$C$8:$C$390,"&lt;="&amp;C23)/60</x:f>
        <x:v>0</x:v>
      </x:c>
      <x:c r="J23" s="17" t="n">
        <x:f>SUMIFS('Күнлик есабат'!$G$8:$G$507,'Күнлик есабат'!$A$8:$A$507,"&gt;="&amp;B23,'Күнлик есабат'!$A$8:$A$507,"&lt;="&amp;C23,'Күнлик есабат'!$L$8:$L$507,0,'Күнлик есабат'!$M$8:$M$507,0)/60</x:f>
        <x:v>0</x:v>
      </x:c>
    </x:row>
    <x:row r="24" ht="28" customHeight="1">
      <x:c r="A24" s="2" t="str">
        <x:v>17-ҳәпте</x:v>
      </x:c>
      <x:c r="B24" s="14" t="n">
        <x:v>46412</x:v>
      </x:c>
      <x:c r="C24" s="14" t="n">
        <x:v>46418</x:v>
      </x:c>
      <x:c r="D24" s="2" t="n">
        <x:f>COUNTIFS('Күнлик реже'!$C$8:$C$390,"&gt;="&amp;B24,'Күнлик реже'!$C$8:$C$390,"&lt;="&amp;C24)</x:f>
        <x:v>7</x:v>
      </x:c>
      <x:c r="E24" s="2" t="n">
        <x:f>D24-COUNTIFS('Күнлик реже'!$C$8:$C$390,"&gt;="&amp;B24,'Күнлик реже'!$C$8:$C$390,"&lt;="&amp;C24,'Күнлик реже'!$S$8:$S$390,1)</x:f>
        <x:v>7</x:v>
      </x:c>
      <x:c r="F24" s="2" t="n">
        <x:f>COUNTIFS('Күнлик реже'!$C$8:$C$390,"&gt;="&amp;B24,'Күнлик реже'!$C$8:$C$390,"&lt;="&amp;C24,'Күнлик реже'!$I$8:$I$390,0,'Күнлик реже'!$S$8:$S$390,1)</x:f>
        <x:v>0</x:v>
      </x:c>
      <x:c r="G24" s="2" t="n">
        <x:f>COUNTIFS('Күнлик реже'!$C$8:$C$390,"&gt;="&amp;B24,'Күнлик реже'!$C$8:$C$390,"&lt;="&amp;C24,'Күнлик реже'!$N$8:$N$390,1)</x:f>
        <x:v>0</x:v>
      </x:c>
      <x:c r="H24" s="2" t="n">
        <x:f>D24-E24-F24-G24</x:f>
        <x:v>0</x:v>
      </x:c>
      <x:c r="I24" s="17" t="n">
        <x:f>SUMIFS('Күнлик реже'!$J$8:$J$390,'Күнлик реже'!$C$8:$C$390,"&gt;="&amp;B24,'Күнлик реже'!$C$8:$C$390,"&lt;="&amp;C24)/60</x:f>
        <x:v>0</x:v>
      </x:c>
      <x:c r="J24" s="17" t="n">
        <x:f>SUMIFS('Күнлик есабат'!$G$8:$G$507,'Күнлик есабат'!$A$8:$A$507,"&gt;="&amp;B24,'Күнлик есабат'!$A$8:$A$507,"&lt;="&amp;C24,'Күнлик есабат'!$L$8:$L$507,0,'Күнлик есабат'!$M$8:$M$507,0)/60</x:f>
        <x:v>0</x:v>
      </x:c>
    </x:row>
    <x:row r="25" ht="28" customHeight="1">
      <x:c r="A25" s="2" t="str">
        <x:v>18-ҳәпте</x:v>
      </x:c>
      <x:c r="B25" s="14" t="n">
        <x:v>46419</x:v>
      </x:c>
      <x:c r="C25" s="14" t="n">
        <x:v>46425</x:v>
      </x:c>
      <x:c r="D25" s="2" t="n">
        <x:f>COUNTIFS('Күнлик реже'!$C$8:$C$390,"&gt;="&amp;B25,'Күнлик реже'!$C$8:$C$390,"&lt;="&amp;C25)</x:f>
        <x:v>3</x:v>
      </x:c>
      <x:c r="E25" s="2" t="n">
        <x:f>D25-COUNTIFS('Күнлик реже'!$C$8:$C$390,"&gt;="&amp;B25,'Күнлик реже'!$C$8:$C$390,"&lt;="&amp;C25,'Күнлик реже'!$S$8:$S$390,1)</x:f>
        <x:v>3</x:v>
      </x:c>
      <x:c r="F25" s="2" t="n">
        <x:f>COUNTIFS('Күнлик реже'!$C$8:$C$390,"&gt;="&amp;B25,'Күнлик реже'!$C$8:$C$390,"&lt;="&amp;C25,'Күнлик реже'!$I$8:$I$390,0,'Күнлик реже'!$S$8:$S$390,1)</x:f>
        <x:v>0</x:v>
      </x:c>
      <x:c r="G25" s="2" t="n">
        <x:f>COUNTIFS('Күнлик реже'!$C$8:$C$390,"&gt;="&amp;B25,'Күнлик реже'!$C$8:$C$390,"&lt;="&amp;C25,'Күнлик реже'!$N$8:$N$390,1)</x:f>
        <x:v>0</x:v>
      </x:c>
      <x:c r="H25" s="2" t="n">
        <x:f>D25-E25-F25-G25</x:f>
        <x:v>0</x:v>
      </x:c>
      <x:c r="I25" s="17" t="n">
        <x:f>SUMIFS('Күнлик реже'!$J$8:$J$390,'Күнлик реже'!$C$8:$C$390,"&gt;="&amp;B25,'Күнлик реже'!$C$8:$C$390,"&lt;="&amp;C25)/60</x:f>
        <x:v>0</x:v>
      </x:c>
      <x:c r="J25" s="17" t="n">
        <x:f>SUMIFS('Күнлик есабат'!$G$8:$G$507,'Күнлик есабат'!$A$8:$A$507,"&gt;="&amp;B25,'Күнлик есабат'!$A$8:$A$507,"&lt;="&amp;C25,'Күнлик есабат'!$L$8:$L$507,0,'Күнлик есабат'!$M$8:$M$507,0)/60</x:f>
        <x:v>0</x:v>
      </x:c>
    </x:row>
    <x:row r="26" ht="28" customHeight="1">
      <x:c r="A26" s="2" t="str">
        <x:v>19-ҳәпте</x:v>
      </x:c>
      <x:c r="B26" s="14" t="n">
        <x:v>46426</x:v>
      </x:c>
      <x:c r="C26" s="14" t="n">
        <x:v>46432</x:v>
      </x:c>
      <x:c r="D26" s="2" t="n">
        <x:f>COUNTIFS('Күнлик реже'!$C$8:$C$390,"&gt;="&amp;B26,'Күнлик реже'!$C$8:$C$390,"&lt;="&amp;C26)</x:f>
        <x:v>7</x:v>
      </x:c>
      <x:c r="E26" s="2" t="n">
        <x:f>D26-COUNTIFS('Күнлик реже'!$C$8:$C$390,"&gt;="&amp;B26,'Күнлик реже'!$C$8:$C$390,"&lt;="&amp;C26,'Күнлик реже'!$S$8:$S$390,1)</x:f>
        <x:v>7</x:v>
      </x:c>
      <x:c r="F26" s="2" t="n">
        <x:f>COUNTIFS('Күнлик реже'!$C$8:$C$390,"&gt;="&amp;B26,'Күнлик реже'!$C$8:$C$390,"&lt;="&amp;C26,'Күнлик реже'!$I$8:$I$390,0,'Күнлик реже'!$S$8:$S$390,1)</x:f>
        <x:v>0</x:v>
      </x:c>
      <x:c r="G26" s="2" t="n">
        <x:f>COUNTIFS('Күнлик реже'!$C$8:$C$390,"&gt;="&amp;B26,'Күнлик реже'!$C$8:$C$390,"&lt;="&amp;C26,'Күнлик реже'!$N$8:$N$390,1)</x:f>
        <x:v>0</x:v>
      </x:c>
      <x:c r="H26" s="2" t="n">
        <x:f>D26-E26-F26-G26</x:f>
        <x:v>0</x:v>
      </x:c>
      <x:c r="I26" s="17" t="n">
        <x:f>SUMIFS('Күнлик реже'!$J$8:$J$390,'Күнлик реже'!$C$8:$C$390,"&gt;="&amp;B26,'Күнлик реже'!$C$8:$C$390,"&lt;="&amp;C26)/60</x:f>
        <x:v>0</x:v>
      </x:c>
      <x:c r="J26" s="17" t="n">
        <x:f>SUMIFS('Күнлик есабат'!$G$8:$G$507,'Күнлик есабат'!$A$8:$A$507,"&gt;="&amp;B26,'Күнлик есабат'!$A$8:$A$507,"&lt;="&amp;C26,'Күнлик есабат'!$L$8:$L$507,0,'Күнлик есабат'!$M$8:$M$507,0)/60</x:f>
        <x:v>0</x:v>
      </x:c>
    </x:row>
    <x:row r="27" ht="28" customHeight="1">
      <x:c r="A27" s="2" t="str">
        <x:v>20-ҳәпте</x:v>
      </x:c>
      <x:c r="B27" s="14" t="n">
        <x:v>46433</x:v>
      </x:c>
      <x:c r="C27" s="14" t="n">
        <x:v>46439</x:v>
      </x:c>
      <x:c r="D27" s="2" t="n">
        <x:f>COUNTIFS('Күнлик реже'!$C$8:$C$390,"&gt;="&amp;B27,'Күнлик реже'!$C$8:$C$390,"&lt;="&amp;C27)</x:f>
        <x:v>7</x:v>
      </x:c>
      <x:c r="E27" s="2" t="n">
        <x:f>D27-COUNTIFS('Күнлик реже'!$C$8:$C$390,"&gt;="&amp;B27,'Күнлик реже'!$C$8:$C$390,"&lt;="&amp;C27,'Күнлик реже'!$S$8:$S$390,1)</x:f>
        <x:v>7</x:v>
      </x:c>
      <x:c r="F27" s="2" t="n">
        <x:f>COUNTIFS('Күнлик реже'!$C$8:$C$390,"&gt;="&amp;B27,'Күнлик реже'!$C$8:$C$390,"&lt;="&amp;C27,'Күнлик реже'!$I$8:$I$390,0,'Күнлик реже'!$S$8:$S$390,1)</x:f>
        <x:v>0</x:v>
      </x:c>
      <x:c r="G27" s="2" t="n">
        <x:f>COUNTIFS('Күнлик реже'!$C$8:$C$390,"&gt;="&amp;B27,'Күнлик реже'!$C$8:$C$390,"&lt;="&amp;C27,'Күнлик реже'!$N$8:$N$390,1)</x:f>
        <x:v>0</x:v>
      </x:c>
      <x:c r="H27" s="2" t="n">
        <x:f>D27-E27-F27-G27</x:f>
        <x:v>0</x:v>
      </x:c>
      <x:c r="I27" s="17" t="n">
        <x:f>SUMIFS('Күнлик реже'!$J$8:$J$390,'Күнлик реже'!$C$8:$C$390,"&gt;="&amp;B27,'Күнлик реже'!$C$8:$C$390,"&lt;="&amp;C27)/60</x:f>
        <x:v>0</x:v>
      </x:c>
      <x:c r="J27" s="17" t="n">
        <x:f>SUMIFS('Күнлик есабат'!$G$8:$G$507,'Күнлик есабат'!$A$8:$A$507,"&gt;="&amp;B27,'Күнлик есабат'!$A$8:$A$507,"&lt;="&amp;C27,'Күнлик есабат'!$L$8:$L$507,0,'Күнлик есабат'!$M$8:$M$507,0)/60</x:f>
        <x:v>0</x:v>
      </x:c>
    </x:row>
    <x:row r="28" ht="28" customHeight="1">
      <x:c r="A28" s="2" t="str">
        <x:v>21-ҳәпте</x:v>
      </x:c>
      <x:c r="B28" s="14" t="n">
        <x:v>46440</x:v>
      </x:c>
      <x:c r="C28" s="14" t="n">
        <x:v>46446</x:v>
      </x:c>
      <x:c r="D28" s="2" t="n">
        <x:f>COUNTIFS('Күнлик реже'!$C$8:$C$390,"&gt;="&amp;B28,'Күнлик реже'!$C$8:$C$390,"&lt;="&amp;C28)</x:f>
        <x:v>8</x:v>
      </x:c>
      <x:c r="E28" s="2" t="n">
        <x:f>D28-COUNTIFS('Күнлик реже'!$C$8:$C$390,"&gt;="&amp;B28,'Күнлик реже'!$C$8:$C$390,"&lt;="&amp;C28,'Күнлик реже'!$S$8:$S$390,1)</x:f>
        <x:v>8</x:v>
      </x:c>
      <x:c r="F28" s="2" t="n">
        <x:f>COUNTIFS('Күнлик реже'!$C$8:$C$390,"&gt;="&amp;B28,'Күнлик реже'!$C$8:$C$390,"&lt;="&amp;C28,'Күнлик реже'!$I$8:$I$390,0,'Күнлик реже'!$S$8:$S$390,1)</x:f>
        <x:v>0</x:v>
      </x:c>
      <x:c r="G28" s="2" t="n">
        <x:f>COUNTIFS('Күнлик реже'!$C$8:$C$390,"&gt;="&amp;B28,'Күнлик реже'!$C$8:$C$390,"&lt;="&amp;C28,'Күнлик реже'!$N$8:$N$390,1)</x:f>
        <x:v>0</x:v>
      </x:c>
      <x:c r="H28" s="2" t="n">
        <x:f>D28-E28-F28-G28</x:f>
        <x:v>0</x:v>
      </x:c>
      <x:c r="I28" s="17" t="n">
        <x:f>SUMIFS('Күнлик реже'!$J$8:$J$390,'Күнлик реже'!$C$8:$C$390,"&gt;="&amp;B28,'Күнлик реже'!$C$8:$C$390,"&lt;="&amp;C28)/60</x:f>
        <x:v>0</x:v>
      </x:c>
      <x:c r="J28" s="17" t="n">
        <x:f>SUMIFS('Күнлик есабат'!$G$8:$G$507,'Күнлик есабат'!$A$8:$A$507,"&gt;="&amp;B28,'Күнлик есабат'!$A$8:$A$507,"&lt;="&amp;C28,'Күнлик есабат'!$L$8:$L$507,0,'Күнлик есабат'!$M$8:$M$507,0)/60</x:f>
        <x:v>0</x:v>
      </x:c>
    </x:row>
    <x:row r="29" ht="28" customHeight="1">
      <x:c r="A29" s="2" t="str">
        <x:v>22-ҳәпте</x:v>
      </x:c>
      <x:c r="B29" s="14" t="n">
        <x:v>46447</x:v>
      </x:c>
      <x:c r="C29" s="14" t="n">
        <x:v>46453</x:v>
      </x:c>
      <x:c r="D29" s="2" t="n">
        <x:f>COUNTIFS('Күнлик реже'!$C$8:$C$390,"&gt;="&amp;B29,'Күнлик реже'!$C$8:$C$390,"&lt;="&amp;C29)</x:f>
        <x:v>3</x:v>
      </x:c>
      <x:c r="E29" s="2" t="n">
        <x:f>D29-COUNTIFS('Күнлик реже'!$C$8:$C$390,"&gt;="&amp;B29,'Күнлик реже'!$C$8:$C$390,"&lt;="&amp;C29,'Күнлик реже'!$S$8:$S$390,1)</x:f>
        <x:v>3</x:v>
      </x:c>
      <x:c r="F29" s="2" t="n">
        <x:f>COUNTIFS('Күнлик реже'!$C$8:$C$390,"&gt;="&amp;B29,'Күнлик реже'!$C$8:$C$390,"&lt;="&amp;C29,'Күнлик реже'!$I$8:$I$390,0,'Күнлик реже'!$S$8:$S$390,1)</x:f>
        <x:v>0</x:v>
      </x:c>
      <x:c r="G29" s="2" t="n">
        <x:f>COUNTIFS('Күнлик реже'!$C$8:$C$390,"&gt;="&amp;B29,'Күнлик реже'!$C$8:$C$390,"&lt;="&amp;C29,'Күнлик реже'!$N$8:$N$390,1)</x:f>
        <x:v>0</x:v>
      </x:c>
      <x:c r="H29" s="2" t="n">
        <x:f>D29-E29-F29-G29</x:f>
        <x:v>0</x:v>
      </x:c>
      <x:c r="I29" s="17" t="n">
        <x:f>SUMIFS('Күнлик реже'!$J$8:$J$390,'Күнлик реже'!$C$8:$C$390,"&gt;="&amp;B29,'Күнлик реже'!$C$8:$C$390,"&lt;="&amp;C29)/60</x:f>
        <x:v>0</x:v>
      </x:c>
      <x:c r="J29" s="17" t="n">
        <x:f>SUMIFS('Күнлик есабат'!$G$8:$G$507,'Күнлик есабат'!$A$8:$A$507,"&gt;="&amp;B29,'Күнлик есабат'!$A$8:$A$507,"&lt;="&amp;C29,'Күнлик есабат'!$L$8:$L$507,0,'Күнлик есабат'!$M$8:$M$507,0)/60</x:f>
        <x:v>0</x:v>
      </x:c>
    </x:row>
    <x:row r="30" ht="28" customHeight="1">
      <x:c r="A30" s="2" t="str">
        <x:v>23-ҳәпте</x:v>
      </x:c>
      <x:c r="B30" s="14" t="n">
        <x:v>46454</x:v>
      </x:c>
      <x:c r="C30" s="14" t="n">
        <x:v>46460</x:v>
      </x:c>
      <x:c r="D30" s="2" t="n">
        <x:f>COUNTIFS('Күнлик реже'!$C$8:$C$390,"&gt;="&amp;B30,'Күнлик реже'!$C$8:$C$390,"&lt;="&amp;C30)</x:f>
        <x:v>5</x:v>
      </x:c>
      <x:c r="E30" s="2" t="n">
        <x:f>D30-COUNTIFS('Күнлик реже'!$C$8:$C$390,"&gt;="&amp;B30,'Күнлик реже'!$C$8:$C$390,"&lt;="&amp;C30,'Күнлик реже'!$S$8:$S$390,1)</x:f>
        <x:v>5</x:v>
      </x:c>
      <x:c r="F30" s="2" t="n">
        <x:f>COUNTIFS('Күнлик реже'!$C$8:$C$390,"&gt;="&amp;B30,'Күнлик реже'!$C$8:$C$390,"&lt;="&amp;C30,'Күнлик реже'!$I$8:$I$390,0,'Күнлик реже'!$S$8:$S$390,1)</x:f>
        <x:v>0</x:v>
      </x:c>
      <x:c r="G30" s="2" t="n">
        <x:f>COUNTIFS('Күнлик реже'!$C$8:$C$390,"&gt;="&amp;B30,'Күнлик реже'!$C$8:$C$390,"&lt;="&amp;C30,'Күнлик реже'!$N$8:$N$390,1)</x:f>
        <x:v>0</x:v>
      </x:c>
      <x:c r="H30" s="2" t="n">
        <x:f>D30-E30-F30-G30</x:f>
        <x:v>0</x:v>
      </x:c>
      <x:c r="I30" s="17" t="n">
        <x:f>SUMIFS('Күнлик реже'!$J$8:$J$390,'Күнлик реже'!$C$8:$C$390,"&gt;="&amp;B30,'Күнлик реже'!$C$8:$C$390,"&lt;="&amp;C30)/60</x:f>
        <x:v>0</x:v>
      </x:c>
      <x:c r="J30" s="17" t="n">
        <x:f>SUMIFS('Күнлик есабат'!$G$8:$G$507,'Күнлик есабат'!$A$8:$A$507,"&gt;="&amp;B30,'Күнлик есабат'!$A$8:$A$507,"&lt;="&amp;C30,'Күнлик есабат'!$L$8:$L$507,0,'Күнлик есабат'!$M$8:$M$507,0)/60</x:f>
        <x:v>0</x:v>
      </x:c>
    </x:row>
    <x:row r="31" ht="28" customHeight="1">
      <x:c r="A31" s="2" t="str">
        <x:v>24-ҳәпте</x:v>
      </x:c>
      <x:c r="B31" s="14" t="n">
        <x:v>46461</x:v>
      </x:c>
      <x:c r="C31" s="14" t="n">
        <x:v>46467</x:v>
      </x:c>
      <x:c r="D31" s="2" t="n">
        <x:f>COUNTIFS('Күнлик реже'!$C$8:$C$390,"&gt;="&amp;B31,'Күнлик реже'!$C$8:$C$390,"&lt;="&amp;C31)</x:f>
        <x:v>7</x:v>
      </x:c>
      <x:c r="E31" s="2" t="n">
        <x:f>D31-COUNTIFS('Күнлик реже'!$C$8:$C$390,"&gt;="&amp;B31,'Күнлик реже'!$C$8:$C$390,"&lt;="&amp;C31,'Күнлик реже'!$S$8:$S$390,1)</x:f>
        <x:v>7</x:v>
      </x:c>
      <x:c r="F31" s="2" t="n">
        <x:f>COUNTIFS('Күнлик реже'!$C$8:$C$390,"&gt;="&amp;B31,'Күнлик реже'!$C$8:$C$390,"&lt;="&amp;C31,'Күнлик реже'!$I$8:$I$390,0,'Күнлик реже'!$S$8:$S$390,1)</x:f>
        <x:v>0</x:v>
      </x:c>
      <x:c r="G31" s="2" t="n">
        <x:f>COUNTIFS('Күнлик реже'!$C$8:$C$390,"&gt;="&amp;B31,'Күнлик реже'!$C$8:$C$390,"&lt;="&amp;C31,'Күнлик реже'!$N$8:$N$390,1)</x:f>
        <x:v>0</x:v>
      </x:c>
      <x:c r="H31" s="2" t="n">
        <x:f>D31-E31-F31-G31</x:f>
        <x:v>0</x:v>
      </x:c>
      <x:c r="I31" s="17" t="n">
        <x:f>SUMIFS('Күнлик реже'!$J$8:$J$390,'Күнлик реже'!$C$8:$C$390,"&gt;="&amp;B31,'Күнлик реже'!$C$8:$C$390,"&lt;="&amp;C31)/60</x:f>
        <x:v>0</x:v>
      </x:c>
      <x:c r="J31" s="17" t="n">
        <x:f>SUMIFS('Күнлик есабат'!$G$8:$G$507,'Күнлик есабат'!$A$8:$A$507,"&gt;="&amp;B31,'Күнлик есабат'!$A$8:$A$507,"&lt;="&amp;C31,'Күнлик есабат'!$L$8:$L$507,0,'Күнлик есабат'!$M$8:$M$507,0)/60</x:f>
        <x:v>0</x:v>
      </x:c>
    </x:row>
    <x:row r="32" ht="28" customHeight="1">
      <x:c r="A32" s="2" t="str">
        <x:v>25-ҳәпте</x:v>
      </x:c>
      <x:c r="B32" s="14" t="n">
        <x:v>46468</x:v>
      </x:c>
      <x:c r="C32" s="14" t="n">
        <x:v>46474</x:v>
      </x:c>
      <x:c r="D32" s="2" t="n">
        <x:f>COUNTIFS('Күнлик реже'!$C$8:$C$390,"&gt;="&amp;B32,'Күнлик реже'!$C$8:$C$390,"&lt;="&amp;C32)</x:f>
        <x:v>7</x:v>
      </x:c>
      <x:c r="E32" s="2" t="n">
        <x:f>D32-COUNTIFS('Күнлик реже'!$C$8:$C$390,"&gt;="&amp;B32,'Күнлик реже'!$C$8:$C$390,"&lt;="&amp;C32,'Күнлик реже'!$S$8:$S$390,1)</x:f>
        <x:v>7</x:v>
      </x:c>
      <x:c r="F32" s="2" t="n">
        <x:f>COUNTIFS('Күнлик реже'!$C$8:$C$390,"&gt;="&amp;B32,'Күнлик реже'!$C$8:$C$390,"&lt;="&amp;C32,'Күнлик реже'!$I$8:$I$390,0,'Күнлик реже'!$S$8:$S$390,1)</x:f>
        <x:v>0</x:v>
      </x:c>
      <x:c r="G32" s="2" t="n">
        <x:f>COUNTIFS('Күнлик реже'!$C$8:$C$390,"&gt;="&amp;B32,'Күнлик реже'!$C$8:$C$390,"&lt;="&amp;C32,'Күнлик реже'!$N$8:$N$390,1)</x:f>
        <x:v>0</x:v>
      </x:c>
      <x:c r="H32" s="2" t="n">
        <x:f>D32-E32-F32-G32</x:f>
        <x:v>0</x:v>
      </x:c>
      <x:c r="I32" s="17" t="n">
        <x:f>SUMIFS('Күнлик реже'!$J$8:$J$390,'Күнлик реже'!$C$8:$C$390,"&gt;="&amp;B32,'Күнлик реже'!$C$8:$C$390,"&lt;="&amp;C32)/60</x:f>
        <x:v>0</x:v>
      </x:c>
      <x:c r="J32" s="17" t="n">
        <x:f>SUMIFS('Күнлик есабат'!$G$8:$G$507,'Күнлик есабат'!$A$8:$A$507,"&gt;="&amp;B32,'Күнлик есабат'!$A$8:$A$507,"&lt;="&amp;C32,'Күнлик есабат'!$L$8:$L$507,0,'Күнлик есабат'!$M$8:$M$507,0)/60</x:f>
        <x:v>0</x:v>
      </x:c>
    </x:row>
    <x:row r="33" ht="28" customHeight="1">
      <x:c r="A33" s="2" t="str">
        <x:v>26-ҳәпте</x:v>
      </x:c>
      <x:c r="B33" s="14" t="n">
        <x:v>46475</x:v>
      </x:c>
      <x:c r="C33" s="14" t="n">
        <x:v>46481</x:v>
      </x:c>
      <x:c r="D33" s="2" t="n">
        <x:f>COUNTIFS('Күнлик реже'!$C$8:$C$390,"&gt;="&amp;B33,'Күнлик реже'!$C$8:$C$390,"&lt;="&amp;C33)</x:f>
        <x:v>0</x:v>
      </x:c>
      <x:c r="E33" s="2" t="n">
        <x:f>D33-COUNTIFS('Күнлик реже'!$C$8:$C$390,"&gt;="&amp;B33,'Күнлик реже'!$C$8:$C$390,"&lt;="&amp;C33,'Күнлик реже'!$S$8:$S$390,1)</x:f>
        <x:v>0</x:v>
      </x:c>
      <x:c r="F33" s="2" t="n">
        <x:f>COUNTIFS('Күнлик реже'!$C$8:$C$390,"&gt;="&amp;B33,'Күнлик реже'!$C$8:$C$390,"&lt;="&amp;C33,'Күнлик реже'!$I$8:$I$390,0,'Күнлик реже'!$S$8:$S$390,1)</x:f>
        <x:v>0</x:v>
      </x:c>
      <x:c r="G33" s="2" t="n">
        <x:f>COUNTIFS('Күнлик реже'!$C$8:$C$390,"&gt;="&amp;B33,'Күнлик реже'!$C$8:$C$390,"&lt;="&amp;C33,'Күнлик реже'!$N$8:$N$390,1)</x:f>
        <x:v>0</x:v>
      </x:c>
      <x:c r="H33" s="2" t="n">
        <x:f>D33-E33-F33-G33</x:f>
        <x:v>0</x:v>
      </x:c>
      <x:c r="I33" s="17" t="n">
        <x:f>SUMIFS('Күнлик реже'!$J$8:$J$390,'Күнлик реже'!$C$8:$C$390,"&gt;="&amp;B33,'Күнлик реже'!$C$8:$C$390,"&lt;="&amp;C33)/60</x:f>
        <x:v>0</x:v>
      </x:c>
      <x:c r="J33" s="17" t="n">
        <x:f>SUMIFS('Күнлик есабат'!$G$8:$G$507,'Күнлик есабат'!$A$8:$A$507,"&gt;="&amp;B33,'Күнлик есабат'!$A$8:$A$507,"&lt;="&amp;C33,'Күнлик есабат'!$L$8:$L$507,0,'Күнлик есабат'!$M$8:$M$507,0)/60</x:f>
        <x:v>0</x:v>
      </x:c>
    </x:row>
    <x:row r="34" ht="28" customHeight="1">
      <x:c r="A34" s="2" t="str">
        <x:v>27-ҳәпте</x:v>
      </x:c>
      <x:c r="B34" s="14" t="n">
        <x:v>46482</x:v>
      </x:c>
      <x:c r="C34" s="14" t="n">
        <x:v>46488</x:v>
      </x:c>
      <x:c r="D34" s="2" t="n">
        <x:f>COUNTIFS('Күнлик реже'!$C$8:$C$390,"&gt;="&amp;B34,'Күнлик реже'!$C$8:$C$390,"&lt;="&amp;C34)</x:f>
        <x:v>3</x:v>
      </x:c>
      <x:c r="E34" s="2" t="n">
        <x:f>D34-COUNTIFS('Күнлик реже'!$C$8:$C$390,"&gt;="&amp;B34,'Күнлик реже'!$C$8:$C$390,"&lt;="&amp;C34,'Күнлик реже'!$S$8:$S$390,1)</x:f>
        <x:v>3</x:v>
      </x:c>
      <x:c r="F34" s="2" t="n">
        <x:f>COUNTIFS('Күнлик реже'!$C$8:$C$390,"&gt;="&amp;B34,'Күнлик реже'!$C$8:$C$390,"&lt;="&amp;C34,'Күнлик реже'!$I$8:$I$390,0,'Күнлик реже'!$S$8:$S$390,1)</x:f>
        <x:v>0</x:v>
      </x:c>
      <x:c r="G34" s="2" t="n">
        <x:f>COUNTIFS('Күнлик реже'!$C$8:$C$390,"&gt;="&amp;B34,'Күнлик реже'!$C$8:$C$390,"&lt;="&amp;C34,'Күнлик реже'!$N$8:$N$390,1)</x:f>
        <x:v>0</x:v>
      </x:c>
      <x:c r="H34" s="2" t="n">
        <x:f>D34-E34-F34-G34</x:f>
        <x:v>0</x:v>
      </x:c>
      <x:c r="I34" s="17" t="n">
        <x:f>SUMIFS('Күнлик реже'!$J$8:$J$390,'Күнлик реже'!$C$8:$C$390,"&gt;="&amp;B34,'Күнлик реже'!$C$8:$C$390,"&lt;="&amp;C34)/60</x:f>
        <x:v>0</x:v>
      </x:c>
      <x:c r="J34" s="17" t="n">
        <x:f>SUMIFS('Күнлик есабат'!$G$8:$G$507,'Күнлик есабат'!$A$8:$A$507,"&gt;="&amp;B34,'Күнлик есабат'!$A$8:$A$507,"&lt;="&amp;C34,'Күнлик есабат'!$L$8:$L$507,0,'Күнлик есабат'!$M$8:$M$507,0)/60</x:f>
        <x:v>0</x:v>
      </x:c>
    </x:row>
    <x:row r="35" ht="28" customHeight="1">
      <x:c r="A35" s="2" t="str">
        <x:v>28-ҳәпте</x:v>
      </x:c>
      <x:c r="B35" s="14" t="n">
        <x:v>46489</x:v>
      </x:c>
      <x:c r="C35" s="14" t="n">
        <x:v>46495</x:v>
      </x:c>
      <x:c r="D35" s="2" t="n">
        <x:f>COUNTIFS('Күнлик реже'!$C$8:$C$390,"&gt;="&amp;B35,'Күнлик реже'!$C$8:$C$390,"&lt;="&amp;C35)</x:f>
        <x:v>12</x:v>
      </x:c>
      <x:c r="E35" s="2" t="n">
        <x:f>D35-COUNTIFS('Күнлик реже'!$C$8:$C$390,"&gt;="&amp;B35,'Күнлик реже'!$C$8:$C$390,"&lt;="&amp;C35,'Күнлик реже'!$S$8:$S$390,1)</x:f>
        <x:v>12</x:v>
      </x:c>
      <x:c r="F35" s="2" t="n">
        <x:f>COUNTIFS('Күнлик реже'!$C$8:$C$390,"&gt;="&amp;B35,'Күнлик реже'!$C$8:$C$390,"&lt;="&amp;C35,'Күнлик реже'!$I$8:$I$390,0,'Күнлик реже'!$S$8:$S$390,1)</x:f>
        <x:v>0</x:v>
      </x:c>
      <x:c r="G35" s="2" t="n">
        <x:f>COUNTIFS('Күнлик реже'!$C$8:$C$390,"&gt;="&amp;B35,'Күнлик реже'!$C$8:$C$390,"&lt;="&amp;C35,'Күнлик реже'!$N$8:$N$390,1)</x:f>
        <x:v>0</x:v>
      </x:c>
      <x:c r="H35" s="2" t="n">
        <x:f>D35-E35-F35-G35</x:f>
        <x:v>0</x:v>
      </x:c>
      <x:c r="I35" s="17" t="n">
        <x:f>SUMIFS('Күнлик реже'!$J$8:$J$390,'Күнлик реже'!$C$8:$C$390,"&gt;="&amp;B35,'Күнлик реже'!$C$8:$C$390,"&lt;="&amp;C35)/60</x:f>
        <x:v>0</x:v>
      </x:c>
      <x:c r="J35" s="17" t="n">
        <x:f>SUMIFS('Күнлик есабат'!$G$8:$G$507,'Күнлик есабат'!$A$8:$A$507,"&gt;="&amp;B35,'Күнлик есабат'!$A$8:$A$507,"&lt;="&amp;C35,'Күнлик есабат'!$L$8:$L$507,0,'Күнлик есабат'!$M$8:$M$507,0)/60</x:f>
        <x:v>0</x:v>
      </x:c>
    </x:row>
    <x:row r="36" ht="28" customHeight="1">
      <x:c r="A36" s="2" t="str">
        <x:v>29-ҳәпте</x:v>
      </x:c>
      <x:c r="B36" s="14" t="n">
        <x:v>46496</x:v>
      </x:c>
      <x:c r="C36" s="14" t="n">
        <x:v>46502</x:v>
      </x:c>
      <x:c r="D36" s="2" t="n">
        <x:f>COUNTIFS('Күнлик реже'!$C$8:$C$390,"&gt;="&amp;B36,'Күнлик реже'!$C$8:$C$390,"&lt;="&amp;C36)</x:f>
        <x:v>1</x:v>
      </x:c>
      <x:c r="E36" s="2" t="n">
        <x:f>D36-COUNTIFS('Күнлик реже'!$C$8:$C$390,"&gt;="&amp;B36,'Күнлик реже'!$C$8:$C$390,"&lt;="&amp;C36,'Күнлик реже'!$S$8:$S$390,1)</x:f>
        <x:v>1</x:v>
      </x:c>
      <x:c r="F36" s="2" t="n">
        <x:f>COUNTIFS('Күнлик реже'!$C$8:$C$390,"&gt;="&amp;B36,'Күнлик реже'!$C$8:$C$390,"&lt;="&amp;C36,'Күнлик реже'!$I$8:$I$390,0,'Күнлик реже'!$S$8:$S$390,1)</x:f>
        <x:v>0</x:v>
      </x:c>
      <x:c r="G36" s="2" t="n">
        <x:f>COUNTIFS('Күнлик реже'!$C$8:$C$390,"&gt;="&amp;B36,'Күнлик реже'!$C$8:$C$390,"&lt;="&amp;C36,'Күнлик реже'!$N$8:$N$390,1)</x:f>
        <x:v>0</x:v>
      </x:c>
      <x:c r="H36" s="2" t="n">
        <x:f>D36-E36-F36-G36</x:f>
        <x:v>0</x:v>
      </x:c>
      <x:c r="I36" s="17" t="n">
        <x:f>SUMIFS('Күнлик реже'!$J$8:$J$390,'Күнлик реже'!$C$8:$C$390,"&gt;="&amp;B36,'Күнлик реже'!$C$8:$C$390,"&lt;="&amp;C36)/60</x:f>
        <x:v>0</x:v>
      </x:c>
      <x:c r="J36" s="17" t="n">
        <x:f>SUMIFS('Күнлик есабат'!$G$8:$G$507,'Күнлик есабат'!$A$8:$A$507,"&gt;="&amp;B36,'Күнлик есабат'!$A$8:$A$507,"&lt;="&amp;C36,'Күнлик есабат'!$L$8:$L$507,0,'Күнлик есабат'!$M$8:$M$507,0)/60</x:f>
        <x:v>0</x:v>
      </x:c>
    </x:row>
    <x:row r="37" ht="28" customHeight="1">
      <x:c r="A37" s="2" t="str">
        <x:v>30-ҳәпте</x:v>
      </x:c>
      <x:c r="B37" s="14" t="n">
        <x:v>46503</x:v>
      </x:c>
      <x:c r="C37" s="14" t="n">
        <x:v>46509</x:v>
      </x:c>
      <x:c r="D37" s="2" t="n">
        <x:f>COUNTIFS('Күнлик реже'!$C$8:$C$390,"&gt;="&amp;B37,'Күнлик реже'!$C$8:$C$390,"&lt;="&amp;C37)</x:f>
        <x:v>7</x:v>
      </x:c>
      <x:c r="E37" s="2" t="n">
        <x:f>D37-COUNTIFS('Күнлик реже'!$C$8:$C$390,"&gt;="&amp;B37,'Күнлик реже'!$C$8:$C$390,"&lt;="&amp;C37,'Күнлик реже'!$S$8:$S$390,1)</x:f>
        <x:v>7</x:v>
      </x:c>
      <x:c r="F37" s="2" t="n">
        <x:f>COUNTIFS('Күнлик реже'!$C$8:$C$390,"&gt;="&amp;B37,'Күнлик реже'!$C$8:$C$390,"&lt;="&amp;C37,'Күнлик реже'!$I$8:$I$390,0,'Күнлик реже'!$S$8:$S$390,1)</x:f>
        <x:v>0</x:v>
      </x:c>
      <x:c r="G37" s="2" t="n">
        <x:f>COUNTIFS('Күнлик реже'!$C$8:$C$390,"&gt;="&amp;B37,'Күнлик реже'!$C$8:$C$390,"&lt;="&amp;C37,'Күнлик реже'!$N$8:$N$390,1)</x:f>
        <x:v>0</x:v>
      </x:c>
      <x:c r="H37" s="2" t="n">
        <x:f>D37-E37-F37-G37</x:f>
        <x:v>0</x:v>
      </x:c>
      <x:c r="I37" s="17" t="n">
        <x:f>SUMIFS('Күнлик реже'!$J$8:$J$390,'Күнлик реже'!$C$8:$C$390,"&gt;="&amp;B37,'Күнлик реже'!$C$8:$C$390,"&lt;="&amp;C37)/60</x:f>
        <x:v>0</x:v>
      </x:c>
      <x:c r="J37" s="17" t="n">
        <x:f>SUMIFS('Күнлик есабат'!$G$8:$G$507,'Күнлик есабат'!$A$8:$A$507,"&gt;="&amp;B37,'Күнлик есабат'!$A$8:$A$507,"&lt;="&amp;C37,'Күнлик есабат'!$L$8:$L$507,0,'Күнлик есабат'!$M$8:$M$507,0)/60</x:f>
        <x:v>0</x:v>
      </x:c>
    </x:row>
    <x:row r="38" ht="28" customHeight="1">
      <x:c r="A38" s="2" t="str">
        <x:v>31-ҳәпте</x:v>
      </x:c>
      <x:c r="B38" s="14" t="n">
        <x:v>46510</x:v>
      </x:c>
      <x:c r="C38" s="14" t="n">
        <x:v>46516</x:v>
      </x:c>
      <x:c r="D38" s="2" t="n">
        <x:f>COUNTIFS('Күнлик реже'!$C$8:$C$390,"&gt;="&amp;B38,'Күнлик реже'!$C$8:$C$390,"&lt;="&amp;C38)</x:f>
        <x:v>3</x:v>
      </x:c>
      <x:c r="E38" s="2" t="n">
        <x:f>D38-COUNTIFS('Күнлик реже'!$C$8:$C$390,"&gt;="&amp;B38,'Күнлик реже'!$C$8:$C$390,"&lt;="&amp;C38,'Күнлик реже'!$S$8:$S$390,1)</x:f>
        <x:v>3</x:v>
      </x:c>
      <x:c r="F38" s="2" t="n">
        <x:f>COUNTIFS('Күнлик реже'!$C$8:$C$390,"&gt;="&amp;B38,'Күнлик реже'!$C$8:$C$390,"&lt;="&amp;C38,'Күнлик реже'!$I$8:$I$390,0,'Күнлик реже'!$S$8:$S$390,1)</x:f>
        <x:v>0</x:v>
      </x:c>
      <x:c r="G38" s="2" t="n">
        <x:f>COUNTIFS('Күнлик реже'!$C$8:$C$390,"&gt;="&amp;B38,'Күнлик реже'!$C$8:$C$390,"&lt;="&amp;C38,'Күнлик реже'!$N$8:$N$390,1)</x:f>
        <x:v>0</x:v>
      </x:c>
      <x:c r="H38" s="2" t="n">
        <x:f>D38-E38-F38-G38</x:f>
        <x:v>0</x:v>
      </x:c>
      <x:c r="I38" s="17" t="n">
        <x:f>SUMIFS('Күнлик реже'!$J$8:$J$390,'Күнлик реже'!$C$8:$C$390,"&gt;="&amp;B38,'Күнлик реже'!$C$8:$C$390,"&lt;="&amp;C38)/60</x:f>
        <x:v>0</x:v>
      </x:c>
      <x:c r="J38" s="17" t="n">
        <x:f>SUMIFS('Күнлик есабат'!$G$8:$G$507,'Күнлик есабат'!$A$8:$A$507,"&gt;="&amp;B38,'Күнлик есабат'!$A$8:$A$507,"&lt;="&amp;C38,'Күнлик есабат'!$L$8:$L$507,0,'Күнлик есабат'!$M$8:$M$507,0)/60</x:f>
        <x:v>0</x:v>
      </x:c>
    </x:row>
    <x:row r="39" ht="28" customHeight="1">
      <x:c r="A39" s="2" t="str">
        <x:v>32-ҳәпте</x:v>
      </x:c>
      <x:c r="B39" s="14" t="n">
        <x:v>46517</x:v>
      </x:c>
      <x:c r="C39" s="14" t="n">
        <x:v>46523</x:v>
      </x:c>
      <x:c r="D39" s="2" t="n">
        <x:f>COUNTIFS('Күнлик реже'!$C$8:$C$390,"&gt;="&amp;B39,'Күнлик реже'!$C$8:$C$390,"&lt;="&amp;C39)</x:f>
        <x:v>5</x:v>
      </x:c>
      <x:c r="E39" s="2" t="n">
        <x:f>D39-COUNTIFS('Күнлик реже'!$C$8:$C$390,"&gt;="&amp;B39,'Күнлик реже'!$C$8:$C$390,"&lt;="&amp;C39,'Күнлик реже'!$S$8:$S$390,1)</x:f>
        <x:v>5</x:v>
      </x:c>
      <x:c r="F39" s="2" t="n">
        <x:f>COUNTIFS('Күнлик реже'!$C$8:$C$390,"&gt;="&amp;B39,'Күнлик реже'!$C$8:$C$390,"&lt;="&amp;C39,'Күнлик реже'!$I$8:$I$390,0,'Күнлик реже'!$S$8:$S$390,1)</x:f>
        <x:v>0</x:v>
      </x:c>
      <x:c r="G39" s="2" t="n">
        <x:f>COUNTIFS('Күнлик реже'!$C$8:$C$390,"&gt;="&amp;B39,'Күнлик реже'!$C$8:$C$390,"&lt;="&amp;C39,'Күнлик реже'!$N$8:$N$390,1)</x:f>
        <x:v>0</x:v>
      </x:c>
      <x:c r="H39" s="2" t="n">
        <x:f>D39-E39-F39-G39</x:f>
        <x:v>0</x:v>
      </x:c>
      <x:c r="I39" s="17" t="n">
        <x:f>SUMIFS('Күнлик реже'!$J$8:$J$390,'Күнлик реже'!$C$8:$C$390,"&gt;="&amp;B39,'Күнлик реже'!$C$8:$C$390,"&lt;="&amp;C39)/60</x:f>
        <x:v>0</x:v>
      </x:c>
      <x:c r="J39" s="17" t="n">
        <x:f>SUMIFS('Күнлик есабат'!$G$8:$G$507,'Күнлик есабат'!$A$8:$A$507,"&gt;="&amp;B39,'Күнлик есабат'!$A$8:$A$507,"&lt;="&amp;C39,'Күнлик есабат'!$L$8:$L$507,0,'Күнлик есабат'!$M$8:$M$507,0)/60</x:f>
        <x:v>0</x:v>
      </x:c>
    </x:row>
    <x:row r="40" ht="28" customHeight="1">
      <x:c r="A40" s="2" t="str">
        <x:v>33-ҳәпте</x:v>
      </x:c>
      <x:c r="B40" s="14" t="n">
        <x:v>46524</x:v>
      </x:c>
      <x:c r="C40" s="14" t="n">
        <x:v>46530</x:v>
      </x:c>
      <x:c r="D40" s="2" t="n">
        <x:f>COUNTIFS('Күнлик реже'!$C$8:$C$390,"&gt;="&amp;B40,'Күнлик реже'!$C$8:$C$390,"&lt;="&amp;C40)</x:f>
        <x:v>7</x:v>
      </x:c>
      <x:c r="E40" s="2" t="n">
        <x:f>D40-COUNTIFS('Күнлик реже'!$C$8:$C$390,"&gt;="&amp;B40,'Күнлик реже'!$C$8:$C$390,"&lt;="&amp;C40,'Күнлик реже'!$S$8:$S$390,1)</x:f>
        <x:v>7</x:v>
      </x:c>
      <x:c r="F40" s="2" t="n">
        <x:f>COUNTIFS('Күнлик реже'!$C$8:$C$390,"&gt;="&amp;B40,'Күнлик реже'!$C$8:$C$390,"&lt;="&amp;C40,'Күнлик реже'!$I$8:$I$390,0,'Күнлик реже'!$S$8:$S$390,1)</x:f>
        <x:v>0</x:v>
      </x:c>
      <x:c r="G40" s="2" t="n">
        <x:f>COUNTIFS('Күнлик реже'!$C$8:$C$390,"&gt;="&amp;B40,'Күнлик реже'!$C$8:$C$390,"&lt;="&amp;C40,'Күнлик реже'!$N$8:$N$390,1)</x:f>
        <x:v>0</x:v>
      </x:c>
      <x:c r="H40" s="2" t="n">
        <x:f>D40-E40-F40-G40</x:f>
        <x:v>0</x:v>
      </x:c>
      <x:c r="I40" s="17" t="n">
        <x:f>SUMIFS('Күнлик реже'!$J$8:$J$390,'Күнлик реже'!$C$8:$C$390,"&gt;="&amp;B40,'Күнлик реже'!$C$8:$C$390,"&lt;="&amp;C40)/60</x:f>
        <x:v>0</x:v>
      </x:c>
      <x:c r="J40" s="17" t="n">
        <x:f>SUMIFS('Күнлик есабат'!$G$8:$G$507,'Күнлик есабат'!$A$8:$A$507,"&gt;="&amp;B40,'Күнлик есабат'!$A$8:$A$507,"&lt;="&amp;C40,'Күнлик есабат'!$L$8:$L$507,0,'Күнлик есабат'!$M$8:$M$507,0)/60</x:f>
        <x:v>0</x:v>
      </x:c>
    </x:row>
    <x:row r="41" ht="28" customHeight="1">
      <x:c r="A41" s="2" t="str">
        <x:v>34-ҳәпте</x:v>
      </x:c>
      <x:c r="B41" s="14" t="n">
        <x:v>46531</x:v>
      </x:c>
      <x:c r="C41" s="14" t="n">
        <x:v>46537</x:v>
      </x:c>
      <x:c r="D41" s="2" t="n">
        <x:f>COUNTIFS('Күнлик реже'!$C$8:$C$390,"&gt;="&amp;B41,'Күнлик реже'!$C$8:$C$390,"&lt;="&amp;C41)</x:f>
        <x:v>7</x:v>
      </x:c>
      <x:c r="E41" s="2" t="n">
        <x:f>D41-COUNTIFS('Күнлик реже'!$C$8:$C$390,"&gt;="&amp;B41,'Күнлик реже'!$C$8:$C$390,"&lt;="&amp;C41,'Күнлик реже'!$S$8:$S$390,1)</x:f>
        <x:v>7</x:v>
      </x:c>
      <x:c r="F41" s="2" t="n">
        <x:f>COUNTIFS('Күнлик реже'!$C$8:$C$390,"&gt;="&amp;B41,'Күнлик реже'!$C$8:$C$390,"&lt;="&amp;C41,'Күнлик реже'!$I$8:$I$390,0,'Күнлик реже'!$S$8:$S$390,1)</x:f>
        <x:v>0</x:v>
      </x:c>
      <x:c r="G41" s="2" t="n">
        <x:f>COUNTIFS('Күнлик реже'!$C$8:$C$390,"&gt;="&amp;B41,'Күнлик реже'!$C$8:$C$390,"&lt;="&amp;C41,'Күнлик реже'!$N$8:$N$390,1)</x:f>
        <x:v>0</x:v>
      </x:c>
      <x:c r="H41" s="2" t="n">
        <x:f>D41-E41-F41-G41</x:f>
        <x:v>0</x:v>
      </x:c>
      <x:c r="I41" s="17" t="n">
        <x:f>SUMIFS('Күнлик реже'!$J$8:$J$390,'Күнлик реже'!$C$8:$C$390,"&gt;="&amp;B41,'Күнлик реже'!$C$8:$C$390,"&lt;="&amp;C41)/60</x:f>
        <x:v>0</x:v>
      </x:c>
      <x:c r="J41" s="17" t="n">
        <x:f>SUMIFS('Күнлик есабат'!$G$8:$G$507,'Күнлик есабат'!$A$8:$A$507,"&gt;="&amp;B41,'Күнлик есабат'!$A$8:$A$507,"&lt;="&amp;C41,'Күнлик есабат'!$L$8:$L$507,0,'Күнлик есабат'!$M$8:$M$507,0)/60</x:f>
        <x:v>0</x:v>
      </x:c>
    </x:row>
    <x:row r="42" ht="28" customHeight="1">
      <x:c r="A42" s="2" t="str">
        <x:v>35-ҳәпте</x:v>
      </x:c>
      <x:c r="B42" s="14" t="n">
        <x:v>46538</x:v>
      </x:c>
      <x:c r="C42" s="14" t="n">
        <x:v>46544</x:v>
      </x:c>
      <x:c r="D42" s="2" t="n">
        <x:f>COUNTIFS('Күнлик реже'!$C$8:$C$390,"&gt;="&amp;B42,'Күнлик реже'!$C$8:$C$390,"&lt;="&amp;C42)</x:f>
        <x:v>0</x:v>
      </x:c>
      <x:c r="E42" s="2" t="n">
        <x:f>D42-COUNTIFS('Күнлик реже'!$C$8:$C$390,"&gt;="&amp;B42,'Күнлик реже'!$C$8:$C$390,"&lt;="&amp;C42,'Күнлик реже'!$S$8:$S$390,1)</x:f>
        <x:v>0</x:v>
      </x:c>
      <x:c r="F42" s="2" t="n">
        <x:f>COUNTIFS('Күнлик реже'!$C$8:$C$390,"&gt;="&amp;B42,'Күнлик реже'!$C$8:$C$390,"&lt;="&amp;C42,'Күнлик реже'!$I$8:$I$390,0,'Күнлик реже'!$S$8:$S$390,1)</x:f>
        <x:v>0</x:v>
      </x:c>
      <x:c r="G42" s="2" t="n">
        <x:f>COUNTIFS('Күнлик реже'!$C$8:$C$390,"&gt;="&amp;B42,'Күнлик реже'!$C$8:$C$390,"&lt;="&amp;C42,'Күнлик реже'!$N$8:$N$390,1)</x:f>
        <x:v>0</x:v>
      </x:c>
      <x:c r="H42" s="2" t="n">
        <x:f>D42-E42-F42-G42</x:f>
        <x:v>0</x:v>
      </x:c>
      <x:c r="I42" s="17" t="n">
        <x:f>SUMIFS('Күнлик реже'!$J$8:$J$390,'Күнлик реже'!$C$8:$C$390,"&gt;="&amp;B42,'Күнлик реже'!$C$8:$C$390,"&lt;="&amp;C42)/60</x:f>
        <x:v>0</x:v>
      </x:c>
      <x:c r="J42" s="17" t="n">
        <x:f>SUMIFS('Күнлик есабат'!$G$8:$G$507,'Күнлик есабат'!$A$8:$A$507,"&gt;="&amp;B42,'Күнлик есабат'!$A$8:$A$507,"&lt;="&amp;C42,'Күнлик есабат'!$L$8:$L$507,0,'Күнлик есабат'!$M$8:$M$507,0)/60</x:f>
        <x:v>0</x:v>
      </x:c>
    </x:row>
    <x:row r="43" ht="28" customHeight="1">
      <x:c r="A43" s="2" t="str">
        <x:v>36-ҳәпте</x:v>
      </x:c>
      <x:c r="B43" s="14" t="n">
        <x:v>46545</x:v>
      </x:c>
      <x:c r="C43" s="14" t="n">
        <x:v>46551</x:v>
      </x:c>
      <x:c r="D43" s="2" t="n">
        <x:f>COUNTIFS('Күнлик реже'!$C$8:$C$390,"&gt;="&amp;B43,'Күнлик реже'!$C$8:$C$390,"&lt;="&amp;C43)</x:f>
        <x:v>8</x:v>
      </x:c>
      <x:c r="E43" s="2" t="n">
        <x:f>D43-COUNTIFS('Күнлик реже'!$C$8:$C$390,"&gt;="&amp;B43,'Күнлик реже'!$C$8:$C$390,"&lt;="&amp;C43,'Күнлик реже'!$S$8:$S$390,1)</x:f>
        <x:v>8</x:v>
      </x:c>
      <x:c r="F43" s="2" t="n">
        <x:f>COUNTIFS('Күнлик реже'!$C$8:$C$390,"&gt;="&amp;B43,'Күнлик реже'!$C$8:$C$390,"&lt;="&amp;C43,'Күнлик реже'!$I$8:$I$390,0,'Күнлик реже'!$S$8:$S$390,1)</x:f>
        <x:v>0</x:v>
      </x:c>
      <x:c r="G43" s="2" t="n">
        <x:f>COUNTIFS('Күнлик реже'!$C$8:$C$390,"&gt;="&amp;B43,'Күнлик реже'!$C$8:$C$390,"&lt;="&amp;C43,'Күнлик реже'!$N$8:$N$390,1)</x:f>
        <x:v>0</x:v>
      </x:c>
      <x:c r="H43" s="2" t="n">
        <x:f>D43-E43-F43-G43</x:f>
        <x:v>0</x:v>
      </x:c>
      <x:c r="I43" s="17" t="n">
        <x:f>SUMIFS('Күнлик реже'!$J$8:$J$390,'Күнлик реже'!$C$8:$C$390,"&gt;="&amp;B43,'Күнлик реже'!$C$8:$C$390,"&lt;="&amp;C43)/60</x:f>
        <x:v>0</x:v>
      </x:c>
      <x:c r="J43" s="17" t="n">
        <x:f>SUMIFS('Күнлик есабат'!$G$8:$G$507,'Күнлик есабат'!$A$8:$A$507,"&gt;="&amp;B43,'Күнлик есабат'!$A$8:$A$507,"&lt;="&amp;C43,'Күнлик есабат'!$L$8:$L$507,0,'Күнлик есабат'!$M$8:$M$507,0)/60</x:f>
        <x:v>0</x:v>
      </x:c>
    </x:row>
    <x:row r="44" ht="28" customHeight="1">
      <x:c r="A44" s="2" t="str">
        <x:v>37-ҳәпте</x:v>
      </x:c>
      <x:c r="B44" s="14" t="n">
        <x:v>46552</x:v>
      </x:c>
      <x:c r="C44" s="14" t="n">
        <x:v>46558</x:v>
      </x:c>
      <x:c r="D44" s="2" t="n">
        <x:f>COUNTIFS('Күнлик реже'!$C$8:$C$390,"&gt;="&amp;B44,'Күнлик реже'!$C$8:$C$390,"&lt;="&amp;C44)</x:f>
        <x:v>7</x:v>
      </x:c>
      <x:c r="E44" s="2" t="n">
        <x:f>D44-COUNTIFS('Күнлик реже'!$C$8:$C$390,"&gt;="&amp;B44,'Күнлик реже'!$C$8:$C$390,"&lt;="&amp;C44,'Күнлик реже'!$S$8:$S$390,1)</x:f>
        <x:v>7</x:v>
      </x:c>
      <x:c r="F44" s="2" t="n">
        <x:f>COUNTIFS('Күнлик реже'!$C$8:$C$390,"&gt;="&amp;B44,'Күнлик реже'!$C$8:$C$390,"&lt;="&amp;C44,'Күнлик реже'!$I$8:$I$390,0,'Күнлик реже'!$S$8:$S$390,1)</x:f>
        <x:v>0</x:v>
      </x:c>
      <x:c r="G44" s="2" t="n">
        <x:f>COUNTIFS('Күнлик реже'!$C$8:$C$390,"&gt;="&amp;B44,'Күнлик реже'!$C$8:$C$390,"&lt;="&amp;C44,'Күнлик реже'!$N$8:$N$390,1)</x:f>
        <x:v>0</x:v>
      </x:c>
      <x:c r="H44" s="2" t="n">
        <x:f>D44-E44-F44-G44</x:f>
        <x:v>0</x:v>
      </x:c>
      <x:c r="I44" s="17" t="n">
        <x:f>SUMIFS('Күнлик реже'!$J$8:$J$390,'Күнлик реже'!$C$8:$C$390,"&gt;="&amp;B44,'Күнлик реже'!$C$8:$C$390,"&lt;="&amp;C44)/60</x:f>
        <x:v>0</x:v>
      </x:c>
      <x:c r="J44" s="17" t="n">
        <x:f>SUMIFS('Күнлик есабат'!$G$8:$G$507,'Күнлик есабат'!$A$8:$A$507,"&gt;="&amp;B44,'Күнлик есабат'!$A$8:$A$507,"&lt;="&amp;C44,'Күнлик есабат'!$L$8:$L$507,0,'Күнлик есабат'!$M$8:$M$507,0)/60</x:f>
        <x:v>0</x:v>
      </x:c>
    </x:row>
    <x:row r="45" ht="28" customHeight="1">
      <x:c r="A45" s="2" t="str">
        <x:v>38-ҳәпте</x:v>
      </x:c>
      <x:c r="B45" s="14" t="n">
        <x:v>46559</x:v>
      </x:c>
      <x:c r="C45" s="14" t="n">
        <x:v>46565</x:v>
      </x:c>
      <x:c r="D45" s="2" t="n">
        <x:f>COUNTIFS('Күнлик реже'!$C$8:$C$390,"&gt;="&amp;B45,'Күнлик реже'!$C$8:$C$390,"&lt;="&amp;C45)</x:f>
        <x:v>7</x:v>
      </x:c>
      <x:c r="E45" s="2" t="n">
        <x:f>D45-COUNTIFS('Күнлик реже'!$C$8:$C$390,"&gt;="&amp;B45,'Күнлик реже'!$C$8:$C$390,"&lt;="&amp;C45,'Күнлик реже'!$S$8:$S$390,1)</x:f>
        <x:v>7</x:v>
      </x:c>
      <x:c r="F45" s="2" t="n">
        <x:f>COUNTIFS('Күнлик реже'!$C$8:$C$390,"&gt;="&amp;B45,'Күнлик реже'!$C$8:$C$390,"&lt;="&amp;C45,'Күнлик реже'!$I$8:$I$390,0,'Күнлик реже'!$S$8:$S$390,1)</x:f>
        <x:v>0</x:v>
      </x:c>
      <x:c r="G45" s="2" t="n">
        <x:f>COUNTIFS('Күнлик реже'!$C$8:$C$390,"&gt;="&amp;B45,'Күнлик реже'!$C$8:$C$390,"&lt;="&amp;C45,'Күнлик реже'!$N$8:$N$390,1)</x:f>
        <x:v>0</x:v>
      </x:c>
      <x:c r="H45" s="2" t="n">
        <x:f>D45-E45-F45-G45</x:f>
        <x:v>0</x:v>
      </x:c>
      <x:c r="I45" s="17" t="n">
        <x:f>SUMIFS('Күнлик реже'!$J$8:$J$390,'Күнлик реже'!$C$8:$C$390,"&gt;="&amp;B45,'Күнлик реже'!$C$8:$C$390,"&lt;="&amp;C45)/60</x:f>
        <x:v>0</x:v>
      </x:c>
      <x:c r="J45" s="17" t="n">
        <x:f>SUMIFS('Күнлик есабат'!$G$8:$G$507,'Күнлик есабат'!$A$8:$A$507,"&gt;="&amp;B45,'Күнлик есабат'!$A$8:$A$507,"&lt;="&amp;C45,'Күнлик есабат'!$L$8:$L$507,0,'Күнлик есабат'!$M$8:$M$507,0)/60</x:f>
        <x:v>0</x:v>
      </x:c>
    </x:row>
    <x:row r="46" ht="28" customHeight="1">
      <x:c r="A46" s="2" t="str">
        <x:v>39-ҳәпте</x:v>
      </x:c>
      <x:c r="B46" s="14" t="n">
        <x:v>46566</x:v>
      </x:c>
      <x:c r="C46" s="14" t="n">
        <x:v>46572</x:v>
      </x:c>
      <x:c r="D46" s="2" t="n">
        <x:f>COUNTIFS('Күнлик реже'!$C$8:$C$390,"&gt;="&amp;B46,'Күнлик реже'!$C$8:$C$390,"&lt;="&amp;C46)</x:f>
        <x:v>0</x:v>
      </x:c>
      <x:c r="E46" s="2" t="n">
        <x:f>D46-COUNTIFS('Күнлик реже'!$C$8:$C$390,"&gt;="&amp;B46,'Күнлик реже'!$C$8:$C$390,"&lt;="&amp;C46,'Күнлик реже'!$S$8:$S$390,1)</x:f>
        <x:v>0</x:v>
      </x:c>
      <x:c r="F46" s="2" t="n">
        <x:f>COUNTIFS('Күнлик реже'!$C$8:$C$390,"&gt;="&amp;B46,'Күнлик реже'!$C$8:$C$390,"&lt;="&amp;C46,'Күнлик реже'!$I$8:$I$390,0,'Күнлик реже'!$S$8:$S$390,1)</x:f>
        <x:v>0</x:v>
      </x:c>
      <x:c r="G46" s="2" t="n">
        <x:f>COUNTIFS('Күнлик реже'!$C$8:$C$390,"&gt;="&amp;B46,'Күнлик реже'!$C$8:$C$390,"&lt;="&amp;C46,'Күнлик реже'!$N$8:$N$390,1)</x:f>
        <x:v>0</x:v>
      </x:c>
      <x:c r="H46" s="2" t="n">
        <x:f>D46-E46-F46-G46</x:f>
        <x:v>0</x:v>
      </x:c>
      <x:c r="I46" s="17" t="n">
        <x:f>SUMIFS('Күнлик реже'!$J$8:$J$390,'Күнлик реже'!$C$8:$C$390,"&gt;="&amp;B46,'Күнлик реже'!$C$8:$C$390,"&lt;="&amp;C46)/60</x:f>
        <x:v>0</x:v>
      </x:c>
      <x:c r="J46" s="17" t="n">
        <x:f>SUMIFS('Күнлик есабат'!$G$8:$G$507,'Күнлик есабат'!$A$8:$A$507,"&gt;="&amp;B46,'Күнлик есабат'!$A$8:$A$507,"&lt;="&amp;C46,'Күнлик есабат'!$L$8:$L$507,0,'Күнлик есабат'!$M$8:$M$507,0)/60</x:f>
        <x:v>0</x:v>
      </x:c>
    </x:row>
    <x:row r="47" ht="28" customHeight="1">
      <x:c r="A47" s="2" t="str">
        <x:v>40-ҳәпте</x:v>
      </x:c>
      <x:c r="B47" s="14" t="n">
        <x:v>46573</x:v>
      </x:c>
      <x:c r="C47" s="14" t="n">
        <x:v>46579</x:v>
      </x:c>
      <x:c r="D47" s="2" t="n">
        <x:f>COUNTIFS('Күнлик реже'!$C$8:$C$390,"&gt;="&amp;B47,'Күнлик реже'!$C$8:$C$390,"&lt;="&amp;C47)</x:f>
        <x:v>3</x:v>
      </x:c>
      <x:c r="E47" s="2" t="n">
        <x:f>D47-COUNTIFS('Күнлик реже'!$C$8:$C$390,"&gt;="&amp;B47,'Күнлик реже'!$C$8:$C$390,"&lt;="&amp;C47,'Күнлик реже'!$S$8:$S$390,1)</x:f>
        <x:v>3</x:v>
      </x:c>
      <x:c r="F47" s="2" t="n">
        <x:f>COUNTIFS('Күнлик реже'!$C$8:$C$390,"&gt;="&amp;B47,'Күнлик реже'!$C$8:$C$390,"&lt;="&amp;C47,'Күнлик реже'!$I$8:$I$390,0,'Күнлик реже'!$S$8:$S$390,1)</x:f>
        <x:v>0</x:v>
      </x:c>
      <x:c r="G47" s="2" t="n">
        <x:f>COUNTIFS('Күнлик реже'!$C$8:$C$390,"&gt;="&amp;B47,'Күнлик реже'!$C$8:$C$390,"&lt;="&amp;C47,'Күнлик реже'!$N$8:$N$390,1)</x:f>
        <x:v>0</x:v>
      </x:c>
      <x:c r="H47" s="2" t="n">
        <x:f>D47-E47-F47-G47</x:f>
        <x:v>0</x:v>
      </x:c>
      <x:c r="I47" s="17" t="n">
        <x:f>SUMIFS('Күнлик реже'!$J$8:$J$390,'Күнлик реже'!$C$8:$C$390,"&gt;="&amp;B47,'Күнлик реже'!$C$8:$C$390,"&lt;="&amp;C47)/60</x:f>
        <x:v>0</x:v>
      </x:c>
      <x:c r="J47" s="17" t="n">
        <x:f>SUMIFS('Күнлик есабат'!$G$8:$G$507,'Күнлик есабат'!$A$8:$A$507,"&gt;="&amp;B47,'Күнлик есабат'!$A$8:$A$507,"&lt;="&amp;C47,'Күнлик есабат'!$L$8:$L$507,0,'Күнлик есабат'!$M$8:$M$507,0)/60</x:f>
        <x:v>0</x:v>
      </x:c>
    </x:row>
    <x:row r="48" ht="28" customHeight="1">
      <x:c r="A48" s="2" t="str">
        <x:v>41-ҳәпте</x:v>
      </x:c>
      <x:c r="B48" s="14" t="n">
        <x:v>46580</x:v>
      </x:c>
      <x:c r="C48" s="14" t="n">
        <x:v>46586</x:v>
      </x:c>
      <x:c r="D48" s="2" t="n">
        <x:f>COUNTIFS('Күнлик реже'!$C$8:$C$390,"&gt;="&amp;B48,'Күнлик реже'!$C$8:$C$390,"&lt;="&amp;C48)</x:f>
        <x:v>12</x:v>
      </x:c>
      <x:c r="E48" s="2" t="n">
        <x:f>D48-COUNTIFS('Күнлик реже'!$C$8:$C$390,"&gt;="&amp;B48,'Күнлик реже'!$C$8:$C$390,"&lt;="&amp;C48,'Күнлик реже'!$S$8:$S$390,1)</x:f>
        <x:v>12</x:v>
      </x:c>
      <x:c r="F48" s="2" t="n">
        <x:f>COUNTIFS('Күнлик реже'!$C$8:$C$390,"&gt;="&amp;B48,'Күнлик реже'!$C$8:$C$390,"&lt;="&amp;C48,'Күнлик реже'!$I$8:$I$390,0,'Күнлик реже'!$S$8:$S$390,1)</x:f>
        <x:v>0</x:v>
      </x:c>
      <x:c r="G48" s="2" t="n">
        <x:f>COUNTIFS('Күнлик реже'!$C$8:$C$390,"&gt;="&amp;B48,'Күнлик реже'!$C$8:$C$390,"&lt;="&amp;C48,'Күнлик реже'!$N$8:$N$390,1)</x:f>
        <x:v>0</x:v>
      </x:c>
      <x:c r="H48" s="2" t="n">
        <x:f>D48-E48-F48-G48</x:f>
        <x:v>0</x:v>
      </x:c>
      <x:c r="I48" s="17" t="n">
        <x:f>SUMIFS('Күнлик реже'!$J$8:$J$390,'Күнлик реже'!$C$8:$C$390,"&gt;="&amp;B48,'Күнлик реже'!$C$8:$C$390,"&lt;="&amp;C48)/60</x:f>
        <x:v>0</x:v>
      </x:c>
      <x:c r="J48" s="17" t="n">
        <x:f>SUMIFS('Күнлик есабат'!$G$8:$G$507,'Күнлик есабат'!$A$8:$A$507,"&gt;="&amp;B48,'Күнлик есабат'!$A$8:$A$507,"&lt;="&amp;C48,'Күнлик есабат'!$L$8:$L$507,0,'Күнлик есабат'!$M$8:$M$507,0)/60</x:f>
        <x:v>0</x:v>
      </x:c>
    </x:row>
    <x:row r="49" ht="28" customHeight="1">
      <x:c r="A49" s="2" t="str">
        <x:v>42-ҳәпте</x:v>
      </x:c>
      <x:c r="B49" s="14" t="n">
        <x:v>46587</x:v>
      </x:c>
      <x:c r="C49" s="14" t="n">
        <x:v>46593</x:v>
      </x:c>
      <x:c r="D49" s="2" t="n">
        <x:f>COUNTIFS('Күнлик реже'!$C$8:$C$390,"&gt;="&amp;B49,'Күнлик реже'!$C$8:$C$390,"&lt;="&amp;C49)</x:f>
        <x:v>1</x:v>
      </x:c>
      <x:c r="E49" s="2" t="n">
        <x:f>D49-COUNTIFS('Күнлик реже'!$C$8:$C$390,"&gt;="&amp;B49,'Күнлик реже'!$C$8:$C$390,"&lt;="&amp;C49,'Күнлик реже'!$S$8:$S$390,1)</x:f>
        <x:v>1</x:v>
      </x:c>
      <x:c r="F49" s="2" t="n">
        <x:f>COUNTIFS('Күнлик реже'!$C$8:$C$390,"&gt;="&amp;B49,'Күнлик реже'!$C$8:$C$390,"&lt;="&amp;C49,'Күнлик реже'!$I$8:$I$390,0,'Күнлик реже'!$S$8:$S$390,1)</x:f>
        <x:v>0</x:v>
      </x:c>
      <x:c r="G49" s="2" t="n">
        <x:f>COUNTIFS('Күнлик реже'!$C$8:$C$390,"&gt;="&amp;B49,'Күнлик реже'!$C$8:$C$390,"&lt;="&amp;C49,'Күнлик реже'!$N$8:$N$390,1)</x:f>
        <x:v>0</x:v>
      </x:c>
      <x:c r="H49" s="2" t="n">
        <x:f>D49-E49-F49-G49</x:f>
        <x:v>0</x:v>
      </x:c>
      <x:c r="I49" s="17" t="n">
        <x:f>SUMIFS('Күнлик реже'!$J$8:$J$390,'Күнлик реже'!$C$8:$C$390,"&gt;="&amp;B49,'Күнлик реже'!$C$8:$C$390,"&lt;="&amp;C49)/60</x:f>
        <x:v>0</x:v>
      </x:c>
      <x:c r="J49" s="17" t="n">
        <x:f>SUMIFS('Күнлик есабат'!$G$8:$G$507,'Күнлик есабат'!$A$8:$A$507,"&gt;="&amp;B49,'Күнлик есабат'!$A$8:$A$507,"&lt;="&amp;C49,'Күнлик есабат'!$L$8:$L$507,0,'Күнлик есабат'!$M$8:$M$507,0)/60</x:f>
        <x:v>0</x:v>
      </x:c>
    </x:row>
    <x:row r="50" ht="28" customHeight="1">
      <x:c r="A50" s="2" t="str">
        <x:v>43-ҳәпте</x:v>
      </x:c>
      <x:c r="B50" s="14" t="n">
        <x:v>46594</x:v>
      </x:c>
      <x:c r="C50" s="14" t="n">
        <x:v>46600</x:v>
      </x:c>
      <x:c r="D50" s="2" t="n">
        <x:f>COUNTIFS('Күнлик реже'!$C$8:$C$390,"&gt;="&amp;B50,'Күнлик реже'!$C$8:$C$390,"&lt;="&amp;C50)</x:f>
        <x:v>7</x:v>
      </x:c>
      <x:c r="E50" s="2" t="n">
        <x:f>D50-COUNTIFS('Күнлик реже'!$C$8:$C$390,"&gt;="&amp;B50,'Күнлик реже'!$C$8:$C$390,"&lt;="&amp;C50,'Күнлик реже'!$S$8:$S$390,1)</x:f>
        <x:v>7</x:v>
      </x:c>
      <x:c r="F50" s="2" t="n">
        <x:f>COUNTIFS('Күнлик реже'!$C$8:$C$390,"&gt;="&amp;B50,'Күнлик реже'!$C$8:$C$390,"&lt;="&amp;C50,'Күнлик реже'!$I$8:$I$390,0,'Күнлик реже'!$S$8:$S$390,1)</x:f>
        <x:v>0</x:v>
      </x:c>
      <x:c r="G50" s="2" t="n">
        <x:f>COUNTIFS('Күнлик реже'!$C$8:$C$390,"&gt;="&amp;B50,'Күнлик реже'!$C$8:$C$390,"&lt;="&amp;C50,'Күнлик реже'!$N$8:$N$390,1)</x:f>
        <x:v>0</x:v>
      </x:c>
      <x:c r="H50" s="2" t="n">
        <x:f>D50-E50-F50-G50</x:f>
        <x:v>0</x:v>
      </x:c>
      <x:c r="I50" s="17" t="n">
        <x:f>SUMIFS('Күнлик реже'!$J$8:$J$390,'Күнлик реже'!$C$8:$C$390,"&gt;="&amp;B50,'Күнлик реже'!$C$8:$C$390,"&lt;="&amp;C50)/60</x:f>
        <x:v>0</x:v>
      </x:c>
      <x:c r="J50" s="17" t="n">
        <x:f>SUMIFS('Күнлик есабат'!$G$8:$G$507,'Күнлик есабат'!$A$8:$A$507,"&gt;="&amp;B50,'Күнлик есабат'!$A$8:$A$507,"&lt;="&amp;C50,'Күнлик есабат'!$L$8:$L$507,0,'Күнлик есабат'!$M$8:$M$507,0)/60</x:f>
        <x:v>0</x:v>
      </x:c>
    </x:row>
    <x:row r="51" ht="28" customHeight="1">
      <x:c r="A51" s="2" t="str">
        <x:v>44-ҳәпте</x:v>
      </x:c>
      <x:c r="B51" s="14" t="n">
        <x:v>46601</x:v>
      </x:c>
      <x:c r="C51" s="14" t="n">
        <x:v>46607</x:v>
      </x:c>
      <x:c r="D51" s="2" t="n">
        <x:f>COUNTIFS('Күнлик реже'!$C$8:$C$390,"&gt;="&amp;B51,'Күнлик реже'!$C$8:$C$390,"&lt;="&amp;C51)</x:f>
        <x:v>3</x:v>
      </x:c>
      <x:c r="E51" s="2" t="n">
        <x:f>D51-COUNTIFS('Күнлик реже'!$C$8:$C$390,"&gt;="&amp;B51,'Күнлик реже'!$C$8:$C$390,"&lt;="&amp;C51,'Күнлик реже'!$S$8:$S$390,1)</x:f>
        <x:v>3</x:v>
      </x:c>
      <x:c r="F51" s="2" t="n">
        <x:f>COUNTIFS('Күнлик реже'!$C$8:$C$390,"&gt;="&amp;B51,'Күнлик реже'!$C$8:$C$390,"&lt;="&amp;C51,'Күнлик реже'!$I$8:$I$390,0,'Күнлик реже'!$S$8:$S$390,1)</x:f>
        <x:v>0</x:v>
      </x:c>
      <x:c r="G51" s="2" t="n">
        <x:f>COUNTIFS('Күнлик реже'!$C$8:$C$390,"&gt;="&amp;B51,'Күнлик реже'!$C$8:$C$390,"&lt;="&amp;C51,'Күнлик реже'!$N$8:$N$390,1)</x:f>
        <x:v>0</x:v>
      </x:c>
      <x:c r="H51" s="2" t="n">
        <x:f>D51-E51-F51-G51</x:f>
        <x:v>0</x:v>
      </x:c>
      <x:c r="I51" s="17" t="n">
        <x:f>SUMIFS('Күнлик реже'!$J$8:$J$390,'Күнлик реже'!$C$8:$C$390,"&gt;="&amp;B51,'Күнлик реже'!$C$8:$C$390,"&lt;="&amp;C51)/60</x:f>
        <x:v>0</x:v>
      </x:c>
      <x:c r="J51" s="17" t="n">
        <x:f>SUMIFS('Күнлик есабат'!$G$8:$G$507,'Күнлик есабат'!$A$8:$A$507,"&gt;="&amp;B51,'Күнлик есабат'!$A$8:$A$507,"&lt;="&amp;C51,'Күнлик есабат'!$L$8:$L$507,0,'Күнлик есабат'!$M$8:$M$507,0)/60</x:f>
        <x:v>0</x:v>
      </x:c>
    </x:row>
    <x:row r="52" ht="28" customHeight="1">
      <x:c r="A52" s="2" t="str">
        <x:v>45-ҳәпте</x:v>
      </x:c>
      <x:c r="B52" s="14" t="n">
        <x:v>46608</x:v>
      </x:c>
      <x:c r="C52" s="14" t="n">
        <x:v>46614</x:v>
      </x:c>
      <x:c r="D52" s="2" t="n">
        <x:f>COUNTIFS('Күнлик реже'!$C$8:$C$390,"&gt;="&amp;B52,'Күнлик реже'!$C$8:$C$390,"&lt;="&amp;C52)</x:f>
        <x:v>5</x:v>
      </x:c>
      <x:c r="E52" s="2" t="n">
        <x:f>D52-COUNTIFS('Күнлик реже'!$C$8:$C$390,"&gt;="&amp;B52,'Күнлик реже'!$C$8:$C$390,"&lt;="&amp;C52,'Күнлик реже'!$S$8:$S$390,1)</x:f>
        <x:v>5</x:v>
      </x:c>
      <x:c r="F52" s="2" t="n">
        <x:f>COUNTIFS('Күнлик реже'!$C$8:$C$390,"&gt;="&amp;B52,'Күнлик реже'!$C$8:$C$390,"&lt;="&amp;C52,'Күнлик реже'!$I$8:$I$390,0,'Күнлик реже'!$S$8:$S$390,1)</x:f>
        <x:v>0</x:v>
      </x:c>
      <x:c r="G52" s="2" t="n">
        <x:f>COUNTIFS('Күнлик реже'!$C$8:$C$390,"&gt;="&amp;B52,'Күнлик реже'!$C$8:$C$390,"&lt;="&amp;C52,'Күнлик реже'!$N$8:$N$390,1)</x:f>
        <x:v>0</x:v>
      </x:c>
      <x:c r="H52" s="2" t="n">
        <x:f>D52-E52-F52-G52</x:f>
        <x:v>0</x:v>
      </x:c>
      <x:c r="I52" s="17" t="n">
        <x:f>SUMIFS('Күнлик реже'!$J$8:$J$390,'Күнлик реже'!$C$8:$C$390,"&gt;="&amp;B52,'Күнлик реже'!$C$8:$C$390,"&lt;="&amp;C52)/60</x:f>
        <x:v>0</x:v>
      </x:c>
      <x:c r="J52" s="17" t="n">
        <x:f>SUMIFS('Күнлик есабат'!$G$8:$G$507,'Күнлик есабат'!$A$8:$A$507,"&gt;="&amp;B52,'Күнлик есабат'!$A$8:$A$507,"&lt;="&amp;C52,'Күнлик есабат'!$L$8:$L$507,0,'Күнлик есабат'!$M$8:$M$507,0)/60</x:f>
        <x:v>0</x:v>
      </x:c>
    </x:row>
    <x:row r="53" ht="28" customHeight="1">
      <x:c r="A53" s="2" t="str">
        <x:v>46-ҳәпте</x:v>
      </x:c>
      <x:c r="B53" s="14" t="n">
        <x:v>46615</x:v>
      </x:c>
      <x:c r="C53" s="14" t="n">
        <x:v>46621</x:v>
      </x:c>
      <x:c r="D53" s="2" t="n">
        <x:f>COUNTIFS('Күнлик реже'!$C$8:$C$390,"&gt;="&amp;B53,'Күнлик реже'!$C$8:$C$390,"&lt;="&amp;C53)</x:f>
        <x:v>7</x:v>
      </x:c>
      <x:c r="E53" s="2" t="n">
        <x:f>D53-COUNTIFS('Күнлик реже'!$C$8:$C$390,"&gt;="&amp;B53,'Күнлик реже'!$C$8:$C$390,"&lt;="&amp;C53,'Күнлик реже'!$S$8:$S$390,1)</x:f>
        <x:v>7</x:v>
      </x:c>
      <x:c r="F53" s="2" t="n">
        <x:f>COUNTIFS('Күнлик реже'!$C$8:$C$390,"&gt;="&amp;B53,'Күнлик реже'!$C$8:$C$390,"&lt;="&amp;C53,'Күнлик реже'!$I$8:$I$390,0,'Күнлик реже'!$S$8:$S$390,1)</x:f>
        <x:v>0</x:v>
      </x:c>
      <x:c r="G53" s="2" t="n">
        <x:f>COUNTIFS('Күнлик реже'!$C$8:$C$390,"&gt;="&amp;B53,'Күнлик реже'!$C$8:$C$390,"&lt;="&amp;C53,'Күнлик реже'!$N$8:$N$390,1)</x:f>
        <x:v>0</x:v>
      </x:c>
      <x:c r="H53" s="2" t="n">
        <x:f>D53-E53-F53-G53</x:f>
        <x:v>0</x:v>
      </x:c>
      <x:c r="I53" s="17" t="n">
        <x:f>SUMIFS('Күнлик реже'!$J$8:$J$390,'Күнлик реже'!$C$8:$C$390,"&gt;="&amp;B53,'Күнлик реже'!$C$8:$C$390,"&lt;="&amp;C53)/60</x:f>
        <x:v>0</x:v>
      </x:c>
      <x:c r="J53" s="17" t="n">
        <x:f>SUMIFS('Күнлик есабат'!$G$8:$G$507,'Күнлик есабат'!$A$8:$A$507,"&gt;="&amp;B53,'Күнлик есабат'!$A$8:$A$507,"&lt;="&amp;C53,'Күнлик есабат'!$L$8:$L$507,0,'Күнлик есабат'!$M$8:$M$507,0)/60</x:f>
        <x:v>0</x:v>
      </x:c>
    </x:row>
    <x:row r="54" ht="28" customHeight="1">
      <x:c r="A54" s="2" t="str">
        <x:v>47-ҳәпте</x:v>
      </x:c>
      <x:c r="B54" s="14" t="n">
        <x:v>46622</x:v>
      </x:c>
      <x:c r="C54" s="14" t="n">
        <x:v>46628</x:v>
      </x:c>
      <x:c r="D54" s="2" t="n">
        <x:f>COUNTIFS('Күнлик реже'!$C$8:$C$390,"&gt;="&amp;B54,'Күнлик реже'!$C$8:$C$390,"&lt;="&amp;C54)</x:f>
        <x:v>7</x:v>
      </x:c>
      <x:c r="E54" s="2" t="n">
        <x:f>D54-COUNTIFS('Күнлик реже'!$C$8:$C$390,"&gt;="&amp;B54,'Күнлик реже'!$C$8:$C$390,"&lt;="&amp;C54,'Күнлик реже'!$S$8:$S$390,1)</x:f>
        <x:v>7</x:v>
      </x:c>
      <x:c r="F54" s="2" t="n">
        <x:f>COUNTIFS('Күнлик реже'!$C$8:$C$390,"&gt;="&amp;B54,'Күнлик реже'!$C$8:$C$390,"&lt;="&amp;C54,'Күнлик реже'!$I$8:$I$390,0,'Күнлик реже'!$S$8:$S$390,1)</x:f>
        <x:v>0</x:v>
      </x:c>
      <x:c r="G54" s="2" t="n">
        <x:f>COUNTIFS('Күнлик реже'!$C$8:$C$390,"&gt;="&amp;B54,'Күнлик реже'!$C$8:$C$390,"&lt;="&amp;C54,'Күнлик реже'!$N$8:$N$390,1)</x:f>
        <x:v>0</x:v>
      </x:c>
      <x:c r="H54" s="2" t="n">
        <x:f>D54-E54-F54-G54</x:f>
        <x:v>0</x:v>
      </x:c>
      <x:c r="I54" s="17" t="n">
        <x:f>SUMIFS('Күнлик реже'!$J$8:$J$390,'Күнлик реже'!$C$8:$C$390,"&gt;="&amp;B54,'Күнлик реже'!$C$8:$C$390,"&lt;="&amp;C54)/60</x:f>
        <x:v>0</x:v>
      </x:c>
      <x:c r="J54" s="17" t="n">
        <x:f>SUMIFS('Күнлик есабат'!$G$8:$G$507,'Күнлик есабат'!$A$8:$A$507,"&gt;="&amp;B54,'Күнлик есабат'!$A$8:$A$507,"&lt;="&amp;C54,'Күнлик есабат'!$L$8:$L$507,0,'Күнлик есабат'!$M$8:$M$507,0)/60</x:f>
        <x:v>0</x:v>
      </x:c>
    </x:row>
    <x:row r="55" ht="28" customHeight="1">
      <x:c r="A55" s="2" t="str">
        <x:v>48-ҳәпте</x:v>
      </x:c>
      <x:c r="B55" s="14" t="n">
        <x:v>46629</x:v>
      </x:c>
      <x:c r="C55" s="14" t="n">
        <x:v>46635</x:v>
      </x:c>
      <x:c r="D55" s="2" t="n">
        <x:f>COUNTIFS('Күнлик реже'!$C$8:$C$390,"&gt;="&amp;B55,'Күнлик реже'!$C$8:$C$390,"&lt;="&amp;C55)</x:f>
        <x:v>0</x:v>
      </x:c>
      <x:c r="E55" s="2" t="n">
        <x:f>D55-COUNTIFS('Күнлик реже'!$C$8:$C$390,"&gt;="&amp;B55,'Күнлик реже'!$C$8:$C$390,"&lt;="&amp;C55,'Күнлик реже'!$S$8:$S$390,1)</x:f>
        <x:v>0</x:v>
      </x:c>
      <x:c r="F55" s="2" t="n">
        <x:f>COUNTIFS('Күнлик реже'!$C$8:$C$390,"&gt;="&amp;B55,'Күнлик реже'!$C$8:$C$390,"&lt;="&amp;C55,'Күнлик реже'!$I$8:$I$390,0,'Күнлик реже'!$S$8:$S$390,1)</x:f>
        <x:v>0</x:v>
      </x:c>
      <x:c r="G55" s="2" t="n">
        <x:f>COUNTIFS('Күнлик реже'!$C$8:$C$390,"&gt;="&amp;B55,'Күнлик реже'!$C$8:$C$390,"&lt;="&amp;C55,'Күнлик реже'!$N$8:$N$390,1)</x:f>
        <x:v>0</x:v>
      </x:c>
      <x:c r="H55" s="2" t="n">
        <x:f>D55-E55-F55-G55</x:f>
        <x:v>0</x:v>
      </x:c>
      <x:c r="I55" s="17" t="n">
        <x:f>SUMIFS('Күнлик реже'!$J$8:$J$390,'Күнлик реже'!$C$8:$C$390,"&gt;="&amp;B55,'Күнлик реже'!$C$8:$C$390,"&lt;="&amp;C55)/60</x:f>
        <x:v>0</x:v>
      </x:c>
      <x:c r="J55" s="17" t="n">
        <x:f>SUMIFS('Күнлик есабат'!$G$8:$G$507,'Күнлик есабат'!$A$8:$A$507,"&gt;="&amp;B55,'Күнлик есабат'!$A$8:$A$507,"&lt;="&amp;C55,'Күнлик есабат'!$L$8:$L$507,0,'Күнлик есабат'!$M$8:$M$507,0)/60</x:f>
        <x:v>0</x:v>
      </x:c>
    </x:row>
    <x:row r="56" ht="28" customHeight="1">
      <x:c r="A56" s="2" t="str">
        <x:v>49-ҳәпте</x:v>
      </x:c>
      <x:c r="B56" s="14" t="n">
        <x:v>46636</x:v>
      </x:c>
      <x:c r="C56" s="14" t="n">
        <x:v>46642</x:v>
      </x:c>
      <x:c r="D56" s="2" t="n">
        <x:f>COUNTIFS('Күнлик реже'!$C$8:$C$390,"&gt;="&amp;B56,'Күнлик реже'!$C$8:$C$390,"&lt;="&amp;C56)</x:f>
        <x:v>8</x:v>
      </x:c>
      <x:c r="E56" s="2" t="n">
        <x:f>D56-COUNTIFS('Күнлик реже'!$C$8:$C$390,"&gt;="&amp;B56,'Күнлик реже'!$C$8:$C$390,"&lt;="&amp;C56,'Күнлик реже'!$S$8:$S$390,1)</x:f>
        <x:v>8</x:v>
      </x:c>
      <x:c r="F56" s="2" t="n">
        <x:f>COUNTIFS('Күнлик реже'!$C$8:$C$390,"&gt;="&amp;B56,'Күнлик реже'!$C$8:$C$390,"&lt;="&amp;C56,'Күнлик реже'!$I$8:$I$390,0,'Күнлик реже'!$S$8:$S$390,1)</x:f>
        <x:v>0</x:v>
      </x:c>
      <x:c r="G56" s="2" t="n">
        <x:f>COUNTIFS('Күнлик реже'!$C$8:$C$390,"&gt;="&amp;B56,'Күнлик реже'!$C$8:$C$390,"&lt;="&amp;C56,'Күнлик реже'!$N$8:$N$390,1)</x:f>
        <x:v>0</x:v>
      </x:c>
      <x:c r="H56" s="2" t="n">
        <x:f>D56-E56-F56-G56</x:f>
        <x:v>0</x:v>
      </x:c>
      <x:c r="I56" s="17" t="n">
        <x:f>SUMIFS('Күнлик реже'!$J$8:$J$390,'Күнлик реже'!$C$8:$C$390,"&gt;="&amp;B56,'Күнлик реже'!$C$8:$C$390,"&lt;="&amp;C56)/60</x:f>
        <x:v>0</x:v>
      </x:c>
      <x:c r="J56" s="17" t="n">
        <x:f>SUMIFS('Күнлик есабат'!$G$8:$G$507,'Күнлик есабат'!$A$8:$A$507,"&gt;="&amp;B56,'Күнлик есабат'!$A$8:$A$507,"&lt;="&amp;C56,'Күнлик есабат'!$L$8:$L$507,0,'Күнлик есабат'!$M$8:$M$507,0)/60</x:f>
        <x:v>0</x:v>
      </x:c>
    </x:row>
    <x:row r="57" ht="28" customHeight="1">
      <x:c r="A57" s="2" t="str">
        <x:v>50-ҳәпте</x:v>
      </x:c>
      <x:c r="B57" s="14" t="n">
        <x:v>46643</x:v>
      </x:c>
      <x:c r="C57" s="14" t="n">
        <x:v>46649</x:v>
      </x:c>
      <x:c r="D57" s="2" t="n">
        <x:f>COUNTIFS('Күнлик реже'!$C$8:$C$390,"&gt;="&amp;B57,'Күнлик реже'!$C$8:$C$390,"&lt;="&amp;C57)</x:f>
        <x:v>6</x:v>
      </x:c>
      <x:c r="E57" s="2" t="n">
        <x:f>D57-COUNTIFS('Күнлик реже'!$C$8:$C$390,"&gt;="&amp;B57,'Күнлик реже'!$C$8:$C$390,"&lt;="&amp;C57,'Күнлик реже'!$S$8:$S$390,1)</x:f>
        <x:v>6</x:v>
      </x:c>
      <x:c r="F57" s="2" t="n">
        <x:f>COUNTIFS('Күнлик реже'!$C$8:$C$390,"&gt;="&amp;B57,'Күнлик реже'!$C$8:$C$390,"&lt;="&amp;C57,'Күнлик реже'!$I$8:$I$390,0,'Күнлик реже'!$S$8:$S$390,1)</x:f>
        <x:v>0</x:v>
      </x:c>
      <x:c r="G57" s="2" t="n">
        <x:f>COUNTIFS('Күнлик реже'!$C$8:$C$390,"&gt;="&amp;B57,'Күнлик реже'!$C$8:$C$390,"&lt;="&amp;C57,'Күнлик реже'!$N$8:$N$390,1)</x:f>
        <x:v>0</x:v>
      </x:c>
      <x:c r="H57" s="2" t="n">
        <x:f>D57-E57-F57-G57</x:f>
        <x:v>0</x:v>
      </x:c>
      <x:c r="I57" s="17" t="n">
        <x:f>SUMIFS('Күнлик реже'!$J$8:$J$390,'Күнлик реже'!$C$8:$C$390,"&gt;="&amp;B57,'Күнлик реже'!$C$8:$C$390,"&lt;="&amp;C57)/60</x:f>
        <x:v>0</x:v>
      </x:c>
      <x:c r="J57" s="17" t="n">
        <x:f>SUMIFS('Күнлик есабат'!$G$8:$G$507,'Күнлик есабат'!$A$8:$A$507,"&gt;="&amp;B57,'Күнлик есабат'!$A$8:$A$507,"&lt;="&amp;C57,'Күнлик есабат'!$L$8:$L$507,0,'Күнлик есабат'!$M$8:$M$507,0)/60</x:f>
        <x:v>0</x:v>
      </x:c>
    </x:row>
    <x:row r="58" ht="28" customHeight="1">
      <x:c r="A58" s="2" t="str">
        <x:v>51-ҳәпте</x:v>
      </x:c>
      <x:c r="B58" s="14" t="n">
        <x:v>46650</x:v>
      </x:c>
      <x:c r="C58" s="14" t="n">
        <x:v>46656</x:v>
      </x:c>
      <x:c r="D58" s="2" t="n">
        <x:f>COUNTIFS('Күнлик реже'!$C$8:$C$390,"&gt;="&amp;B58,'Күнлик реже'!$C$8:$C$390,"&lt;="&amp;C58)</x:f>
        <x:v>1</x:v>
      </x:c>
      <x:c r="E58" s="2" t="n">
        <x:f>D58-COUNTIFS('Күнлик реже'!$C$8:$C$390,"&gt;="&amp;B58,'Күнлик реже'!$C$8:$C$390,"&lt;="&amp;C58,'Күнлик реже'!$S$8:$S$390,1)</x:f>
        <x:v>1</x:v>
      </x:c>
      <x:c r="F58" s="2" t="n">
        <x:f>COUNTIFS('Күнлик реже'!$C$8:$C$390,"&gt;="&amp;B58,'Күнлик реже'!$C$8:$C$390,"&lt;="&amp;C58,'Күнлик реже'!$I$8:$I$390,0,'Күнлик реже'!$S$8:$S$390,1)</x:f>
        <x:v>0</x:v>
      </x:c>
      <x:c r="G58" s="2" t="n">
        <x:f>COUNTIFS('Күнлик реже'!$C$8:$C$390,"&gt;="&amp;B58,'Күнлик реже'!$C$8:$C$390,"&lt;="&amp;C58,'Күнлик реже'!$N$8:$N$390,1)</x:f>
        <x:v>0</x:v>
      </x:c>
      <x:c r="H58" s="2" t="n">
        <x:f>D58-E58-F58-G58</x:f>
        <x:v>0</x:v>
      </x:c>
      <x:c r="I58" s="17" t="n">
        <x:f>SUMIFS('Күнлик реже'!$J$8:$J$390,'Күнлик реже'!$C$8:$C$390,"&gt;="&amp;B58,'Күнлик реже'!$C$8:$C$390,"&lt;="&amp;C58)/60</x:f>
        <x:v>0</x:v>
      </x:c>
      <x:c r="J58" s="17" t="n">
        <x:f>SUMIFS('Күнлик есабат'!$G$8:$G$507,'Күнлик есабат'!$A$8:$A$507,"&gt;="&amp;B58,'Күнлик есабат'!$A$8:$A$507,"&lt;="&amp;C58,'Күнлик есабат'!$L$8:$L$507,0,'Күнлик есабат'!$M$8:$M$507,0)/60</x:f>
        <x:v>0</x:v>
      </x:c>
    </x:row>
    <x:row r="59" ht="28" customHeight="1">
      <x:c r="A59" s="2" t="str">
        <x:v>52-ҳәпте</x:v>
      </x:c>
      <x:c r="B59" s="14" t="n">
        <x:v>46657</x:v>
      </x:c>
      <x:c r="C59" s="14" t="n">
        <x:v>46663</x:v>
      </x:c>
      <x:c r="D59" s="2" t="n">
        <x:f>COUNTIFS('Күнлик реже'!$C$8:$C$390,"&gt;="&amp;B59,'Күнлик реже'!$C$8:$C$390,"&lt;="&amp;C59)</x:f>
        <x:v>7</x:v>
      </x:c>
      <x:c r="E59" s="2" t="n">
        <x:f>D59-COUNTIFS('Күнлик реже'!$C$8:$C$390,"&gt;="&amp;B59,'Күнлик реже'!$C$8:$C$390,"&lt;="&amp;C59,'Күнлик реже'!$S$8:$S$390,1)</x:f>
        <x:v>7</x:v>
      </x:c>
      <x:c r="F59" s="2" t="n">
        <x:f>COUNTIFS('Күнлик реже'!$C$8:$C$390,"&gt;="&amp;B59,'Күнлик реже'!$C$8:$C$390,"&lt;="&amp;C59,'Күнлик реже'!$I$8:$I$390,0,'Күнлик реже'!$S$8:$S$390,1)</x:f>
        <x:v>0</x:v>
      </x:c>
      <x:c r="G59" s="2" t="n">
        <x:f>COUNTIFS('Күнлик реже'!$C$8:$C$390,"&gt;="&amp;B59,'Күнлик реже'!$C$8:$C$390,"&lt;="&amp;C59,'Күнлик реже'!$N$8:$N$390,1)</x:f>
        <x:v>0</x:v>
      </x:c>
      <x:c r="H59" s="2" t="n">
        <x:f>D59-E59-F59-G59</x:f>
        <x:v>0</x:v>
      </x:c>
      <x:c r="I59" s="17" t="n">
        <x:f>SUMIFS('Күнлик реже'!$J$8:$J$390,'Күнлик реже'!$C$8:$C$390,"&gt;="&amp;B59,'Күнлик реже'!$C$8:$C$390,"&lt;="&amp;C59)/60</x:f>
        <x:v>0</x:v>
      </x:c>
      <x:c r="J59" s="17" t="n">
        <x:f>SUMIFS('Күнлик есабат'!$G$8:$G$507,'Күнлик есабат'!$A$8:$A$507,"&gt;="&amp;B59,'Күнлик есабат'!$A$8:$A$507,"&lt;="&amp;C59,'Күнлик есабат'!$L$8:$L$507,0,'Күнлик есабат'!$M$8:$M$507,0)/60</x:f>
        <x:v>0</x:v>
      </x:c>
    </x:row>
    <x:row r="60" ht="28" customHeight="1">
      <x:c r="A60" s="2" t="str">
        <x:v>53-ҳәпте</x:v>
      </x:c>
      <x:c r="B60" s="14" t="n">
        <x:v>46664</x:v>
      </x:c>
      <x:c r="C60" s="14" t="n">
        <x:v>46670</x:v>
      </x:c>
      <x:c r="D60" s="2" t="n">
        <x:f>COUNTIFS('Күнлик реже'!$C$8:$C$390,"&gt;="&amp;B60,'Күнлик реже'!$C$8:$C$390,"&lt;="&amp;C60)</x:f>
        <x:v>3</x:v>
      </x:c>
      <x:c r="E60" s="2" t="n">
        <x:f>D60-COUNTIFS('Күнлик реже'!$C$8:$C$390,"&gt;="&amp;B60,'Күнлик реже'!$C$8:$C$390,"&lt;="&amp;C60,'Күнлик реже'!$S$8:$S$390,1)</x:f>
        <x:v>3</x:v>
      </x:c>
      <x:c r="F60" s="2" t="n">
        <x:f>COUNTIFS('Күнлик реже'!$C$8:$C$390,"&gt;="&amp;B60,'Күнлик реже'!$C$8:$C$390,"&lt;="&amp;C60,'Күнлик реже'!$I$8:$I$390,0,'Күнлик реже'!$S$8:$S$390,1)</x:f>
        <x:v>0</x:v>
      </x:c>
      <x:c r="G60" s="2" t="n">
        <x:f>COUNTIFS('Күнлик реже'!$C$8:$C$390,"&gt;="&amp;B60,'Күнлик реже'!$C$8:$C$390,"&lt;="&amp;C60,'Күнлик реже'!$N$8:$N$390,1)</x:f>
        <x:v>0</x:v>
      </x:c>
      <x:c r="H60" s="2" t="n">
        <x:f>D60-E60-F60-G60</x:f>
        <x:v>0</x:v>
      </x:c>
      <x:c r="I60" s="17" t="n">
        <x:f>SUMIFS('Күнлик реже'!$J$8:$J$390,'Күнлик реже'!$C$8:$C$390,"&gt;="&amp;B60,'Күнлик реже'!$C$8:$C$390,"&lt;="&amp;C60)/60</x:f>
        <x:v>0</x:v>
      </x:c>
      <x:c r="J60" s="17" t="n">
        <x:f>SUMIFS('Күнлик есабат'!$G$8:$G$507,'Күнлик есабат'!$A$8:$A$507,"&gt;="&amp;B60,'Күнлик есабат'!$A$8:$A$507,"&lt;="&amp;C60,'Күнлик есабат'!$L$8:$L$507,0,'Күнлик есабат'!$M$8:$M$507,0)/60</x:f>
        <x:v>0</x:v>
      </x:c>
    </x:row>
    <x:row r="61" ht="28" customHeight="1">
      <x:c r="A61" s="2" t="str">
        <x:v>54-ҳәпте</x:v>
      </x:c>
      <x:c r="B61" s="14" t="n">
        <x:v>46671</x:v>
      </x:c>
      <x:c r="C61" s="14" t="n">
        <x:v>46677</x:v>
      </x:c>
      <x:c r="D61" s="2" t="n">
        <x:f>COUNTIFS('Күнлик реже'!$C$8:$C$390,"&gt;="&amp;B61,'Күнлик реже'!$C$8:$C$390,"&lt;="&amp;C61)</x:f>
        <x:v>12</x:v>
      </x:c>
      <x:c r="E61" s="2" t="n">
        <x:f>D61-COUNTIFS('Күнлик реже'!$C$8:$C$390,"&gt;="&amp;B61,'Күнлик реже'!$C$8:$C$390,"&lt;="&amp;C61,'Күнлик реже'!$S$8:$S$390,1)</x:f>
        <x:v>12</x:v>
      </x:c>
      <x:c r="F61" s="2" t="n">
        <x:f>COUNTIFS('Күнлик реже'!$C$8:$C$390,"&gt;="&amp;B61,'Күнлик реже'!$C$8:$C$390,"&lt;="&amp;C61,'Күнлик реже'!$I$8:$I$390,0,'Күнлик реже'!$S$8:$S$390,1)</x:f>
        <x:v>0</x:v>
      </x:c>
      <x:c r="G61" s="2" t="n">
        <x:f>COUNTIFS('Күнлик реже'!$C$8:$C$390,"&gt;="&amp;B61,'Күнлик реже'!$C$8:$C$390,"&lt;="&amp;C61,'Күнлик реже'!$N$8:$N$390,1)</x:f>
        <x:v>0</x:v>
      </x:c>
      <x:c r="H61" s="2" t="n">
        <x:f>D61-E61-F61-G61</x:f>
        <x:v>0</x:v>
      </x:c>
      <x:c r="I61" s="17" t="n">
        <x:f>SUMIFS('Күнлик реже'!$J$8:$J$390,'Күнлик реже'!$C$8:$C$390,"&gt;="&amp;B61,'Күнлик реже'!$C$8:$C$390,"&lt;="&amp;C61)/60</x:f>
        <x:v>0</x:v>
      </x:c>
      <x:c r="J61" s="17" t="n">
        <x:f>SUMIFS('Күнлик есабат'!$G$8:$G$507,'Күнлик есабат'!$A$8:$A$507,"&gt;="&amp;B61,'Күнлик есабат'!$A$8:$A$507,"&lt;="&amp;C61,'Күнлик есабат'!$L$8:$L$507,0,'Күнлик есабат'!$M$8:$M$507,0)/60</x:f>
        <x:v>0</x:v>
      </x:c>
    </x:row>
    <x:row r="62" ht="28" customHeight="1">
      <x:c r="A62" s="2" t="str">
        <x:v>55-ҳәпте</x:v>
      </x:c>
      <x:c r="B62" s="14" t="n">
        <x:v>46678</x:v>
      </x:c>
      <x:c r="C62" s="14" t="n">
        <x:v>46684</x:v>
      </x:c>
      <x:c r="D62" s="2" t="n">
        <x:f>COUNTIFS('Күнлик реже'!$C$8:$C$390,"&gt;="&amp;B62,'Күнлик реже'!$C$8:$C$390,"&lt;="&amp;C62)</x:f>
        <x:v>1</x:v>
      </x:c>
      <x:c r="E62" s="2" t="n">
        <x:f>D62-COUNTIFS('Күнлик реже'!$C$8:$C$390,"&gt;="&amp;B62,'Күнлик реже'!$C$8:$C$390,"&lt;="&amp;C62,'Күнлик реже'!$S$8:$S$390,1)</x:f>
        <x:v>1</x:v>
      </x:c>
      <x:c r="F62" s="2" t="n">
        <x:f>COUNTIFS('Күнлик реже'!$C$8:$C$390,"&gt;="&amp;B62,'Күнлик реже'!$C$8:$C$390,"&lt;="&amp;C62,'Күнлик реже'!$I$8:$I$390,0,'Күнлик реже'!$S$8:$S$390,1)</x:f>
        <x:v>0</x:v>
      </x:c>
      <x:c r="G62" s="2" t="n">
        <x:f>COUNTIFS('Күнлик реже'!$C$8:$C$390,"&gt;="&amp;B62,'Күнлик реже'!$C$8:$C$390,"&lt;="&amp;C62,'Күнлик реже'!$N$8:$N$390,1)</x:f>
        <x:v>0</x:v>
      </x:c>
      <x:c r="H62" s="2" t="n">
        <x:f>D62-E62-F62-G62</x:f>
        <x:v>0</x:v>
      </x:c>
      <x:c r="I62" s="17" t="n">
        <x:f>SUMIFS('Күнлик реже'!$J$8:$J$390,'Күнлик реже'!$C$8:$C$390,"&gt;="&amp;B62,'Күнлик реже'!$C$8:$C$390,"&lt;="&amp;C62)/60</x:f>
        <x:v>0</x:v>
      </x:c>
      <x:c r="J62" s="17" t="n">
        <x:f>SUMIFS('Күнлик есабат'!$G$8:$G$507,'Күнлик есабат'!$A$8:$A$507,"&gt;="&amp;B62,'Күнлик есабат'!$A$8:$A$507,"&lt;="&amp;C62,'Күнлик есабат'!$L$8:$L$507,0,'Күнлик есабат'!$M$8:$M$507,0)/60</x:f>
        <x:v>0</x:v>
      </x:c>
    </x:row>
    <x:row r="63" ht="28" customHeight="1">
      <x:c r="A63" s="2" t="str">
        <x:v>56-ҳәпте</x:v>
      </x:c>
      <x:c r="B63" s="14" t="n">
        <x:v>46685</x:v>
      </x:c>
      <x:c r="C63" s="14" t="n">
        <x:v>46691</x:v>
      </x:c>
      <x:c r="D63" s="2" t="n">
        <x:f>COUNTIFS('Күнлик реже'!$C$8:$C$390,"&gt;="&amp;B63,'Күнлик реже'!$C$8:$C$390,"&lt;="&amp;C63)</x:f>
        <x:v>7</x:v>
      </x:c>
      <x:c r="E63" s="2" t="n">
        <x:f>D63-COUNTIFS('Күнлик реже'!$C$8:$C$390,"&gt;="&amp;B63,'Күнлик реже'!$C$8:$C$390,"&lt;="&amp;C63,'Күнлик реже'!$S$8:$S$390,1)</x:f>
        <x:v>7</x:v>
      </x:c>
      <x:c r="F63" s="2" t="n">
        <x:f>COUNTIFS('Күнлик реже'!$C$8:$C$390,"&gt;="&amp;B63,'Күнлик реже'!$C$8:$C$390,"&lt;="&amp;C63,'Күнлик реже'!$I$8:$I$390,0,'Күнлик реже'!$S$8:$S$390,1)</x:f>
        <x:v>0</x:v>
      </x:c>
      <x:c r="G63" s="2" t="n">
        <x:f>COUNTIFS('Күнлик реже'!$C$8:$C$390,"&gt;="&amp;B63,'Күнлик реже'!$C$8:$C$390,"&lt;="&amp;C63,'Күнлик реже'!$N$8:$N$390,1)</x:f>
        <x:v>0</x:v>
      </x:c>
      <x:c r="H63" s="2" t="n">
        <x:f>D63-E63-F63-G63</x:f>
        <x:v>0</x:v>
      </x:c>
      <x:c r="I63" s="17" t="n">
        <x:f>SUMIFS('Күнлик реже'!$J$8:$J$390,'Күнлик реже'!$C$8:$C$390,"&gt;="&amp;B63,'Күнлик реже'!$C$8:$C$390,"&lt;="&amp;C63)/60</x:f>
        <x:v>0</x:v>
      </x:c>
      <x:c r="J63" s="17" t="n">
        <x:f>SUMIFS('Күнлик есабат'!$G$8:$G$507,'Күнлик есабат'!$A$8:$A$507,"&gt;="&amp;B63,'Күнлик есабат'!$A$8:$A$507,"&lt;="&amp;C63,'Күнлик есабат'!$L$8:$L$507,0,'Күнлик есабат'!$M$8:$M$507,0)/60</x:f>
        <x:v>0</x:v>
      </x:c>
    </x:row>
    <x:row r="64" ht="28" customHeight="1">
      <x:c r="A64" s="2" t="str">
        <x:v>57-ҳәпте</x:v>
      </x:c>
      <x:c r="B64" s="14" t="n">
        <x:v>46692</x:v>
      </x:c>
      <x:c r="C64" s="14" t="n">
        <x:v>46698</x:v>
      </x:c>
      <x:c r="D64" s="2" t="n">
        <x:f>COUNTIFS('Күнлик реже'!$C$8:$C$390,"&gt;="&amp;B64,'Күнлик реже'!$C$8:$C$390,"&lt;="&amp;C64)</x:f>
        <x:v>3</x:v>
      </x:c>
      <x:c r="E64" s="2" t="n">
        <x:f>D64-COUNTIFS('Күнлик реже'!$C$8:$C$390,"&gt;="&amp;B64,'Күнлик реже'!$C$8:$C$390,"&lt;="&amp;C64,'Күнлик реже'!$S$8:$S$390,1)</x:f>
        <x:v>3</x:v>
      </x:c>
      <x:c r="F64" s="2" t="n">
        <x:f>COUNTIFS('Күнлик реже'!$C$8:$C$390,"&gt;="&amp;B64,'Күнлик реже'!$C$8:$C$390,"&lt;="&amp;C64,'Күнлик реже'!$I$8:$I$390,0,'Күнлик реже'!$S$8:$S$390,1)</x:f>
        <x:v>0</x:v>
      </x:c>
      <x:c r="G64" s="2" t="n">
        <x:f>COUNTIFS('Күнлик реже'!$C$8:$C$390,"&gt;="&amp;B64,'Күнлик реже'!$C$8:$C$390,"&lt;="&amp;C64,'Күнлик реже'!$N$8:$N$390,1)</x:f>
        <x:v>0</x:v>
      </x:c>
      <x:c r="H64" s="2" t="n">
        <x:f>D64-E64-F64-G64</x:f>
        <x:v>0</x:v>
      </x:c>
      <x:c r="I64" s="17" t="n">
        <x:f>SUMIFS('Күнлик реже'!$J$8:$J$390,'Күнлик реже'!$C$8:$C$390,"&gt;="&amp;B64,'Күнлик реже'!$C$8:$C$390,"&lt;="&amp;C64)/60</x:f>
        <x:v>0</x:v>
      </x:c>
      <x:c r="J64" s="17" t="n">
        <x:f>SUMIFS('Күнлик есабат'!$G$8:$G$507,'Күнлик есабат'!$A$8:$A$507,"&gt;="&amp;B64,'Күнлик есабат'!$A$8:$A$507,"&lt;="&amp;C64,'Күнлик есабат'!$L$8:$L$507,0,'Күнлик есабат'!$M$8:$M$507,0)/60</x:f>
        <x:v>0</x:v>
      </x:c>
    </x:row>
    <x:row r="65" ht="28" customHeight="1">
      <x:c r="A65" s="2" t="str">
        <x:v>58-ҳәпте</x:v>
      </x:c>
      <x:c r="B65" s="14" t="n">
        <x:v>46699</x:v>
      </x:c>
      <x:c r="C65" s="14" t="n">
        <x:v>46705</x:v>
      </x:c>
      <x:c r="D65" s="2" t="n">
        <x:f>COUNTIFS('Күнлик реже'!$C$8:$C$390,"&gt;="&amp;B65,'Күнлик реже'!$C$8:$C$390,"&lt;="&amp;C65)</x:f>
        <x:v>5</x:v>
      </x:c>
      <x:c r="E65" s="2" t="n">
        <x:f>D65-COUNTIFS('Күнлик реже'!$C$8:$C$390,"&gt;="&amp;B65,'Күнлик реже'!$C$8:$C$390,"&lt;="&amp;C65,'Күнлик реже'!$S$8:$S$390,1)</x:f>
        <x:v>5</x:v>
      </x:c>
      <x:c r="F65" s="2" t="n">
        <x:f>COUNTIFS('Күнлик реже'!$C$8:$C$390,"&gt;="&amp;B65,'Күнлик реже'!$C$8:$C$390,"&lt;="&amp;C65,'Күнлик реже'!$I$8:$I$390,0,'Күнлик реже'!$S$8:$S$390,1)</x:f>
        <x:v>0</x:v>
      </x:c>
      <x:c r="G65" s="2" t="n">
        <x:f>COUNTIFS('Күнлик реже'!$C$8:$C$390,"&gt;="&amp;B65,'Күнлик реже'!$C$8:$C$390,"&lt;="&amp;C65,'Күнлик реже'!$N$8:$N$390,1)</x:f>
        <x:v>0</x:v>
      </x:c>
      <x:c r="H65" s="2" t="n">
        <x:f>D65-E65-F65-G65</x:f>
        <x:v>0</x:v>
      </x:c>
      <x:c r="I65" s="17" t="n">
        <x:f>SUMIFS('Күнлик реже'!$J$8:$J$390,'Күнлик реже'!$C$8:$C$390,"&gt;="&amp;B65,'Күнлик реже'!$C$8:$C$390,"&lt;="&amp;C65)/60</x:f>
        <x:v>0</x:v>
      </x:c>
      <x:c r="J65" s="17" t="n">
        <x:f>SUMIFS('Күнлик есабат'!$G$8:$G$507,'Күнлик есабат'!$A$8:$A$507,"&gt;="&amp;B65,'Күнлик есабат'!$A$8:$A$507,"&lt;="&amp;C65,'Күнлик есабат'!$L$8:$L$507,0,'Күнлик есабат'!$M$8:$M$507,0)/60</x:f>
        <x:v>0</x:v>
      </x:c>
    </x:row>
    <x:row r="66" ht="28" customHeight="1">
      <x:c r="A66" s="2" t="str">
        <x:v>59-ҳәпте</x:v>
      </x:c>
      <x:c r="B66" s="14" t="n">
        <x:v>46706</x:v>
      </x:c>
      <x:c r="C66" s="14" t="n">
        <x:v>46712</x:v>
      </x:c>
      <x:c r="D66" s="2" t="n">
        <x:f>COUNTIFS('Күнлик реже'!$C$8:$C$390,"&gt;="&amp;B66,'Күнлик реже'!$C$8:$C$390,"&lt;="&amp;C66)</x:f>
        <x:v>7</x:v>
      </x:c>
      <x:c r="E66" s="2" t="n">
        <x:f>D66-COUNTIFS('Күнлик реже'!$C$8:$C$390,"&gt;="&amp;B66,'Күнлик реже'!$C$8:$C$390,"&lt;="&amp;C66,'Күнлик реже'!$S$8:$S$390,1)</x:f>
        <x:v>7</x:v>
      </x:c>
      <x:c r="F66" s="2" t="n">
        <x:f>COUNTIFS('Күнлик реже'!$C$8:$C$390,"&gt;="&amp;B66,'Күнлик реже'!$C$8:$C$390,"&lt;="&amp;C66,'Күнлик реже'!$I$8:$I$390,0,'Күнлик реже'!$S$8:$S$390,1)</x:f>
        <x:v>0</x:v>
      </x:c>
      <x:c r="G66" s="2" t="n">
        <x:f>COUNTIFS('Күнлик реже'!$C$8:$C$390,"&gt;="&amp;B66,'Күнлик реже'!$C$8:$C$390,"&lt;="&amp;C66,'Күнлик реже'!$N$8:$N$390,1)</x:f>
        <x:v>0</x:v>
      </x:c>
      <x:c r="H66" s="2" t="n">
        <x:f>D66-E66-F66-G66</x:f>
        <x:v>0</x:v>
      </x:c>
      <x:c r="I66" s="17" t="n">
        <x:f>SUMIFS('Күнлик реже'!$J$8:$J$390,'Күнлик реже'!$C$8:$C$390,"&gt;="&amp;B66,'Күнлик реже'!$C$8:$C$390,"&lt;="&amp;C66)/60</x:f>
        <x:v>0</x:v>
      </x:c>
      <x:c r="J66" s="17" t="n">
        <x:f>SUMIFS('Күнлик есабат'!$G$8:$G$507,'Күнлик есабат'!$A$8:$A$507,"&gt;="&amp;B66,'Күнлик есабат'!$A$8:$A$507,"&lt;="&amp;C66,'Күнлик есабат'!$L$8:$L$507,0,'Күнлик есабат'!$M$8:$M$507,0)/60</x:f>
        <x:v>0</x:v>
      </x:c>
    </x:row>
    <x:row r="67" ht="28" customHeight="1">
      <x:c r="A67" s="2" t="str">
        <x:v>60-ҳәпте</x:v>
      </x:c>
      <x:c r="B67" s="14" t="n">
        <x:v>46713</x:v>
      </x:c>
      <x:c r="C67" s="14" t="n">
        <x:v>46719</x:v>
      </x:c>
      <x:c r="D67" s="2" t="n">
        <x:f>COUNTIFS('Күнлик реже'!$C$8:$C$390,"&gt;="&amp;B67,'Күнлик реже'!$C$8:$C$390,"&lt;="&amp;C67)</x:f>
        <x:v>7</x:v>
      </x:c>
      <x:c r="E67" s="2" t="n">
        <x:f>D67-COUNTIFS('Күнлик реже'!$C$8:$C$390,"&gt;="&amp;B67,'Күнлик реже'!$C$8:$C$390,"&lt;="&amp;C67,'Күнлик реже'!$S$8:$S$390,1)</x:f>
        <x:v>7</x:v>
      </x:c>
      <x:c r="F67" s="2" t="n">
        <x:f>COUNTIFS('Күнлик реже'!$C$8:$C$390,"&gt;="&amp;B67,'Күнлик реже'!$C$8:$C$390,"&lt;="&amp;C67,'Күнлик реже'!$I$8:$I$390,0,'Күнлик реже'!$S$8:$S$390,1)</x:f>
        <x:v>0</x:v>
      </x:c>
      <x:c r="G67" s="2" t="n">
        <x:f>COUNTIFS('Күнлик реже'!$C$8:$C$390,"&gt;="&amp;B67,'Күнлик реже'!$C$8:$C$390,"&lt;="&amp;C67,'Күнлик реже'!$N$8:$N$390,1)</x:f>
        <x:v>0</x:v>
      </x:c>
      <x:c r="H67" s="2" t="n">
        <x:f>D67-E67-F67-G67</x:f>
        <x:v>0</x:v>
      </x:c>
      <x:c r="I67" s="17" t="n">
        <x:f>SUMIFS('Күнлик реже'!$J$8:$J$390,'Күнлик реже'!$C$8:$C$390,"&gt;="&amp;B67,'Күнлик реже'!$C$8:$C$390,"&lt;="&amp;C67)/60</x:f>
        <x:v>0</x:v>
      </x:c>
      <x:c r="J67" s="17" t="n">
        <x:f>SUMIFS('Күнлик есабат'!$G$8:$G$507,'Күнлик есабат'!$A$8:$A$507,"&gt;="&amp;B67,'Күнлик есабат'!$A$8:$A$507,"&lt;="&amp;C67,'Күнлик есабат'!$L$8:$L$507,0,'Күнлик есабат'!$M$8:$M$507,0)/60</x:f>
        <x:v>0</x:v>
      </x:c>
    </x:row>
    <x:row r="68" ht="28" customHeight="1">
      <x:c r="A68" s="2" t="str">
        <x:v>61-ҳәпте</x:v>
      </x:c>
      <x:c r="B68" s="14" t="n">
        <x:v>46720</x:v>
      </x:c>
      <x:c r="C68" s="14" t="n">
        <x:v>46726</x:v>
      </x:c>
      <x:c r="D68" s="2" t="n">
        <x:f>COUNTIFS('Күнлик реже'!$C$8:$C$390,"&gt;="&amp;B68,'Күнлик реже'!$C$8:$C$390,"&lt;="&amp;C68)</x:f>
        <x:v>0</x:v>
      </x:c>
      <x:c r="E68" s="2" t="n">
        <x:f>D68-COUNTIFS('Күнлик реже'!$C$8:$C$390,"&gt;="&amp;B68,'Күнлик реже'!$C$8:$C$390,"&lt;="&amp;C68,'Күнлик реже'!$S$8:$S$390,1)</x:f>
        <x:v>0</x:v>
      </x:c>
      <x:c r="F68" s="2" t="n">
        <x:f>COUNTIFS('Күнлик реже'!$C$8:$C$390,"&gt;="&amp;B68,'Күнлик реже'!$C$8:$C$390,"&lt;="&amp;C68,'Күнлик реже'!$I$8:$I$390,0,'Күнлик реже'!$S$8:$S$390,1)</x:f>
        <x:v>0</x:v>
      </x:c>
      <x:c r="G68" s="2" t="n">
        <x:f>COUNTIFS('Күнлик реже'!$C$8:$C$390,"&gt;="&amp;B68,'Күнлик реже'!$C$8:$C$390,"&lt;="&amp;C68,'Күнлик реже'!$N$8:$N$390,1)</x:f>
        <x:v>0</x:v>
      </x:c>
      <x:c r="H68" s="2" t="n">
        <x:f>D68-E68-F68-G68</x:f>
        <x:v>0</x:v>
      </x:c>
      <x:c r="I68" s="17" t="n">
        <x:f>SUMIFS('Күнлик реже'!$J$8:$J$390,'Күнлик реже'!$C$8:$C$390,"&gt;="&amp;B68,'Күнлик реже'!$C$8:$C$390,"&lt;="&amp;C68)/60</x:f>
        <x:v>0</x:v>
      </x:c>
      <x:c r="J68" s="17" t="n">
        <x:f>SUMIFS('Күнлик есабат'!$G$8:$G$507,'Күнлик есабат'!$A$8:$A$507,"&gt;="&amp;B68,'Күнлик есабат'!$A$8:$A$507,"&lt;="&amp;C68,'Күнлик есабат'!$L$8:$L$507,0,'Күнлик есабат'!$M$8:$M$507,0)/60</x:f>
        <x:v>0</x:v>
      </x:c>
    </x:row>
    <x:row r="69" ht="28" customHeight="1">
      <x:c r="A69" s="2" t="str">
        <x:v>62-ҳәпте</x:v>
      </x:c>
      <x:c r="B69" s="14" t="n">
        <x:v>46727</x:v>
      </x:c>
      <x:c r="C69" s="14" t="n">
        <x:v>46733</x:v>
      </x:c>
      <x:c r="D69" s="2" t="n">
        <x:f>COUNTIFS('Күнлик реже'!$C$8:$C$390,"&gt;="&amp;B69,'Күнлик реже'!$C$8:$C$390,"&lt;="&amp;C69)</x:f>
        <x:v>8</x:v>
      </x:c>
      <x:c r="E69" s="2" t="n">
        <x:f>D69-COUNTIFS('Күнлик реже'!$C$8:$C$390,"&gt;="&amp;B69,'Күнлик реже'!$C$8:$C$390,"&lt;="&amp;C69,'Күнлик реже'!$S$8:$S$390,1)</x:f>
        <x:v>8</x:v>
      </x:c>
      <x:c r="F69" s="2" t="n">
        <x:f>COUNTIFS('Күнлик реже'!$C$8:$C$390,"&gt;="&amp;B69,'Күнлик реже'!$C$8:$C$390,"&lt;="&amp;C69,'Күнлик реже'!$I$8:$I$390,0,'Күнлик реже'!$S$8:$S$390,1)</x:f>
        <x:v>0</x:v>
      </x:c>
      <x:c r="G69" s="2" t="n">
        <x:f>COUNTIFS('Күнлик реже'!$C$8:$C$390,"&gt;="&amp;B69,'Күнлик реже'!$C$8:$C$390,"&lt;="&amp;C69,'Күнлик реже'!$N$8:$N$390,1)</x:f>
        <x:v>0</x:v>
      </x:c>
      <x:c r="H69" s="2" t="n">
        <x:f>D69-E69-F69-G69</x:f>
        <x:v>0</x:v>
      </x:c>
      <x:c r="I69" s="17" t="n">
        <x:f>SUMIFS('Күнлик реже'!$J$8:$J$390,'Күнлик реже'!$C$8:$C$390,"&gt;="&amp;B69,'Күнлик реже'!$C$8:$C$390,"&lt;="&amp;C69)/60</x:f>
        <x:v>0</x:v>
      </x:c>
      <x:c r="J69" s="17" t="n">
        <x:f>SUMIFS('Күнлик есабат'!$G$8:$G$507,'Күнлик есабат'!$A$8:$A$507,"&gt;="&amp;B69,'Күнлик есабат'!$A$8:$A$507,"&lt;="&amp;C69,'Күнлик есабат'!$L$8:$L$507,0,'Күнлик есабат'!$M$8:$M$507,0)/60</x:f>
        <x:v>0</x:v>
      </x:c>
    </x:row>
    <x:row r="70" ht="28" customHeight="1">
      <x:c r="A70" s="2" t="str">
        <x:v>63-ҳәпте</x:v>
      </x:c>
      <x:c r="B70" s="14" t="n">
        <x:v>46734</x:v>
      </x:c>
      <x:c r="C70" s="14" t="n">
        <x:v>46740</x:v>
      </x:c>
      <x:c r="D70" s="2" t="n">
        <x:f>COUNTIFS('Күнлик реже'!$C$8:$C$390,"&gt;="&amp;B70,'Күнлик реже'!$C$8:$C$390,"&lt;="&amp;C70)</x:f>
        <x:v>6</x:v>
      </x:c>
      <x:c r="E70" s="2" t="n">
        <x:f>D70-COUNTIFS('Күнлик реже'!$C$8:$C$390,"&gt;="&amp;B70,'Күнлик реже'!$C$8:$C$390,"&lt;="&amp;C70,'Күнлик реже'!$S$8:$S$390,1)</x:f>
        <x:v>6</x:v>
      </x:c>
      <x:c r="F70" s="2" t="n">
        <x:f>COUNTIFS('Күнлик реже'!$C$8:$C$390,"&gt;="&amp;B70,'Күнлик реже'!$C$8:$C$390,"&lt;="&amp;C70,'Күнлик реже'!$I$8:$I$390,0,'Күнлик реже'!$S$8:$S$390,1)</x:f>
        <x:v>0</x:v>
      </x:c>
      <x:c r="G70" s="2" t="n">
        <x:f>COUNTIFS('Күнлик реже'!$C$8:$C$390,"&gt;="&amp;B70,'Күнлик реже'!$C$8:$C$390,"&lt;="&amp;C70,'Күнлик реже'!$N$8:$N$390,1)</x:f>
        <x:v>0</x:v>
      </x:c>
      <x:c r="H70" s="2" t="n">
        <x:f>D70-E70-F70-G70</x:f>
        <x:v>0</x:v>
      </x:c>
      <x:c r="I70" s="17" t="n">
        <x:f>SUMIFS('Күнлик реже'!$J$8:$J$390,'Күнлик реже'!$C$8:$C$390,"&gt;="&amp;B70,'Күнлик реже'!$C$8:$C$390,"&lt;="&amp;C70)/60</x:f>
        <x:v>0</x:v>
      </x:c>
      <x:c r="J70" s="17" t="n">
        <x:f>SUMIFS('Күнлик есабат'!$G$8:$G$507,'Күнлик есабат'!$A$8:$A$507,"&gt;="&amp;B70,'Күнлик есабат'!$A$8:$A$507,"&lt;="&amp;C70,'Күнлик есабат'!$L$8:$L$507,0,'Күнлик есабат'!$M$8:$M$507,0)/60</x:f>
        <x:v>0</x:v>
      </x:c>
    </x:row>
    <x:row r="71" ht="28" customHeight="1">
      <x:c r="A71" s="2" t="str">
        <x:v>64-ҳәпте</x:v>
      </x:c>
      <x:c r="B71" s="14" t="n">
        <x:v>46741</x:v>
      </x:c>
      <x:c r="C71" s="14" t="n">
        <x:v>46747</x:v>
      </x:c>
      <x:c r="D71" s="2" t="n">
        <x:f>COUNTIFS('Күнлик реже'!$C$8:$C$390,"&gt;="&amp;B71,'Күнлик реже'!$C$8:$C$390,"&lt;="&amp;C71)</x:f>
        <x:v>1</x:v>
      </x:c>
      <x:c r="E71" s="2" t="n">
        <x:f>D71-COUNTIFS('Күнлик реже'!$C$8:$C$390,"&gt;="&amp;B71,'Күнлик реже'!$C$8:$C$390,"&lt;="&amp;C71,'Күнлик реже'!$S$8:$S$390,1)</x:f>
        <x:v>1</x:v>
      </x:c>
      <x:c r="F71" s="2" t="n">
        <x:f>COUNTIFS('Күнлик реже'!$C$8:$C$390,"&gt;="&amp;B71,'Күнлик реже'!$C$8:$C$390,"&lt;="&amp;C71,'Күнлик реже'!$I$8:$I$390,0,'Күнлик реже'!$S$8:$S$390,1)</x:f>
        <x:v>0</x:v>
      </x:c>
      <x:c r="G71" s="2" t="n">
        <x:f>COUNTIFS('Күнлик реже'!$C$8:$C$390,"&gt;="&amp;B71,'Күнлик реже'!$C$8:$C$390,"&lt;="&amp;C71,'Күнлик реже'!$N$8:$N$390,1)</x:f>
        <x:v>0</x:v>
      </x:c>
      <x:c r="H71" s="2" t="n">
        <x:f>D71-E71-F71-G71</x:f>
        <x:v>0</x:v>
      </x:c>
      <x:c r="I71" s="17" t="n">
        <x:f>SUMIFS('Күнлик реже'!$J$8:$J$390,'Күнлик реже'!$C$8:$C$390,"&gt;="&amp;B71,'Күнлик реже'!$C$8:$C$390,"&lt;="&amp;C71)/60</x:f>
        <x:v>0</x:v>
      </x:c>
      <x:c r="J71" s="17" t="n">
        <x:f>SUMIFS('Күнлик есабат'!$G$8:$G$507,'Күнлик есабат'!$A$8:$A$507,"&gt;="&amp;B71,'Күнлик есабат'!$A$8:$A$507,"&lt;="&amp;C71,'Күнлик есабат'!$L$8:$L$507,0,'Күнлик есабат'!$M$8:$M$507,0)/60</x:f>
        <x:v>0</x:v>
      </x:c>
    </x:row>
    <x:row r="72" ht="28" customHeight="1">
      <x:c r="A72" s="2" t="str">
        <x:v>65-ҳәпте</x:v>
      </x:c>
      <x:c r="B72" s="14" t="n">
        <x:v>46748</x:v>
      </x:c>
      <x:c r="C72" s="14" t="n">
        <x:v>46752</x:v>
      </x:c>
      <x:c r="D72" s="2" t="n">
        <x:f>COUNTIFS('Күнлик реже'!$C$8:$C$390,"&gt;="&amp;B72,'Күнлик реже'!$C$8:$C$390,"&lt;="&amp;C72)</x:f>
        <x:v>7</x:v>
      </x:c>
      <x:c r="E72" s="2" t="n">
        <x:f>D72-COUNTIFS('Күнлик реже'!$C$8:$C$390,"&gt;="&amp;B72,'Күнлик реже'!$C$8:$C$390,"&lt;="&amp;C72,'Күнлик реже'!$S$8:$S$390,1)</x:f>
        <x:v>7</x:v>
      </x:c>
      <x:c r="F72" s="2" t="n">
        <x:f>COUNTIFS('Күнлик реже'!$C$8:$C$390,"&gt;="&amp;B72,'Күнлик реже'!$C$8:$C$390,"&lt;="&amp;C72,'Күнлик реже'!$I$8:$I$390,0,'Күнлик реже'!$S$8:$S$390,1)</x:f>
        <x:v>0</x:v>
      </x:c>
      <x:c r="G72" s="2" t="n">
        <x:f>COUNTIFS('Күнлик реже'!$C$8:$C$390,"&gt;="&amp;B72,'Күнлик реже'!$C$8:$C$390,"&lt;="&amp;C72,'Күнлик реже'!$N$8:$N$390,1)</x:f>
        <x:v>0</x:v>
      </x:c>
      <x:c r="H72" s="2" t="n">
        <x:f>D72-E72-F72-G72</x:f>
        <x:v>0</x:v>
      </x:c>
      <x:c r="I72" s="17" t="n">
        <x:f>SUMIFS('Күнлик реже'!$J$8:$J$390,'Күнлик реже'!$C$8:$C$390,"&gt;="&amp;B72,'Күнлик реже'!$C$8:$C$390,"&lt;="&amp;C72)/60</x:f>
        <x:v>0</x:v>
      </x:c>
      <x:c r="J72" s="17" t="n">
        <x:f>SUMIFS('Күнлик есабат'!$G$8:$G$507,'Күнлик есабат'!$A$8:$A$507,"&gt;="&amp;B72,'Күнлик есабат'!$A$8:$A$507,"&lt;="&amp;C72,'Күнлик есабат'!$L$8:$L$507,0,'Күнлик есабат'!$M$8:$M$507,0)/60</x:f>
        <x:v>0</x:v>
      </x:c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</x:sheetData>
  <x:pageMargins left="0.7" right="0.7" top="0.75" bottom="0.75" header="0.3" footer="0.3"/>
  <x:tableParts count="1">
    <x:tablePart xmlns:r="http://schemas.openxmlformats.org/officeDocument/2006/relationships" r:id="R9eade6b9926b4497"/>
  </x:tableParts>
</x:worksheet>
</file>

<file path=xl/worksheets/sheet5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АЙЛЫҚ РЕЖЕ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Тапсырмалар реже күни бойынша жыйналған. Орынланыў — сол тапсырмаларға байланысқан барлық есабатлар бойынша.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2" t="str">
        <x:v>Нақты саат есабат сәнеси бойынша. Бос реже саны бар тапсырмалар бөлек көрсетиледи.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50" customHeight="1">
      <x:c r="A7" s="8" t="str">
        <x:v>Дәўир</x:v>
      </x:c>
      <x:c r="B7" s="8" t="str">
        <x:v>Басланыў</x:v>
      </x:c>
      <x:c r="C7" s="8" t="str">
        <x:v>Аяқланыў</x:v>
      </x:c>
      <x:c r="D7" s="8" t="str">
        <x:v>Тапсырма саны</x:v>
      </x:c>
      <x:c r="E7" s="8" t="str">
        <x:v>Саны анықланбаған</x:v>
      </x:c>
      <x:c r="F7" s="8" t="str">
        <x:v>Тийисли емес (0)</x:v>
      </x:c>
      <x:c r="G7" s="8" t="str">
        <x:v>Толық питкен</x:v>
      </x:c>
      <x:c r="H7" s="8" t="str">
        <x:v>Қалған тапсырма</x:v>
      </x:c>
      <x:c r="I7" s="8" t="str">
        <x:v>Реже саат</x:v>
      </x:c>
      <x:c r="J7" s="8" t="str">
        <x:v>Нақты саат</x:v>
      </x:c>
    </x:row>
    <x:row r="8" ht="28" customHeight="1">
      <x:c r="A8" s="2" t="str">
        <x:v>2026-10</x:v>
      </x:c>
      <x:c r="B8" s="14" t="n">
        <x:v>46304</x:v>
      </x:c>
      <x:c r="C8" s="14" t="n">
        <x:v>46326</x:v>
      </x:c>
      <x:c r="D8" s="2" t="n">
        <x:f>COUNTIFS('Күнлик реже'!$C$8:$C$390,"&gt;="&amp;B8,'Күнлик реже'!$C$8:$C$390,"&lt;="&amp;C8)</x:f>
        <x:v>20</x:v>
      </x:c>
      <x:c r="E8" s="2" t="n">
        <x:f>D8-COUNTIFS('Күнлик реже'!$C$8:$C$390,"&gt;="&amp;B8,'Күнлик реже'!$C$8:$C$390,"&lt;="&amp;C8,'Күнлик реже'!$S$8:$S$390,1)</x:f>
        <x:v>20</x:v>
      </x:c>
      <x:c r="F8" s="2" t="n">
        <x:f>COUNTIFS('Күнлик реже'!$C$8:$C$390,"&gt;="&amp;B8,'Күнлик реже'!$C$8:$C$390,"&lt;="&amp;C8,'Күнлик реже'!$I$8:$I$390,0,'Күнлик реже'!$S$8:$S$390,1)</x:f>
        <x:v>0</x:v>
      </x:c>
      <x:c r="G8" s="2" t="n">
        <x:f>COUNTIFS('Күнлик реже'!$C$8:$C$390,"&gt;="&amp;B8,'Күнлик реже'!$C$8:$C$390,"&lt;="&amp;C8,'Күнлик реже'!$N$8:$N$390,1)</x:f>
        <x:v>0</x:v>
      </x:c>
      <x:c r="H8" s="2" t="n">
        <x:f>D8-E8-F8-G8</x:f>
        <x:v>0</x:v>
      </x:c>
      <x:c r="I8" s="17" t="n">
        <x:f>SUMIFS('Күнлик реже'!$J$8:$J$390,'Күнлик реже'!$C$8:$C$390,"&gt;="&amp;B8,'Күнлик реже'!$C$8:$C$390,"&lt;="&amp;C8)/60</x:f>
        <x:v>0</x:v>
      </x:c>
      <x:c r="J8" s="17" t="n">
        <x:f>SUMIFS('Күнлик есабат'!$G$8:$G$507,'Күнлик есабат'!$A$8:$A$507,"&gt;="&amp;B8,'Күнлик есабат'!$A$8:$A$507,"&lt;="&amp;C8,'Күнлик есабат'!$L$8:$L$507,0,'Күнлик есабат'!$M$8:$M$507,0)/60</x:f>
        <x:v>0</x:v>
      </x:c>
    </x:row>
    <x:row r="9" ht="28" customHeight="1">
      <x:c r="A9" s="2" t="str">
        <x:v>2026-11</x:v>
      </x:c>
      <x:c r="B9" s="14" t="n">
        <x:v>46327</x:v>
      </x:c>
      <x:c r="C9" s="14" t="n">
        <x:v>46356</x:v>
      </x:c>
      <x:c r="D9" s="2" t="n">
        <x:f>COUNTIFS('Күнлик реже'!$C$8:$C$390,"&gt;="&amp;B9,'Күнлик реже'!$C$8:$C$390,"&lt;="&amp;C9)</x:f>
        <x:v>22</x:v>
      </x:c>
      <x:c r="E9" s="2" t="n">
        <x:f>D9-COUNTIFS('Күнлик реже'!$C$8:$C$390,"&gt;="&amp;B9,'Күнлик реже'!$C$8:$C$390,"&lt;="&amp;C9,'Күнлик реже'!$S$8:$S$390,1)</x:f>
        <x:v>22</x:v>
      </x:c>
      <x:c r="F9" s="2" t="n">
        <x:f>COUNTIFS('Күнлик реже'!$C$8:$C$390,"&gt;="&amp;B9,'Күнлик реже'!$C$8:$C$390,"&lt;="&amp;C9,'Күнлик реже'!$I$8:$I$390,0,'Күнлик реже'!$S$8:$S$390,1)</x:f>
        <x:v>0</x:v>
      </x:c>
      <x:c r="G9" s="2" t="n">
        <x:f>COUNTIFS('Күнлик реже'!$C$8:$C$390,"&gt;="&amp;B9,'Күнлик реже'!$C$8:$C$390,"&lt;="&amp;C9,'Күнлик реже'!$N$8:$N$390,1)</x:f>
        <x:v>0</x:v>
      </x:c>
      <x:c r="H9" s="2" t="n">
        <x:f>D9-E9-F9-G9</x:f>
        <x:v>0</x:v>
      </x:c>
      <x:c r="I9" s="17" t="n">
        <x:f>SUMIFS('Күнлик реже'!$J$8:$J$390,'Күнлик реже'!$C$8:$C$390,"&gt;="&amp;B9,'Күнлик реже'!$C$8:$C$390,"&lt;="&amp;C9)/60</x:f>
        <x:v>0</x:v>
      </x:c>
      <x:c r="J9" s="17" t="n">
        <x:f>SUMIFS('Күнлик есабат'!$G$8:$G$507,'Күнлик есабат'!$A$8:$A$507,"&gt;="&amp;B9,'Күнлик есабат'!$A$8:$A$507,"&lt;="&amp;C9,'Күнлик есабат'!$L$8:$L$507,0,'Күнлик есабат'!$M$8:$M$507,0)/60</x:f>
        <x:v>0</x:v>
      </x:c>
    </x:row>
    <x:row r="10" ht="28" customHeight="1">
      <x:c r="A10" s="2" t="str">
        <x:v>2026-12</x:v>
      </x:c>
      <x:c r="B10" s="14" t="n">
        <x:v>46357</x:v>
      </x:c>
      <x:c r="C10" s="14" t="n">
        <x:v>46387</x:v>
      </x:c>
      <x:c r="D10" s="2" t="n">
        <x:f>COUNTIFS('Күнлик реже'!$C$8:$C$390,"&gt;="&amp;B10,'Күнлик реже'!$C$8:$C$390,"&lt;="&amp;C10)</x:f>
        <x:v>22</x:v>
      </x:c>
      <x:c r="E10" s="2" t="n">
        <x:f>D10-COUNTIFS('Күнлик реже'!$C$8:$C$390,"&gt;="&amp;B10,'Күнлик реже'!$C$8:$C$390,"&lt;="&amp;C10,'Күнлик реже'!$S$8:$S$390,1)</x:f>
        <x:v>22</x:v>
      </x:c>
      <x:c r="F10" s="2" t="n">
        <x:f>COUNTIFS('Күнлик реже'!$C$8:$C$390,"&gt;="&amp;B10,'Күнлик реже'!$C$8:$C$390,"&lt;="&amp;C10,'Күнлик реже'!$I$8:$I$390,0,'Күнлик реже'!$S$8:$S$390,1)</x:f>
        <x:v>0</x:v>
      </x:c>
      <x:c r="G10" s="2" t="n">
        <x:f>COUNTIFS('Күнлик реже'!$C$8:$C$390,"&gt;="&amp;B10,'Күнлик реже'!$C$8:$C$390,"&lt;="&amp;C10,'Күнлик реже'!$N$8:$N$390,1)</x:f>
        <x:v>0</x:v>
      </x:c>
      <x:c r="H10" s="2" t="n">
        <x:f>D10-E10-F10-G10</x:f>
        <x:v>0</x:v>
      </x:c>
      <x:c r="I10" s="17" t="n">
        <x:f>SUMIFS('Күнлик реже'!$J$8:$J$390,'Күнлик реже'!$C$8:$C$390,"&gt;="&amp;B10,'Күнлик реже'!$C$8:$C$390,"&lt;="&amp;C10)/60</x:f>
        <x:v>0</x:v>
      </x:c>
      <x:c r="J10" s="17" t="n">
        <x:f>SUMIFS('Күнлик есабат'!$G$8:$G$507,'Күнлик есабат'!$A$8:$A$507,"&gt;="&amp;B10,'Күнлик есабат'!$A$8:$A$507,"&lt;="&amp;C10,'Күнлик есабат'!$L$8:$L$507,0,'Күнлик есабат'!$M$8:$M$507,0)/60</x:f>
        <x:v>0</x:v>
      </x:c>
    </x:row>
    <x:row r="11" ht="28" customHeight="1">
      <x:c r="A11" s="2" t="str">
        <x:v>2027-01</x:v>
      </x:c>
      <x:c r="B11" s="14" t="n">
        <x:v>46388</x:v>
      </x:c>
      <x:c r="C11" s="14" t="n">
        <x:v>46418</x:v>
      </x:c>
      <x:c r="D11" s="2" t="n">
        <x:f>COUNTIFS('Күнлик реже'!$C$8:$C$390,"&gt;="&amp;B11,'Күнлик реже'!$C$8:$C$390,"&lt;="&amp;C11)</x:f>
        <x:v>24</x:v>
      </x:c>
      <x:c r="E11" s="2" t="n">
        <x:f>D11-COUNTIFS('Күнлик реже'!$C$8:$C$390,"&gt;="&amp;B11,'Күнлик реже'!$C$8:$C$390,"&lt;="&amp;C11,'Күнлик реже'!$S$8:$S$390,1)</x:f>
        <x:v>24</x:v>
      </x:c>
      <x:c r="F11" s="2" t="n">
        <x:f>COUNTIFS('Күнлик реже'!$C$8:$C$390,"&gt;="&amp;B11,'Күнлик реже'!$C$8:$C$390,"&lt;="&amp;C11,'Күнлик реже'!$I$8:$I$390,0,'Күнлик реже'!$S$8:$S$390,1)</x:f>
        <x:v>0</x:v>
      </x:c>
      <x:c r="G11" s="2" t="n">
        <x:f>COUNTIFS('Күнлик реже'!$C$8:$C$390,"&gt;="&amp;B11,'Күнлик реже'!$C$8:$C$390,"&lt;="&amp;C11,'Күнлик реже'!$N$8:$N$390,1)</x:f>
        <x:v>0</x:v>
      </x:c>
      <x:c r="H11" s="2" t="n">
        <x:f>D11-E11-F11-G11</x:f>
        <x:v>0</x:v>
      </x:c>
      <x:c r="I11" s="17" t="n">
        <x:f>SUMIFS('Күнлик реже'!$J$8:$J$390,'Күнлик реже'!$C$8:$C$390,"&gt;="&amp;B11,'Күнлик реже'!$C$8:$C$390,"&lt;="&amp;C11)/60</x:f>
        <x:v>0</x:v>
      </x:c>
      <x:c r="J11" s="17" t="n">
        <x:f>SUMIFS('Күнлик есабат'!$G$8:$G$507,'Күнлик есабат'!$A$8:$A$507,"&gt;="&amp;B11,'Күнлик есабат'!$A$8:$A$507,"&lt;="&amp;C11,'Күнлик есабат'!$L$8:$L$507,0,'Күнлик есабат'!$M$8:$M$507,0)/60</x:f>
        <x:v>0</x:v>
      </x:c>
    </x:row>
    <x:row r="12" ht="28" customHeight="1">
      <x:c r="A12" s="2" t="str">
        <x:v>2027-02</x:v>
      </x:c>
      <x:c r="B12" s="14" t="n">
        <x:v>46419</x:v>
      </x:c>
      <x:c r="C12" s="14" t="n">
        <x:v>46446</x:v>
      </x:c>
      <x:c r="D12" s="2" t="n">
        <x:f>COUNTIFS('Күнлик реже'!$C$8:$C$390,"&gt;="&amp;B12,'Күнлик реже'!$C$8:$C$390,"&lt;="&amp;C12)</x:f>
        <x:v>25</x:v>
      </x:c>
      <x:c r="E12" s="2" t="n">
        <x:f>D12-COUNTIFS('Күнлик реже'!$C$8:$C$390,"&gt;="&amp;B12,'Күнлик реже'!$C$8:$C$390,"&lt;="&amp;C12,'Күнлик реже'!$S$8:$S$390,1)</x:f>
        <x:v>25</x:v>
      </x:c>
      <x:c r="F12" s="2" t="n">
        <x:f>COUNTIFS('Күнлик реже'!$C$8:$C$390,"&gt;="&amp;B12,'Күнлик реже'!$C$8:$C$390,"&lt;="&amp;C12,'Күнлик реже'!$I$8:$I$390,0,'Күнлик реже'!$S$8:$S$390,1)</x:f>
        <x:v>0</x:v>
      </x:c>
      <x:c r="G12" s="2" t="n">
        <x:f>COUNTIFS('Күнлик реже'!$C$8:$C$390,"&gt;="&amp;B12,'Күнлик реже'!$C$8:$C$390,"&lt;="&amp;C12,'Күнлик реже'!$N$8:$N$390,1)</x:f>
        <x:v>0</x:v>
      </x:c>
      <x:c r="H12" s="2" t="n">
        <x:f>D12-E12-F12-G12</x:f>
        <x:v>0</x:v>
      </x:c>
      <x:c r="I12" s="17" t="n">
        <x:f>SUMIFS('Күнлик реже'!$J$8:$J$390,'Күнлик реже'!$C$8:$C$390,"&gt;="&amp;B12,'Күнлик реже'!$C$8:$C$390,"&lt;="&amp;C12)/60</x:f>
        <x:v>0</x:v>
      </x:c>
      <x:c r="J12" s="17" t="n">
        <x:f>SUMIFS('Күнлик есабат'!$G$8:$G$507,'Күнлик есабат'!$A$8:$A$507,"&gt;="&amp;B12,'Күнлик есабат'!$A$8:$A$507,"&lt;="&amp;C12,'Күнлик есабат'!$L$8:$L$507,0,'Күнлик есабат'!$M$8:$M$507,0)/60</x:f>
        <x:v>0</x:v>
      </x:c>
    </x:row>
    <x:row r="13" ht="28" customHeight="1">
      <x:c r="A13" s="2" t="str">
        <x:v>2027-03</x:v>
      </x:c>
      <x:c r="B13" s="14" t="n">
        <x:v>46447</x:v>
      </x:c>
      <x:c r="C13" s="14" t="n">
        <x:v>46477</x:v>
      </x:c>
      <x:c r="D13" s="2" t="n">
        <x:f>COUNTIFS('Күнлик реже'!$C$8:$C$390,"&gt;="&amp;B13,'Күнлик реже'!$C$8:$C$390,"&lt;="&amp;C13)</x:f>
        <x:v>22</x:v>
      </x:c>
      <x:c r="E13" s="2" t="n">
        <x:f>D13-COUNTIFS('Күнлик реже'!$C$8:$C$390,"&gt;="&amp;B13,'Күнлик реже'!$C$8:$C$390,"&lt;="&amp;C13,'Күнлик реже'!$S$8:$S$390,1)</x:f>
        <x:v>22</x:v>
      </x:c>
      <x:c r="F13" s="2" t="n">
        <x:f>COUNTIFS('Күнлик реже'!$C$8:$C$390,"&gt;="&amp;B13,'Күнлик реже'!$C$8:$C$390,"&lt;="&amp;C13,'Күнлик реже'!$I$8:$I$390,0,'Күнлик реже'!$S$8:$S$390,1)</x:f>
        <x:v>0</x:v>
      </x:c>
      <x:c r="G13" s="2" t="n">
        <x:f>COUNTIFS('Күнлик реже'!$C$8:$C$390,"&gt;="&amp;B13,'Күнлик реже'!$C$8:$C$390,"&lt;="&amp;C13,'Күнлик реже'!$N$8:$N$390,1)</x:f>
        <x:v>0</x:v>
      </x:c>
      <x:c r="H13" s="2" t="n">
        <x:f>D13-E13-F13-G13</x:f>
        <x:v>0</x:v>
      </x:c>
      <x:c r="I13" s="17" t="n">
        <x:f>SUMIFS('Күнлик реже'!$J$8:$J$390,'Күнлик реже'!$C$8:$C$390,"&gt;="&amp;B13,'Күнлик реже'!$C$8:$C$390,"&lt;="&amp;C13)/60</x:f>
        <x:v>0</x:v>
      </x:c>
      <x:c r="J13" s="17" t="n">
        <x:f>SUMIFS('Күнлик есабат'!$G$8:$G$507,'Күнлик есабат'!$A$8:$A$507,"&gt;="&amp;B13,'Күнлик есабат'!$A$8:$A$507,"&lt;="&amp;C13,'Күнлик есабат'!$L$8:$L$507,0,'Күнлик есабат'!$M$8:$M$507,0)/60</x:f>
        <x:v>0</x:v>
      </x:c>
    </x:row>
    <x:row r="14" ht="28" customHeight="1">
      <x:c r="A14" s="2" t="str">
        <x:v>2027-04</x:v>
      </x:c>
      <x:c r="B14" s="14" t="n">
        <x:v>46478</x:v>
      </x:c>
      <x:c r="C14" s="14" t="n">
        <x:v>46507</x:v>
      </x:c>
      <x:c r="D14" s="2" t="n">
        <x:f>COUNTIFS('Күнлик реже'!$C$8:$C$390,"&gt;="&amp;B14,'Күнлик реже'!$C$8:$C$390,"&lt;="&amp;C14)</x:f>
        <x:v>23</x:v>
      </x:c>
      <x:c r="E14" s="2" t="n">
        <x:f>D14-COUNTIFS('Күнлик реже'!$C$8:$C$390,"&gt;="&amp;B14,'Күнлик реже'!$C$8:$C$390,"&lt;="&amp;C14,'Күнлик реже'!$S$8:$S$390,1)</x:f>
        <x:v>23</x:v>
      </x:c>
      <x:c r="F14" s="2" t="n">
        <x:f>COUNTIFS('Күнлик реже'!$C$8:$C$390,"&gt;="&amp;B14,'Күнлик реже'!$C$8:$C$390,"&lt;="&amp;C14,'Күнлик реже'!$I$8:$I$390,0,'Күнлик реже'!$S$8:$S$390,1)</x:f>
        <x:v>0</x:v>
      </x:c>
      <x:c r="G14" s="2" t="n">
        <x:f>COUNTIFS('Күнлик реже'!$C$8:$C$390,"&gt;="&amp;B14,'Күнлик реже'!$C$8:$C$390,"&lt;="&amp;C14,'Күнлик реже'!$N$8:$N$390,1)</x:f>
        <x:v>0</x:v>
      </x:c>
      <x:c r="H14" s="2" t="n">
        <x:f>D14-E14-F14-G14</x:f>
        <x:v>0</x:v>
      </x:c>
      <x:c r="I14" s="17" t="n">
        <x:f>SUMIFS('Күнлик реже'!$J$8:$J$390,'Күнлик реже'!$C$8:$C$390,"&gt;="&amp;B14,'Күнлик реже'!$C$8:$C$390,"&lt;="&amp;C14)/60</x:f>
        <x:v>0</x:v>
      </x:c>
      <x:c r="J14" s="17" t="n">
        <x:f>SUMIFS('Күнлик есабат'!$G$8:$G$507,'Күнлик есабат'!$A$8:$A$507,"&gt;="&amp;B14,'Күнлик есабат'!$A$8:$A$507,"&lt;="&amp;C14,'Күнлик есабат'!$L$8:$L$507,0,'Күнлик есабат'!$M$8:$M$507,0)/60</x:f>
        <x:v>0</x:v>
      </x:c>
    </x:row>
    <x:row r="15" ht="28" customHeight="1">
      <x:c r="A15" s="2" t="str">
        <x:v>2027-05</x:v>
      </x:c>
      <x:c r="B15" s="14" t="n">
        <x:v>46508</x:v>
      </x:c>
      <x:c r="C15" s="14" t="n">
        <x:v>46538</x:v>
      </x:c>
      <x:c r="D15" s="2" t="n">
        <x:f>COUNTIFS('Күнлик реже'!$C$8:$C$390,"&gt;="&amp;B15,'Күнлик реже'!$C$8:$C$390,"&lt;="&amp;C15)</x:f>
        <x:v>22</x:v>
      </x:c>
      <x:c r="E15" s="2" t="n">
        <x:f>D15-COUNTIFS('Күнлик реже'!$C$8:$C$390,"&gt;="&amp;B15,'Күнлик реже'!$C$8:$C$390,"&lt;="&amp;C15,'Күнлик реже'!$S$8:$S$390,1)</x:f>
        <x:v>22</x:v>
      </x:c>
      <x:c r="F15" s="2" t="n">
        <x:f>COUNTIFS('Күнлик реже'!$C$8:$C$390,"&gt;="&amp;B15,'Күнлик реже'!$C$8:$C$390,"&lt;="&amp;C15,'Күнлик реже'!$I$8:$I$390,0,'Күнлик реже'!$S$8:$S$390,1)</x:f>
        <x:v>0</x:v>
      </x:c>
      <x:c r="G15" s="2" t="n">
        <x:f>COUNTIFS('Күнлик реже'!$C$8:$C$390,"&gt;="&amp;B15,'Күнлик реже'!$C$8:$C$390,"&lt;="&amp;C15,'Күнлик реже'!$N$8:$N$390,1)</x:f>
        <x:v>0</x:v>
      </x:c>
      <x:c r="H15" s="2" t="n">
        <x:f>D15-E15-F15-G15</x:f>
        <x:v>0</x:v>
      </x:c>
      <x:c r="I15" s="17" t="n">
        <x:f>SUMIFS('Күнлик реже'!$J$8:$J$390,'Күнлик реже'!$C$8:$C$390,"&gt;="&amp;B15,'Күнлик реже'!$C$8:$C$390,"&lt;="&amp;C15)/60</x:f>
        <x:v>0</x:v>
      </x:c>
      <x:c r="J15" s="17" t="n">
        <x:f>SUMIFS('Күнлик есабат'!$G$8:$G$507,'Күнлик есабат'!$A$8:$A$507,"&gt;="&amp;B15,'Күнлик есабат'!$A$8:$A$507,"&lt;="&amp;C15,'Күнлик есабат'!$L$8:$L$507,0,'Күнлик есабат'!$M$8:$M$507,0)/60</x:f>
        <x:v>0</x:v>
      </x:c>
    </x:row>
    <x:row r="16" ht="28" customHeight="1">
      <x:c r="A16" s="2" t="str">
        <x:v>2027-06</x:v>
      </x:c>
      <x:c r="B16" s="14" t="n">
        <x:v>46539</x:v>
      </x:c>
      <x:c r="C16" s="14" t="n">
        <x:v>46568</x:v>
      </x:c>
      <x:c r="D16" s="2" t="n">
        <x:f>COUNTIFS('Күнлик реже'!$C$8:$C$390,"&gt;="&amp;B16,'Күнлик реже'!$C$8:$C$390,"&lt;="&amp;C16)</x:f>
        <x:v>22</x:v>
      </x:c>
      <x:c r="E16" s="2" t="n">
        <x:f>D16-COUNTIFS('Күнлик реже'!$C$8:$C$390,"&gt;="&amp;B16,'Күнлик реже'!$C$8:$C$390,"&lt;="&amp;C16,'Күнлик реже'!$S$8:$S$390,1)</x:f>
        <x:v>22</x:v>
      </x:c>
      <x:c r="F16" s="2" t="n">
        <x:f>COUNTIFS('Күнлик реже'!$C$8:$C$390,"&gt;="&amp;B16,'Күнлик реже'!$C$8:$C$390,"&lt;="&amp;C16,'Күнлик реже'!$I$8:$I$390,0,'Күнлик реже'!$S$8:$S$390,1)</x:f>
        <x:v>0</x:v>
      </x:c>
      <x:c r="G16" s="2" t="n">
        <x:f>COUNTIFS('Күнлик реже'!$C$8:$C$390,"&gt;="&amp;B16,'Күнлик реже'!$C$8:$C$390,"&lt;="&amp;C16,'Күнлик реже'!$N$8:$N$390,1)</x:f>
        <x:v>0</x:v>
      </x:c>
      <x:c r="H16" s="2" t="n">
        <x:f>D16-E16-F16-G16</x:f>
        <x:v>0</x:v>
      </x:c>
      <x:c r="I16" s="17" t="n">
        <x:f>SUMIFS('Күнлик реже'!$J$8:$J$390,'Күнлик реже'!$C$8:$C$390,"&gt;="&amp;B16,'Күнлик реже'!$C$8:$C$390,"&lt;="&amp;C16)/60</x:f>
        <x:v>0</x:v>
      </x:c>
      <x:c r="J16" s="17" t="n">
        <x:f>SUMIFS('Күнлик есабат'!$G$8:$G$507,'Күнлик есабат'!$A$8:$A$507,"&gt;="&amp;B16,'Күнлик есабат'!$A$8:$A$507,"&lt;="&amp;C16,'Күнлик есабат'!$L$8:$L$507,0,'Күнлик есабат'!$M$8:$M$507,0)/60</x:f>
        <x:v>0</x:v>
      </x:c>
    </x:row>
    <x:row r="17" ht="28" customHeight="1">
      <x:c r="A17" s="2" t="str">
        <x:v>2027-07</x:v>
      </x:c>
      <x:c r="B17" s="14" t="n">
        <x:v>46569</x:v>
      </x:c>
      <x:c r="C17" s="14" t="n">
        <x:v>46599</x:v>
      </x:c>
      <x:c r="D17" s="2" t="n">
        <x:f>COUNTIFS('Күнлик реже'!$C$8:$C$390,"&gt;="&amp;B17,'Күнлик реже'!$C$8:$C$390,"&lt;="&amp;C17)</x:f>
        <x:v>23</x:v>
      </x:c>
      <x:c r="E17" s="2" t="n">
        <x:f>D17-COUNTIFS('Күнлик реже'!$C$8:$C$390,"&gt;="&amp;B17,'Күнлик реже'!$C$8:$C$390,"&lt;="&amp;C17,'Күнлик реже'!$S$8:$S$390,1)</x:f>
        <x:v>23</x:v>
      </x:c>
      <x:c r="F17" s="2" t="n">
        <x:f>COUNTIFS('Күнлик реже'!$C$8:$C$390,"&gt;="&amp;B17,'Күнлик реже'!$C$8:$C$390,"&lt;="&amp;C17,'Күнлик реже'!$I$8:$I$390,0,'Күнлик реже'!$S$8:$S$390,1)</x:f>
        <x:v>0</x:v>
      </x:c>
      <x:c r="G17" s="2" t="n">
        <x:f>COUNTIFS('Күнлик реже'!$C$8:$C$390,"&gt;="&amp;B17,'Күнлик реже'!$C$8:$C$390,"&lt;="&amp;C17,'Күнлик реже'!$N$8:$N$390,1)</x:f>
        <x:v>0</x:v>
      </x:c>
      <x:c r="H17" s="2" t="n">
        <x:f>D17-E17-F17-G17</x:f>
        <x:v>0</x:v>
      </x:c>
      <x:c r="I17" s="17" t="n">
        <x:f>SUMIFS('Күнлик реже'!$J$8:$J$390,'Күнлик реже'!$C$8:$C$390,"&gt;="&amp;B17,'Күнлик реже'!$C$8:$C$390,"&lt;="&amp;C17)/60</x:f>
        <x:v>0</x:v>
      </x:c>
      <x:c r="J17" s="17" t="n">
        <x:f>SUMIFS('Күнлик есабат'!$G$8:$G$507,'Күнлик есабат'!$A$8:$A$507,"&gt;="&amp;B17,'Күнлик есабат'!$A$8:$A$507,"&lt;="&amp;C17,'Күнлик есабат'!$L$8:$L$507,0,'Күнлик есабат'!$M$8:$M$507,0)/60</x:f>
        <x:v>0</x:v>
      </x:c>
    </x:row>
    <x:row r="18" ht="28" customHeight="1">
      <x:c r="A18" s="2" t="str">
        <x:v>2027-08</x:v>
      </x:c>
      <x:c r="B18" s="14" t="n">
        <x:v>46600</x:v>
      </x:c>
      <x:c r="C18" s="14" t="n">
        <x:v>46630</x:v>
      </x:c>
      <x:c r="D18" s="2" t="n">
        <x:f>COUNTIFS('Күнлик реже'!$C$8:$C$390,"&gt;="&amp;B18,'Күнлик реже'!$C$8:$C$390,"&lt;="&amp;C18)</x:f>
        <x:v>22</x:v>
      </x:c>
      <x:c r="E18" s="2" t="n">
        <x:f>D18-COUNTIFS('Күнлик реже'!$C$8:$C$390,"&gt;="&amp;B18,'Күнлик реже'!$C$8:$C$390,"&lt;="&amp;C18,'Күнлик реже'!$S$8:$S$390,1)</x:f>
        <x:v>22</x:v>
      </x:c>
      <x:c r="F18" s="2" t="n">
        <x:f>COUNTIFS('Күнлик реже'!$C$8:$C$390,"&gt;="&amp;B18,'Күнлик реже'!$C$8:$C$390,"&lt;="&amp;C18,'Күнлик реже'!$I$8:$I$390,0,'Күнлик реже'!$S$8:$S$390,1)</x:f>
        <x:v>0</x:v>
      </x:c>
      <x:c r="G18" s="2" t="n">
        <x:f>COUNTIFS('Күнлик реже'!$C$8:$C$390,"&gt;="&amp;B18,'Күнлик реже'!$C$8:$C$390,"&lt;="&amp;C18,'Күнлик реже'!$N$8:$N$390,1)</x:f>
        <x:v>0</x:v>
      </x:c>
      <x:c r="H18" s="2" t="n">
        <x:f>D18-E18-F18-G18</x:f>
        <x:v>0</x:v>
      </x:c>
      <x:c r="I18" s="17" t="n">
        <x:f>SUMIFS('Күнлик реже'!$J$8:$J$390,'Күнлик реже'!$C$8:$C$390,"&gt;="&amp;B18,'Күнлик реже'!$C$8:$C$390,"&lt;="&amp;C18)/60</x:f>
        <x:v>0</x:v>
      </x:c>
      <x:c r="J18" s="17" t="n">
        <x:f>SUMIFS('Күнлик есабат'!$G$8:$G$507,'Күнлик есабат'!$A$8:$A$507,"&gt;="&amp;B18,'Күнлик есабат'!$A$8:$A$507,"&lt;="&amp;C18,'Күнлик есабат'!$L$8:$L$507,0,'Күнлик есабат'!$M$8:$M$507,0)/60</x:f>
        <x:v>0</x:v>
      </x:c>
    </x:row>
    <x:row r="19" ht="28" customHeight="1">
      <x:c r="A19" s="2" t="str">
        <x:v>2027-09</x:v>
      </x:c>
      <x:c r="B19" s="14" t="n">
        <x:v>46631</x:v>
      </x:c>
      <x:c r="C19" s="14" t="n">
        <x:v>46660</x:v>
      </x:c>
      <x:c r="D19" s="2" t="n">
        <x:f>COUNTIFS('Күнлик реже'!$C$8:$C$390,"&gt;="&amp;B19,'Күнлик реже'!$C$8:$C$390,"&lt;="&amp;C19)</x:f>
        <x:v>22</x:v>
      </x:c>
      <x:c r="E19" s="2" t="n">
        <x:f>D19-COUNTIFS('Күнлик реже'!$C$8:$C$390,"&gt;="&amp;B19,'Күнлик реже'!$C$8:$C$390,"&lt;="&amp;C19,'Күнлик реже'!$S$8:$S$390,1)</x:f>
        <x:v>22</x:v>
      </x:c>
      <x:c r="F19" s="2" t="n">
        <x:f>COUNTIFS('Күнлик реже'!$C$8:$C$390,"&gt;="&amp;B19,'Күнлик реже'!$C$8:$C$390,"&lt;="&amp;C19,'Күнлик реже'!$I$8:$I$390,0,'Күнлик реже'!$S$8:$S$390,1)</x:f>
        <x:v>0</x:v>
      </x:c>
      <x:c r="G19" s="2" t="n">
        <x:f>COUNTIFS('Күнлик реже'!$C$8:$C$390,"&gt;="&amp;B19,'Күнлик реже'!$C$8:$C$390,"&lt;="&amp;C19,'Күнлик реже'!$N$8:$N$390,1)</x:f>
        <x:v>0</x:v>
      </x:c>
      <x:c r="H19" s="2" t="n">
        <x:f>D19-E19-F19-G19</x:f>
        <x:v>0</x:v>
      </x:c>
      <x:c r="I19" s="17" t="n">
        <x:f>SUMIFS('Күнлик реже'!$J$8:$J$390,'Күнлик реже'!$C$8:$C$390,"&gt;="&amp;B19,'Күнлик реже'!$C$8:$C$390,"&lt;="&amp;C19)/60</x:f>
        <x:v>0</x:v>
      </x:c>
      <x:c r="J19" s="17" t="n">
        <x:f>SUMIFS('Күнлик есабат'!$G$8:$G$507,'Күнлик есабат'!$A$8:$A$507,"&gt;="&amp;B19,'Күнлик есабат'!$A$8:$A$507,"&lt;="&amp;C19,'Күнлик есабат'!$L$8:$L$507,0,'Күнлик есабат'!$M$8:$M$507,0)/60</x:f>
        <x:v>0</x:v>
      </x:c>
    </x:row>
    <x:row r="20" ht="28" customHeight="1">
      <x:c r="A20" s="2" t="str">
        <x:v>2027-10</x:v>
      </x:c>
      <x:c r="B20" s="14" t="n">
        <x:v>46661</x:v>
      </x:c>
      <x:c r="C20" s="14" t="n">
        <x:v>46691</x:v>
      </x:c>
      <x:c r="D20" s="2" t="n">
        <x:f>COUNTIFS('Күнлик реже'!$C$8:$C$390,"&gt;="&amp;B20,'Күнлик реже'!$C$8:$C$390,"&lt;="&amp;C20)</x:f>
        <x:v>23</x:v>
      </x:c>
      <x:c r="E20" s="2" t="n">
        <x:f>D20-COUNTIFS('Күнлик реже'!$C$8:$C$390,"&gt;="&amp;B20,'Күнлик реже'!$C$8:$C$390,"&lt;="&amp;C20,'Күнлик реже'!$S$8:$S$390,1)</x:f>
        <x:v>23</x:v>
      </x:c>
      <x:c r="F20" s="2" t="n">
        <x:f>COUNTIFS('Күнлик реже'!$C$8:$C$390,"&gt;="&amp;B20,'Күнлик реже'!$C$8:$C$390,"&lt;="&amp;C20,'Күнлик реже'!$I$8:$I$390,0,'Күнлик реже'!$S$8:$S$390,1)</x:f>
        <x:v>0</x:v>
      </x:c>
      <x:c r="G20" s="2" t="n">
        <x:f>COUNTIFS('Күнлик реже'!$C$8:$C$390,"&gt;="&amp;B20,'Күнлик реже'!$C$8:$C$390,"&lt;="&amp;C20,'Күнлик реже'!$N$8:$N$390,1)</x:f>
        <x:v>0</x:v>
      </x:c>
      <x:c r="H20" s="2" t="n">
        <x:f>D20-E20-F20-G20</x:f>
        <x:v>0</x:v>
      </x:c>
      <x:c r="I20" s="17" t="n">
        <x:f>SUMIFS('Күнлик реже'!$J$8:$J$390,'Күнлик реже'!$C$8:$C$390,"&gt;="&amp;B20,'Күнлик реже'!$C$8:$C$390,"&lt;="&amp;C20)/60</x:f>
        <x:v>0</x:v>
      </x:c>
      <x:c r="J20" s="17" t="n">
        <x:f>SUMIFS('Күнлик есабат'!$G$8:$G$507,'Күнлик есабат'!$A$8:$A$507,"&gt;="&amp;B20,'Күнлик есабат'!$A$8:$A$507,"&lt;="&amp;C20,'Күнлик есабат'!$L$8:$L$507,0,'Күнлик есабат'!$M$8:$M$507,0)/60</x:f>
        <x:v>0</x:v>
      </x:c>
    </x:row>
    <x:row r="21" ht="28" customHeight="1">
      <x:c r="A21" s="2" t="str">
        <x:v>2027-11</x:v>
      </x:c>
      <x:c r="B21" s="14" t="n">
        <x:v>46692</x:v>
      </x:c>
      <x:c r="C21" s="14" t="n">
        <x:v>46721</x:v>
      </x:c>
      <x:c r="D21" s="2" t="n">
        <x:f>COUNTIFS('Күнлик реже'!$C$8:$C$390,"&gt;="&amp;B21,'Күнлик реже'!$C$8:$C$390,"&lt;="&amp;C21)</x:f>
        <x:v>22</x:v>
      </x:c>
      <x:c r="E21" s="2" t="n">
        <x:f>D21-COUNTIFS('Күнлик реже'!$C$8:$C$390,"&gt;="&amp;B21,'Күнлик реже'!$C$8:$C$390,"&lt;="&amp;C21,'Күнлик реже'!$S$8:$S$390,1)</x:f>
        <x:v>22</x:v>
      </x:c>
      <x:c r="F21" s="2" t="n">
        <x:f>COUNTIFS('Күнлик реже'!$C$8:$C$390,"&gt;="&amp;B21,'Күнлик реже'!$C$8:$C$390,"&lt;="&amp;C21,'Күнлик реже'!$I$8:$I$390,0,'Күнлик реже'!$S$8:$S$390,1)</x:f>
        <x:v>0</x:v>
      </x:c>
      <x:c r="G21" s="2" t="n">
        <x:f>COUNTIFS('Күнлик реже'!$C$8:$C$390,"&gt;="&amp;B21,'Күнлик реже'!$C$8:$C$390,"&lt;="&amp;C21,'Күнлик реже'!$N$8:$N$390,1)</x:f>
        <x:v>0</x:v>
      </x:c>
      <x:c r="H21" s="2" t="n">
        <x:f>D21-E21-F21-G21</x:f>
        <x:v>0</x:v>
      </x:c>
      <x:c r="I21" s="17" t="n">
        <x:f>SUMIFS('Күнлик реже'!$J$8:$J$390,'Күнлик реже'!$C$8:$C$390,"&gt;="&amp;B21,'Күнлик реже'!$C$8:$C$390,"&lt;="&amp;C21)/60</x:f>
        <x:v>0</x:v>
      </x:c>
      <x:c r="J21" s="17" t="n">
        <x:f>SUMIFS('Күнлик есабат'!$G$8:$G$507,'Күнлик есабат'!$A$8:$A$507,"&gt;="&amp;B21,'Күнлик есабат'!$A$8:$A$507,"&lt;="&amp;C21,'Күнлик есабат'!$L$8:$L$507,0,'Күнлик есабат'!$M$8:$M$507,0)/60</x:f>
        <x:v>0</x:v>
      </x:c>
    </x:row>
    <x:row r="22" ht="28" customHeight="1">
      <x:c r="A22" s="2" t="str">
        <x:v>2027-12</x:v>
      </x:c>
      <x:c r="B22" s="14" t="n">
        <x:v>46722</x:v>
      </x:c>
      <x:c r="C22" s="14" t="n">
        <x:v>46752</x:v>
      </x:c>
      <x:c r="D22" s="2" t="n">
        <x:f>COUNTIFS('Күнлик реже'!$C$8:$C$390,"&gt;="&amp;B22,'Күнлик реже'!$C$8:$C$390,"&lt;="&amp;C22)</x:f>
        <x:v>22</x:v>
      </x:c>
      <x:c r="E22" s="2" t="n">
        <x:f>D22-COUNTIFS('Күнлик реже'!$C$8:$C$390,"&gt;="&amp;B22,'Күнлик реже'!$C$8:$C$390,"&lt;="&amp;C22,'Күнлик реже'!$S$8:$S$390,1)</x:f>
        <x:v>22</x:v>
      </x:c>
      <x:c r="F22" s="2" t="n">
        <x:f>COUNTIFS('Күнлик реже'!$C$8:$C$390,"&gt;="&amp;B22,'Күнлик реже'!$C$8:$C$390,"&lt;="&amp;C22,'Күнлик реже'!$I$8:$I$390,0,'Күнлик реже'!$S$8:$S$390,1)</x:f>
        <x:v>0</x:v>
      </x:c>
      <x:c r="G22" s="2" t="n">
        <x:f>COUNTIFS('Күнлик реже'!$C$8:$C$390,"&gt;="&amp;B22,'Күнлик реже'!$C$8:$C$390,"&lt;="&amp;C22,'Күнлик реже'!$N$8:$N$390,1)</x:f>
        <x:v>0</x:v>
      </x:c>
      <x:c r="H22" s="2" t="n">
        <x:f>D22-E22-F22-G22</x:f>
        <x:v>0</x:v>
      </x:c>
      <x:c r="I22" s="17" t="n">
        <x:f>SUMIFS('Күнлик реже'!$J$8:$J$390,'Күнлик реже'!$C$8:$C$390,"&gt;="&amp;B22,'Күнлик реже'!$C$8:$C$390,"&lt;="&amp;C22)/60</x:f>
        <x:v>0</x:v>
      </x:c>
      <x:c r="J22" s="17" t="n">
        <x:f>SUMIFS('Күнлик есабат'!$G$8:$G$507,'Күнлик есабат'!$A$8:$A$507,"&gt;="&amp;B22,'Күнлик есабат'!$A$8:$A$507,"&lt;="&amp;C22,'Күнлик есабат'!$L$8:$L$507,0,'Күнлик есабат'!$M$8:$M$507,0)/60</x:f>
        <x:v>0</x:v>
      </x:c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</x:sheetData>
  <x:pageMargins left="0.7" right="0.7" top="0.75" bottom="0.75" header="0.3" footer="0.3"/>
  <x:tableParts count="1">
    <x:tablePart xmlns:r="http://schemas.openxmlformats.org/officeDocument/2006/relationships" r:id="Rdf60067193724001"/>
  </x:tableParts>
</x:worksheet>
</file>

<file path=xl/worksheets/sheet6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КВАРТАЛЛЫҚ РЕЖЕ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Тапсырмалар реже күни бойынша жыйналған. Орынланыў — сол тапсырмаларға байланысқан барлық есабатлар бойынша.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2" t="str">
        <x:v>Нақты саат есабат сәнеси бойынша. Бос реже саны бар тапсырмалар бөлек көрсетиледи.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50" customHeight="1">
      <x:c r="A7" s="8" t="str">
        <x:v>Дәўир</x:v>
      </x:c>
      <x:c r="B7" s="8" t="str">
        <x:v>Басланыў</x:v>
      </x:c>
      <x:c r="C7" s="8" t="str">
        <x:v>Аяқланыў</x:v>
      </x:c>
      <x:c r="D7" s="8" t="str">
        <x:v>Тапсырма саны</x:v>
      </x:c>
      <x:c r="E7" s="8" t="str">
        <x:v>Саны анықланбаған</x:v>
      </x:c>
      <x:c r="F7" s="8" t="str">
        <x:v>Тийисли емес (0)</x:v>
      </x:c>
      <x:c r="G7" s="8" t="str">
        <x:v>Толық питкен</x:v>
      </x:c>
      <x:c r="H7" s="8" t="str">
        <x:v>Қалған тапсырма</x:v>
      </x:c>
      <x:c r="I7" s="8" t="str">
        <x:v>Реже саат</x:v>
      </x:c>
      <x:c r="J7" s="8" t="str">
        <x:v>Нақты саат</x:v>
      </x:c>
    </x:row>
    <x:row r="8" ht="28" customHeight="1">
      <x:c r="A8" s="2" t="str">
        <x:v>2026 / IV-квартал</x:v>
      </x:c>
      <x:c r="B8" s="14" t="n">
        <x:v>46304</x:v>
      </x:c>
      <x:c r="C8" s="14" t="n">
        <x:v>46387</x:v>
      </x:c>
      <x:c r="D8" s="2" t="n">
        <x:f>COUNTIFS('Күнлик реже'!$C$8:$C$390,"&gt;="&amp;B8,'Күнлик реже'!$C$8:$C$390,"&lt;="&amp;C8)</x:f>
        <x:v>64</x:v>
      </x:c>
      <x:c r="E8" s="2" t="n">
        <x:f>D8-COUNTIFS('Күнлик реже'!$C$8:$C$390,"&gt;="&amp;B8,'Күнлик реже'!$C$8:$C$390,"&lt;="&amp;C8,'Күнлик реже'!$S$8:$S$390,1)</x:f>
        <x:v>64</x:v>
      </x:c>
      <x:c r="F8" s="2" t="n">
        <x:f>COUNTIFS('Күнлик реже'!$C$8:$C$390,"&gt;="&amp;B8,'Күнлик реже'!$C$8:$C$390,"&lt;="&amp;C8,'Күнлик реже'!$I$8:$I$390,0,'Күнлик реже'!$S$8:$S$390,1)</x:f>
        <x:v>0</x:v>
      </x:c>
      <x:c r="G8" s="2" t="n">
        <x:f>COUNTIFS('Күнлик реже'!$C$8:$C$390,"&gt;="&amp;B8,'Күнлик реже'!$C$8:$C$390,"&lt;="&amp;C8,'Күнлик реже'!$N$8:$N$390,1)</x:f>
        <x:v>0</x:v>
      </x:c>
      <x:c r="H8" s="2" t="n">
        <x:f>D8-E8-F8-G8</x:f>
        <x:v>0</x:v>
      </x:c>
      <x:c r="I8" s="17" t="n">
        <x:f>SUMIFS('Күнлик реже'!$J$8:$J$390,'Күнлик реже'!$C$8:$C$390,"&gt;="&amp;B8,'Күнлик реже'!$C$8:$C$390,"&lt;="&amp;C8)/60</x:f>
        <x:v>0</x:v>
      </x:c>
      <x:c r="J8" s="17" t="n">
        <x:f>SUMIFS('Күнлик есабат'!$G$8:$G$507,'Күнлик есабат'!$A$8:$A$507,"&gt;="&amp;B8,'Күнлик есабат'!$A$8:$A$507,"&lt;="&amp;C8,'Күнлик есабат'!$L$8:$L$507,0,'Күнлик есабат'!$M$8:$M$507,0)/60</x:f>
        <x:v>0</x:v>
      </x:c>
    </x:row>
    <x:row r="9" ht="28" customHeight="1">
      <x:c r="A9" s="2" t="str">
        <x:v>2027 / 1-квартал</x:v>
      </x:c>
      <x:c r="B9" s="14" t="n">
        <x:v>46388</x:v>
      </x:c>
      <x:c r="C9" s="14" t="n">
        <x:v>46477</x:v>
      </x:c>
      <x:c r="D9" s="2" t="n">
        <x:f>COUNTIFS('Күнлик реже'!$C$8:$C$390,"&gt;="&amp;B9,'Күнлик реже'!$C$8:$C$390,"&lt;="&amp;C9)</x:f>
        <x:v>71</x:v>
      </x:c>
      <x:c r="E9" s="2" t="n">
        <x:f>D9-COUNTIFS('Күнлик реже'!$C$8:$C$390,"&gt;="&amp;B9,'Күнлик реже'!$C$8:$C$390,"&lt;="&amp;C9,'Күнлик реже'!$S$8:$S$390,1)</x:f>
        <x:v>71</x:v>
      </x:c>
      <x:c r="F9" s="2" t="n">
        <x:f>COUNTIFS('Күнлик реже'!$C$8:$C$390,"&gt;="&amp;B9,'Күнлик реже'!$C$8:$C$390,"&lt;="&amp;C9,'Күнлик реже'!$I$8:$I$390,0,'Күнлик реже'!$S$8:$S$390,1)</x:f>
        <x:v>0</x:v>
      </x:c>
      <x:c r="G9" s="2" t="n">
        <x:f>COUNTIFS('Күнлик реже'!$C$8:$C$390,"&gt;="&amp;B9,'Күнлик реже'!$C$8:$C$390,"&lt;="&amp;C9,'Күнлик реже'!$N$8:$N$390,1)</x:f>
        <x:v>0</x:v>
      </x:c>
      <x:c r="H9" s="2" t="n">
        <x:f>D9-E9-F9-G9</x:f>
        <x:v>0</x:v>
      </x:c>
      <x:c r="I9" s="17" t="n">
        <x:f>SUMIFS('Күнлик реже'!$J$8:$J$390,'Күнлик реже'!$C$8:$C$390,"&gt;="&amp;B9,'Күнлик реже'!$C$8:$C$390,"&lt;="&amp;C9)/60</x:f>
        <x:v>0</x:v>
      </x:c>
      <x:c r="J9" s="17" t="n">
        <x:f>SUMIFS('Күнлик есабат'!$G$8:$G$507,'Күнлик есабат'!$A$8:$A$507,"&gt;="&amp;B9,'Күнлик есабат'!$A$8:$A$507,"&lt;="&amp;C9,'Күнлик есабат'!$L$8:$L$507,0,'Күнлик есабат'!$M$8:$M$507,0)/60</x:f>
        <x:v>0</x:v>
      </x:c>
    </x:row>
    <x:row r="10" ht="28" customHeight="1">
      <x:c r="A10" s="2" t="str">
        <x:v>2027 / 2-квартал</x:v>
      </x:c>
      <x:c r="B10" s="14" t="n">
        <x:v>46478</x:v>
      </x:c>
      <x:c r="C10" s="14" t="n">
        <x:v>46568</x:v>
      </x:c>
      <x:c r="D10" s="2" t="n">
        <x:f>COUNTIFS('Күнлик реже'!$C$8:$C$390,"&gt;="&amp;B10,'Күнлик реже'!$C$8:$C$390,"&lt;="&amp;C10)</x:f>
        <x:v>67</x:v>
      </x:c>
      <x:c r="E10" s="2" t="n">
        <x:f>D10-COUNTIFS('Күнлик реже'!$C$8:$C$390,"&gt;="&amp;B10,'Күнлик реже'!$C$8:$C$390,"&lt;="&amp;C10,'Күнлик реже'!$S$8:$S$390,1)</x:f>
        <x:v>67</x:v>
      </x:c>
      <x:c r="F10" s="2" t="n">
        <x:f>COUNTIFS('Күнлик реже'!$C$8:$C$390,"&gt;="&amp;B10,'Күнлик реже'!$C$8:$C$390,"&lt;="&amp;C10,'Күнлик реже'!$I$8:$I$390,0,'Күнлик реже'!$S$8:$S$390,1)</x:f>
        <x:v>0</x:v>
      </x:c>
      <x:c r="G10" s="2" t="n">
        <x:f>COUNTIFS('Күнлик реже'!$C$8:$C$390,"&gt;="&amp;B10,'Күнлик реже'!$C$8:$C$390,"&lt;="&amp;C10,'Күнлик реже'!$N$8:$N$390,1)</x:f>
        <x:v>0</x:v>
      </x:c>
      <x:c r="H10" s="2" t="n">
        <x:f>D10-E10-F10-G10</x:f>
        <x:v>0</x:v>
      </x:c>
      <x:c r="I10" s="17" t="n">
        <x:f>SUMIFS('Күнлик реже'!$J$8:$J$390,'Күнлик реже'!$C$8:$C$390,"&gt;="&amp;B10,'Күнлик реже'!$C$8:$C$390,"&lt;="&amp;C10)/60</x:f>
        <x:v>0</x:v>
      </x:c>
      <x:c r="J10" s="17" t="n">
        <x:f>SUMIFS('Күнлик есабат'!$G$8:$G$507,'Күнлик есабат'!$A$8:$A$507,"&gt;="&amp;B10,'Күнлик есабат'!$A$8:$A$507,"&lt;="&amp;C10,'Күнлик есабат'!$L$8:$L$507,0,'Күнлик есабат'!$M$8:$M$507,0)/60</x:f>
        <x:v>0</x:v>
      </x:c>
    </x:row>
    <x:row r="11" ht="28" customHeight="1">
      <x:c r="A11" s="2" t="str">
        <x:v>2027 / 3-квартал</x:v>
      </x:c>
      <x:c r="B11" s="14" t="n">
        <x:v>46569</x:v>
      </x:c>
      <x:c r="C11" s="14" t="n">
        <x:v>46660</x:v>
      </x:c>
      <x:c r="D11" s="2" t="n">
        <x:f>COUNTIFS('Күнлик реже'!$C$8:$C$390,"&gt;="&amp;B11,'Күнлик реже'!$C$8:$C$390,"&lt;="&amp;C11)</x:f>
        <x:v>67</x:v>
      </x:c>
      <x:c r="E11" s="2" t="n">
        <x:f>D11-COUNTIFS('Күнлик реже'!$C$8:$C$390,"&gt;="&amp;B11,'Күнлик реже'!$C$8:$C$390,"&lt;="&amp;C11,'Күнлик реже'!$S$8:$S$390,1)</x:f>
        <x:v>67</x:v>
      </x:c>
      <x:c r="F11" s="2" t="n">
        <x:f>COUNTIFS('Күнлик реже'!$C$8:$C$390,"&gt;="&amp;B11,'Күнлик реже'!$C$8:$C$390,"&lt;="&amp;C11,'Күнлик реже'!$I$8:$I$390,0,'Күнлик реже'!$S$8:$S$390,1)</x:f>
        <x:v>0</x:v>
      </x:c>
      <x:c r="G11" s="2" t="n">
        <x:f>COUNTIFS('Күнлик реже'!$C$8:$C$390,"&gt;="&amp;B11,'Күнлик реже'!$C$8:$C$390,"&lt;="&amp;C11,'Күнлик реже'!$N$8:$N$390,1)</x:f>
        <x:v>0</x:v>
      </x:c>
      <x:c r="H11" s="2" t="n">
        <x:f>D11-E11-F11-G11</x:f>
        <x:v>0</x:v>
      </x:c>
      <x:c r="I11" s="17" t="n">
        <x:f>SUMIFS('Күнлик реже'!$J$8:$J$390,'Күнлик реже'!$C$8:$C$390,"&gt;="&amp;B11,'Күнлик реже'!$C$8:$C$390,"&lt;="&amp;C11)/60</x:f>
        <x:v>0</x:v>
      </x:c>
      <x:c r="J11" s="17" t="n">
        <x:f>SUMIFS('Күнлик есабат'!$G$8:$G$507,'Күнлик есабат'!$A$8:$A$507,"&gt;="&amp;B11,'Күнлик есабат'!$A$8:$A$507,"&lt;="&amp;C11,'Күнлик есабат'!$L$8:$L$507,0,'Күнлик есабат'!$M$8:$M$507,0)/60</x:f>
        <x:v>0</x:v>
      </x:c>
    </x:row>
    <x:row r="12" ht="28" customHeight="1">
      <x:c r="A12" s="2" t="str">
        <x:v>2027 / 4-квартал</x:v>
      </x:c>
      <x:c r="B12" s="14" t="n">
        <x:v>46661</x:v>
      </x:c>
      <x:c r="C12" s="14" t="n">
        <x:v>46752</x:v>
      </x:c>
      <x:c r="D12" s="2" t="n">
        <x:f>COUNTIFS('Күнлик реже'!$C$8:$C$390,"&gt;="&amp;B12,'Күнлик реже'!$C$8:$C$390,"&lt;="&amp;C12)</x:f>
        <x:v>67</x:v>
      </x:c>
      <x:c r="E12" s="2" t="n">
        <x:f>D12-COUNTIFS('Күнлик реже'!$C$8:$C$390,"&gt;="&amp;B12,'Күнлик реже'!$C$8:$C$390,"&lt;="&amp;C12,'Күнлик реже'!$S$8:$S$390,1)</x:f>
        <x:v>67</x:v>
      </x:c>
      <x:c r="F12" s="2" t="n">
        <x:f>COUNTIFS('Күнлик реже'!$C$8:$C$390,"&gt;="&amp;B12,'Күнлик реже'!$C$8:$C$390,"&lt;="&amp;C12,'Күнлик реже'!$I$8:$I$390,0,'Күнлик реже'!$S$8:$S$390,1)</x:f>
        <x:v>0</x:v>
      </x:c>
      <x:c r="G12" s="2" t="n">
        <x:f>COUNTIFS('Күнлик реже'!$C$8:$C$390,"&gt;="&amp;B12,'Күнлик реже'!$C$8:$C$390,"&lt;="&amp;C12,'Күнлик реже'!$N$8:$N$390,1)</x:f>
        <x:v>0</x:v>
      </x:c>
      <x:c r="H12" s="2" t="n">
        <x:f>D12-E12-F12-G12</x:f>
        <x:v>0</x:v>
      </x:c>
      <x:c r="I12" s="17" t="n">
        <x:f>SUMIFS('Күнлик реже'!$J$8:$J$390,'Күнлик реже'!$C$8:$C$390,"&gt;="&amp;B12,'Күнлик реже'!$C$8:$C$390,"&lt;="&amp;C12)/60</x:f>
        <x:v>0</x:v>
      </x:c>
      <x:c r="J12" s="17" t="n">
        <x:f>SUMIFS('Күнлик есабат'!$G$8:$G$507,'Күнлик есабат'!$A$8:$A$507,"&gt;="&amp;B12,'Күнлик есабат'!$A$8:$A$507,"&lt;="&amp;C12,'Күнлик есабат'!$L$8:$L$507,0,'Күнлик есабат'!$M$8:$M$507,0)/60</x:f>
        <x:v>0</x:v>
      </x:c>
    </x:row>
    <x:row r="13" ht="28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pageMargins left="0.7" right="0.7" top="0.75" bottom="0.75" header="0.3" footer="0.3"/>
  <x:tableParts count="1">
    <x:tablePart xmlns:r="http://schemas.openxmlformats.org/officeDocument/2006/relationships" r:id="R2a81a6d3fe9b4850"/>
  </x:tableParts>
</x:worksheet>
</file>

<file path=xl/worksheets/sheet7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ЖЫЛЛЫҚ РЕЖЕ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Тапсырмалар реже күни бойынша жыйналған. Орынланыў — сол тапсырмаларға байланысқан барлық есабатлар бойынша.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2" t="str">
        <x:v>Нақты саат есабат сәнеси бойынша. Бос реже саны бар тапсырмалар бөлек көрсетиледи.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50" customHeight="1">
      <x:c r="A7" s="8" t="str">
        <x:v>Дәўир</x:v>
      </x:c>
      <x:c r="B7" s="8" t="str">
        <x:v>Басланыў</x:v>
      </x:c>
      <x:c r="C7" s="8" t="str">
        <x:v>Аяқланыў</x:v>
      </x:c>
      <x:c r="D7" s="8" t="str">
        <x:v>Тапсырма саны</x:v>
      </x:c>
      <x:c r="E7" s="8" t="str">
        <x:v>Саны анықланбаған</x:v>
      </x:c>
      <x:c r="F7" s="8" t="str">
        <x:v>Тийисли емес (0)</x:v>
      </x:c>
      <x:c r="G7" s="8" t="str">
        <x:v>Толық питкен</x:v>
      </x:c>
      <x:c r="H7" s="8" t="str">
        <x:v>Қалған тапсырма</x:v>
      </x:c>
      <x:c r="I7" s="8" t="str">
        <x:v>Реже саат</x:v>
      </x:c>
      <x:c r="J7" s="8" t="str">
        <x:v>Нақты саат</x:v>
      </x:c>
    </x:row>
    <x:row r="8" ht="28" customHeight="1">
      <x:c r="A8" s="2" t="str">
        <x:v>2026 / қалған дәўир</x:v>
      </x:c>
      <x:c r="B8" s="14" t="n">
        <x:v>46304</x:v>
      </x:c>
      <x:c r="C8" s="14" t="n">
        <x:v>46387</x:v>
      </x:c>
      <x:c r="D8" s="2" t="n">
        <x:f>COUNTIFS('Күнлик реже'!$C$8:$C$390,"&gt;="&amp;B8,'Күнлик реже'!$C$8:$C$390,"&lt;="&amp;C8)</x:f>
        <x:v>64</x:v>
      </x:c>
      <x:c r="E8" s="2" t="n">
        <x:f>D8-COUNTIFS('Күнлик реже'!$C$8:$C$390,"&gt;="&amp;B8,'Күнлик реже'!$C$8:$C$390,"&lt;="&amp;C8,'Күнлик реже'!$S$8:$S$390,1)</x:f>
        <x:v>64</x:v>
      </x:c>
      <x:c r="F8" s="2" t="n">
        <x:f>COUNTIFS('Күнлик реже'!$C$8:$C$390,"&gt;="&amp;B8,'Күнлик реже'!$C$8:$C$390,"&lt;="&amp;C8,'Күнлик реже'!$I$8:$I$390,0,'Күнлик реже'!$S$8:$S$390,1)</x:f>
        <x:v>0</x:v>
      </x:c>
      <x:c r="G8" s="2" t="n">
        <x:f>COUNTIFS('Күнлик реже'!$C$8:$C$390,"&gt;="&amp;B8,'Күнлик реже'!$C$8:$C$390,"&lt;="&amp;C8,'Күнлик реже'!$N$8:$N$390,1)</x:f>
        <x:v>0</x:v>
      </x:c>
      <x:c r="H8" s="2" t="n">
        <x:f>D8-E8-F8-G8</x:f>
        <x:v>0</x:v>
      </x:c>
      <x:c r="I8" s="17" t="n">
        <x:f>SUMIFS('Күнлик реже'!$J$8:$J$390,'Күнлик реже'!$C$8:$C$390,"&gt;="&amp;B8,'Күнлик реже'!$C$8:$C$390,"&lt;="&amp;C8)/60</x:f>
        <x:v>0</x:v>
      </x:c>
      <x:c r="J8" s="17" t="n">
        <x:f>SUMIFS('Күнлик есабат'!$G$8:$G$507,'Күнлик есабат'!$A$8:$A$507,"&gt;="&amp;B8,'Күнлик есабат'!$A$8:$A$507,"&lt;="&amp;C8,'Күнлик есабат'!$L$8:$L$507,0,'Күнлик есабат'!$M$8:$M$507,0)/60</x:f>
        <x:v>0</x:v>
      </x:c>
    </x:row>
    <x:row r="9" ht="28" customHeight="1">
      <x:c r="A9" s="2" t="str">
        <x:v>2027 / толық жыл</x:v>
      </x:c>
      <x:c r="B9" s="14" t="n">
        <x:v>46388</x:v>
      </x:c>
      <x:c r="C9" s="14" t="n">
        <x:v>46752</x:v>
      </x:c>
      <x:c r="D9" s="2" t="n">
        <x:f>COUNTIFS('Күнлик реже'!$C$8:$C$390,"&gt;="&amp;B9,'Күнлик реже'!$C$8:$C$390,"&lt;="&amp;C9)</x:f>
        <x:v>272</x:v>
      </x:c>
      <x:c r="E9" s="2" t="n">
        <x:f>D9-COUNTIFS('Күнлик реже'!$C$8:$C$390,"&gt;="&amp;B9,'Күнлик реже'!$C$8:$C$390,"&lt;="&amp;C9,'Күнлик реже'!$S$8:$S$390,1)</x:f>
        <x:v>272</x:v>
      </x:c>
      <x:c r="F9" s="2" t="n">
        <x:f>COUNTIFS('Күнлик реже'!$C$8:$C$390,"&gt;="&amp;B9,'Күнлик реже'!$C$8:$C$390,"&lt;="&amp;C9,'Күнлик реже'!$I$8:$I$390,0,'Күнлик реже'!$S$8:$S$390,1)</x:f>
        <x:v>0</x:v>
      </x:c>
      <x:c r="G9" s="2" t="n">
        <x:f>COUNTIFS('Күнлик реже'!$C$8:$C$390,"&gt;="&amp;B9,'Күнлик реже'!$C$8:$C$390,"&lt;="&amp;C9,'Күнлик реже'!$N$8:$N$390,1)</x:f>
        <x:v>0</x:v>
      </x:c>
      <x:c r="H9" s="2" t="n">
        <x:f>D9-E9-F9-G9</x:f>
        <x:v>0</x:v>
      </x:c>
      <x:c r="I9" s="17" t="n">
        <x:f>SUMIFS('Күнлик реже'!$J$8:$J$390,'Күнлик реже'!$C$8:$C$390,"&gt;="&amp;B9,'Күнлик реже'!$C$8:$C$390,"&lt;="&amp;C9)/60</x:f>
        <x:v>0</x:v>
      </x:c>
      <x:c r="J9" s="17" t="n">
        <x:f>SUMIFS('Күнлик есабат'!$G$8:$G$507,'Күнлик есабат'!$A$8:$A$507,"&gt;="&amp;B9,'Күнлик есабат'!$A$8:$A$507,"&lt;="&amp;C9,'Күнлик есабат'!$L$8:$L$507,0,'Күнлик есабат'!$M$8:$M$507,0)/60</x:f>
        <x:v>0</x:v>
      </x:c>
    </x:row>
    <x:row r="10" ht="28" customHeight="1">
      <x:c r="A10" s="2" t="str">
        <x:v>2027 жылды жуўмақлаў</x:v>
      </x:c>
      <x:c r="B10" s="14" t="n">
        <x:v>46753</x:v>
      </x:c>
      <x:c r="C10" s="14" t="n">
        <x:v>46843</x:v>
      </x:c>
      <x:c r="D10" s="2" t="n">
        <x:f>COUNTIFS('Күнлик реже'!$C$8:$C$390,"&gt;="&amp;B10,'Күнлик реже'!$C$8:$C$390,"&lt;="&amp;C10)</x:f>
        <x:v>14</x:v>
      </x:c>
      <x:c r="E10" s="2" t="n">
        <x:f>D10-COUNTIFS('Күнлик реже'!$C$8:$C$390,"&gt;="&amp;B10,'Күнлик реже'!$C$8:$C$390,"&lt;="&amp;C10,'Күнлик реже'!$S$8:$S$390,1)</x:f>
        <x:v>14</x:v>
      </x:c>
      <x:c r="F10" s="2" t="n">
        <x:f>COUNTIFS('Күнлик реже'!$C$8:$C$390,"&gt;="&amp;B10,'Күнлик реже'!$C$8:$C$390,"&lt;="&amp;C10,'Күнлик реже'!$I$8:$I$390,0,'Күнлик реже'!$S$8:$S$390,1)</x:f>
        <x:v>0</x:v>
      </x:c>
      <x:c r="G10" s="2" t="n">
        <x:f>COUNTIFS('Күнлик реже'!$C$8:$C$390,"&gt;="&amp;B10,'Күнлик реже'!$C$8:$C$390,"&lt;="&amp;C10,'Күнлик реже'!$N$8:$N$390,1)</x:f>
        <x:v>0</x:v>
      </x:c>
      <x:c r="H10" s="2" t="n">
        <x:f>D10-E10-F10-G10</x:f>
        <x:v>0</x:v>
      </x:c>
      <x:c r="I10" s="17" t="n">
        <x:f>SUMIFS('Күнлик реже'!$J$8:$J$390,'Күнлик реже'!$C$8:$C$390,"&gt;="&amp;B10,'Күнлик реже'!$C$8:$C$390,"&lt;="&amp;C10)/60</x:f>
        <x:v>0</x:v>
      </x:c>
      <x:c r="J10" s="17" t="n">
        <x:f>SUMIFS('Күнлик есабат'!$G$8:$G$507,'Күнлик есабат'!$A$8:$A$507,"&gt;="&amp;B10,'Күнлик есабат'!$A$8:$A$507,"&lt;="&amp;C10,'Күнлик есабат'!$L$8:$L$507,0,'Күнлик есабат'!$M$8:$M$507,0)/60</x:f>
        <x:v>0</x:v>
      </x:c>
    </x:row>
    <x:row r="11" ht="28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8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</x:sheetData>
  <x:pageMargins left="0.7" right="0.7" top="0.75" bottom="0.75" header="0.3" footer="0.3"/>
  <x:tableParts count="1">
    <x:tablePart xmlns:r="http://schemas.openxmlformats.org/officeDocument/2006/relationships" r:id="R42b218576e314201"/>
  </x:tableParts>
</x:worksheet>
</file>

<file path=xl/worksheets/sheet8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3" hidden="0" customWidth="1"/>
    <x:col min="5" max="5" width="16" hidden="0" customWidth="1"/>
    <x:col min="6" max="6" width="16" hidden="0" customWidth="1"/>
    <x:col min="7" max="7" width="16" hidden="0" customWidth="1"/>
    <x:col min="8" max="8" width="47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2026–2027 САЛЫҚ КАЛЕНДАРЫ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8" customHeight="1">
      <x:c r="A4" s="2" t="str">
        <x:v>E — кодекстеги календарь күн. F — дем алыс, байрам ҳәм өзгерислерди есапқа алған рәсмий күн (қол менен растаў).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8" customHeight="1">
      <x:c r="A5" s="2" t="str">
        <x:v>G: 1 — рәсмий күн расталды; 0 — растаў керек. 2027-жыл ҳәм 2028-жылдағы жуўмақ мүддетлери қайта тексериледи.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50" customHeight="1">
      <x:c r="A7" s="8" t="str">
        <x:v>Календарь коды</x:v>
      </x:c>
      <x:c r="B7" s="8" t="str">
        <x:v>Есабат дәўири</x:v>
      </x:c>
      <x:c r="C7" s="8" t="str">
        <x:v>Қағыйда коды</x:v>
      </x:c>
      <x:c r="D7" s="8" t="str">
        <x:v>Мәжбүрият</x:v>
      </x:c>
      <x:c r="E7" s="8" t="str">
        <x:v>Кодекс бойынша күн</x:v>
      </x:c>
      <x:c r="F7" s="8" t="str">
        <x:v>Рәсмий күн</x:v>
      </x:c>
      <x:c r="G7" s="8" t="str">
        <x:v>Расталды (0/1)</x:v>
      </x:c>
      <x:c r="H7" s="8" t="str">
        <x:v>Қолланылыў шарты</x:v>
      </x:c>
      <x:c r="I7" s="8" t="str">
        <x:v>Профиль бағаны</x:v>
      </x:c>
      <x:c r="J7" s="8" t="str">
        <x:v>Ишки таярлаў күни</x:v>
      </x:c>
      <x:c r="K7" s="8" t="str">
        <x:v>Мүддет ҳалы</x:v>
      </x:c>
    </x:row>
    <x:row r="8" ht="48" customHeight="1">
      <x:c r="A8" s="2" t="n">
        <x:v>1</x:v>
      </x:c>
      <x:c r="B8" s="2" t="str">
        <x:v>2026-09</x:v>
      </x:c>
      <x:c r="C8" s="2" t="n">
        <x:v>1</x:v>
      </x:c>
      <x:c r="D8" s="13" t="str">
        <x:v>ҚҚС есабаты</x:v>
      </x:c>
      <x:c r="E8" s="14" t="n">
        <x:v>46315</x:v>
      </x:c>
      <x:c r="F8" s="12"/>
      <x:c r="G8" s="11" t="n">
        <x:v>0</x:v>
      </x:c>
      <x:c r="H8" s="13" t="str">
        <x:v>ҚҚС төлеўши</x:v>
      </x:c>
      <x:c r="I8" s="2" t="str">
        <x:v>F</x:v>
      </x:c>
      <x:c r="J8" s="14" t="n">
        <x:f>IF(F8="",E8-'Басшы жуўмағы'!$B$6,F8-'Басшы жуўмағы'!$B$6)</x:f>
        <x:v>46312</x:v>
      </x:c>
      <x:c r="K8" s="2" t="str">
        <x:f>IF(AND(G8=1,ISNUMBER(F8)),"Расталды","Растаў керек")</x:f>
        <x:v>Растаў керек</x:v>
      </x:c>
    </x:row>
    <x:row r="9" ht="48" customHeight="1">
      <x:c r="A9" s="2" t="n">
        <x:v>2</x:v>
      </x:c>
      <x:c r="B9" s="2" t="str">
        <x:v>2026-09</x:v>
      </x:c>
      <x:c r="C9" s="2" t="n">
        <x:v>2</x:v>
      </x:c>
      <x:c r="D9" s="13" t="str">
        <x:v>ҚҚС төлеми</x:v>
      </x:c>
      <x:c r="E9" s="14" t="n">
        <x:v>46315</x:v>
      </x:c>
      <x:c r="F9" s="12"/>
      <x:c r="G9" s="11" t="n">
        <x:v>0</x:v>
      </x:c>
      <x:c r="H9" s="13" t="str">
        <x:v>Есапланған салық бойынша</x:v>
      </x:c>
      <x:c r="I9" s="2" t="str">
        <x:v>F</x:v>
      </x:c>
      <x:c r="J9" s="14" t="n">
        <x:f>IF(F9="",E9-'Басшы жуўмағы'!$B$6,F9-'Басшы жуўмағы'!$B$6)</x:f>
        <x:v>46312</x:v>
      </x:c>
      <x:c r="K9" s="2" t="str">
        <x:f>IF(AND(G9=1,ISNUMBER(F9)),"Расталды","Растаў керек")</x:f>
        <x:v>Растаў керек</x:v>
      </x:c>
    </x:row>
    <x:row r="10" ht="48" customHeight="1">
      <x:c r="A10" s="2" t="n">
        <x:v>3</x:v>
      </x:c>
      <x:c r="B10" s="2" t="str">
        <x:v>2026-09</x:v>
      </x:c>
      <x:c r="C10" s="2" t="n">
        <x:v>3</x:v>
      </x:c>
      <x:c r="D10" s="13" t="str">
        <x:v>Айланба салығы есабаты</x:v>
      </x:c>
      <x:c r="E10" s="14" t="n">
        <x:v>46310</x:v>
      </x:c>
      <x:c r="F10" s="12"/>
      <x:c r="G10" s="11" t="n">
        <x:v>0</x:v>
      </x:c>
      <x:c r="H10" s="13" t="str">
        <x:v>Айланба салығы төлеўши</x:v>
      </x:c>
      <x:c r="I10" s="2" t="str">
        <x:v>G</x:v>
      </x:c>
      <x:c r="J10" s="14" t="n">
        <x:f>IF(F10="",E10-'Басшы жуўмағы'!$B$6,F10-'Басшы жуўмағы'!$B$6)</x:f>
        <x:v>46307</x:v>
      </x:c>
      <x:c r="K10" s="2" t="str">
        <x:f>IF(AND(G10=1,ISNUMBER(F10)),"Расталды","Растаў керек")</x:f>
        <x:v>Растаў керек</x:v>
      </x:c>
    </x:row>
    <x:row r="11" ht="48" customHeight="1">
      <x:c r="A11" s="2" t="n">
        <x:v>4</x:v>
      </x:c>
      <x:c r="B11" s="2" t="str">
        <x:v>2026-09</x:v>
      </x:c>
      <x:c r="C11" s="2" t="n">
        <x:v>4</x:v>
      </x:c>
      <x:c r="D11" s="13" t="str">
        <x:v>Айланба салығы төлеми</x:v>
      </x:c>
      <x:c r="E11" s="14" t="n">
        <x:v>46310</x:v>
      </x:c>
      <x:c r="F11" s="12"/>
      <x:c r="G11" s="11" t="n">
        <x:v>0</x:v>
      </x:c>
      <x:c r="H11" s="13" t="str">
        <x:v>Салық суммасы бойынша</x:v>
      </x:c>
      <x:c r="I11" s="2" t="str">
        <x:v>G</x:v>
      </x:c>
      <x:c r="J11" s="14" t="n">
        <x:f>IF(F11="",E11-'Басшы жуўмағы'!$B$6,F11-'Басшы жуўмағы'!$B$6)</x:f>
        <x:v>46307</x:v>
      </x:c>
      <x:c r="K11" s="2" t="str">
        <x:f>IF(AND(G11=1,ISNUMBER(F11)),"Расталды","Растаў керек")</x:f>
        <x:v>Растаў керек</x:v>
      </x:c>
    </x:row>
    <x:row r="12" ht="48" customHeight="1">
      <x:c r="A12" s="2" t="n">
        <x:v>5</x:v>
      </x:c>
      <x:c r="B12" s="2" t="str">
        <x:v>2026-09</x:v>
      </x:c>
      <x:c r="C12" s="2" t="n">
        <x:v>5</x:v>
      </x:c>
      <x:c r="D12" s="13" t="str">
        <x:v>Дәрамат салығы есабаты</x:v>
      </x:c>
      <x:c r="E12" s="14" t="n">
        <x:v>46310</x:v>
      </x:c>
      <x:c r="F12" s="12"/>
      <x:c r="G12" s="11" t="n">
        <x:v>0</x:v>
      </x:c>
      <x:c r="H12" s="13" t="str">
        <x:v>Салық агенти</x:v>
      </x:c>
      <x:c r="I12" s="2" t="str">
        <x:v>I</x:v>
      </x:c>
      <x:c r="J12" s="14" t="n">
        <x:f>IF(F12="",E12-'Басшы жуўмағы'!$B$6,F12-'Басшы жуўмағы'!$B$6)</x:f>
        <x:v>46307</x:v>
      </x:c>
      <x:c r="K12" s="2" t="str">
        <x:f>IF(AND(G12=1,ISNUMBER(F12)),"Расталды","Растаў керек")</x:f>
        <x:v>Растаў керек</x:v>
      </x:c>
    </x:row>
    <x:row r="13" ht="48" customHeight="1">
      <x:c r="A13" s="2" t="n">
        <x:v>6</x:v>
      </x:c>
      <x:c r="B13" s="2" t="str">
        <x:v>2026-09</x:v>
      </x:c>
      <x:c r="C13" s="2" t="n">
        <x:v>6</x:v>
      </x:c>
      <x:c r="D13" s="13" t="str">
        <x:v>Социаллық салық есабаты</x:v>
      </x:c>
      <x:c r="E13" s="14" t="n">
        <x:v>46310</x:v>
      </x:c>
      <x:c r="F13" s="12"/>
      <x:c r="G13" s="11" t="n">
        <x:v>0</x:v>
      </x:c>
      <x:c r="H13" s="13" t="str">
        <x:v>Айлық салықлары тийисли</x:v>
      </x:c>
      <x:c r="I13" s="2" t="str">
        <x:v>I</x:v>
      </x:c>
      <x:c r="J13" s="14" t="n">
        <x:f>IF(F13="",E13-'Басшы жуўмағы'!$B$6,F13-'Басшы жуўмағы'!$B$6)</x:f>
        <x:v>46307</x:v>
      </x:c>
      <x:c r="K13" s="2" t="str">
        <x:f>IF(AND(G13=1,ISNUMBER(F13)),"Расталды","Растаў керек")</x:f>
        <x:v>Растаў керек</x:v>
      </x:c>
    </x:row>
    <x:row r="14" ht="48" customHeight="1">
      <x:c r="A14" s="2" t="n">
        <x:v>7</x:v>
      </x:c>
      <x:c r="B14" s="2" t="str">
        <x:v>2026-09</x:v>
      </x:c>
      <x:c r="C14" s="2" t="n">
        <x:v>7</x:v>
      </x:c>
      <x:c r="D14" s="13" t="str">
        <x:v>Социаллық салық төлеми</x:v>
      </x:c>
      <x:c r="E14" s="14" t="n">
        <x:v>46310</x:v>
      </x:c>
      <x:c r="F14" s="12"/>
      <x:c r="G14" s="11" t="n">
        <x:v>0</x:v>
      </x:c>
      <x:c r="H14" s="13" t="str">
        <x:v>Салық суммасы бойынша</x:v>
      </x:c>
      <x:c r="I14" s="2" t="str">
        <x:v>I</x:v>
      </x:c>
      <x:c r="J14" s="14" t="n">
        <x:f>IF(F14="",E14-'Басшы жуўмағы'!$B$6,F14-'Басшы жуўмағы'!$B$6)</x:f>
        <x:v>46307</x:v>
      </x:c>
      <x:c r="K14" s="2" t="str">
        <x:f>IF(AND(G14=1,ISNUMBER(F14)),"Расталды","Растаў керек")</x:f>
        <x:v>Растаў керек</x:v>
      </x:c>
    </x:row>
    <x:row r="15" ht="48" customHeight="1">
      <x:c r="A15" s="2" t="n">
        <x:v>8</x:v>
      </x:c>
      <x:c r="B15" s="2" t="str">
        <x:v>2026-09</x:v>
      </x:c>
      <x:c r="C15" s="2" t="n">
        <x:v>8</x:v>
      </x:c>
      <x:c r="D15" s="13" t="str">
        <x:v>Акциз есабаты ҳәм төлемин тексериў</x:v>
      </x:c>
      <x:c r="E15" s="14" t="n">
        <x:v>46305</x:v>
      </x:c>
      <x:c r="F15" s="12"/>
      <x:c r="G15" s="11" t="n">
        <x:v>0</x:v>
      </x:c>
      <x:c r="H15" s="13" t="str">
        <x:v>Акциз төлеўши</x:v>
      </x:c>
      <x:c r="I15" s="2" t="str">
        <x:v>N</x:v>
      </x:c>
      <x:c r="J15" s="14" t="n">
        <x:f>IF(F15="",E15-'Басшы жуўмағы'!$B$6,F15-'Басшы жуўмағы'!$B$6)</x:f>
        <x:v>46302</x:v>
      </x:c>
      <x:c r="K15" s="2" t="str">
        <x:f>IF(AND(G15=1,ISNUMBER(F15)),"Расталды","Растаў керек")</x:f>
        <x:v>Растаў керек</x:v>
      </x:c>
    </x:row>
    <x:row r="16" ht="48" customHeight="1">
      <x:c r="A16" s="2" t="n">
        <x:v>9</x:v>
      </x:c>
      <x:c r="B16" s="2" t="str">
        <x:v>2026-09</x:v>
      </x:c>
      <x:c r="C16" s="2" t="n">
        <x:v>9</x:v>
      </x:c>
      <x:c r="D16" s="13" t="str">
        <x:v>Дивиденд ҳәм процент салығы есабаты</x:v>
      </x:c>
      <x:c r="E16" s="14" t="n">
        <x:v>46315</x:v>
      </x:c>
      <x:c r="F16" s="12"/>
      <x:c r="G16" s="11" t="n">
        <x:v>0</x:v>
      </x:c>
      <x:c r="H16" s="13" t="str">
        <x:v>Дивиденд / процент есапланған болса</x:v>
      </x:c>
      <x:c r="I16" s="2" t="str">
        <x:v>O</x:v>
      </x:c>
      <x:c r="J16" s="14" t="n">
        <x:f>IF(F16="",E16-'Басшы жуўмағы'!$B$6,F16-'Басшы жуўмағы'!$B$6)</x:f>
        <x:v>46312</x:v>
      </x:c>
      <x:c r="K16" s="2" t="str">
        <x:f>IF(AND(G16=1,ISNUMBER(F16)),"Расталды","Растаў керек")</x:f>
        <x:v>Растаў керек</x:v>
      </x:c>
    </x:row>
    <x:row r="17" ht="48" customHeight="1">
      <x:c r="A17" s="2" t="n">
        <x:v>10</x:v>
      </x:c>
      <x:c r="B17" s="2" t="str">
        <x:v>2026-09</x:v>
      </x:c>
      <x:c r="C17" s="2" t="n">
        <x:v>10</x:v>
      </x:c>
      <x:c r="D17" s="13" t="str">
        <x:v>Норезидент дәраматы салығы есабаты</x:v>
      </x:c>
      <x:c r="E17" s="14" t="n">
        <x:v>46315</x:v>
      </x:c>
      <x:c r="F17" s="12"/>
      <x:c r="G17" s="11" t="n">
        <x:v>0</x:v>
      </x:c>
      <x:c r="H17" s="13" t="str">
        <x:v>Тийисли төлемлер болса</x:v>
      </x:c>
      <x:c r="I17" s="2" t="str">
        <x:v>P</x:v>
      </x:c>
      <x:c r="J17" s="14" t="n">
        <x:f>IF(F17="",E17-'Басшы жуўмағы'!$B$6,F17-'Басшы жуўмағы'!$B$6)</x:f>
        <x:v>46312</x:v>
      </x:c>
      <x:c r="K17" s="2" t="str">
        <x:f>IF(AND(G17=1,ISNUMBER(F17)),"Расталды","Растаў керек")</x:f>
        <x:v>Растаў керек</x:v>
      </x:c>
    </x:row>
    <x:row r="18" ht="48" customHeight="1">
      <x:c r="A18" s="2" t="n">
        <x:v>11</x:v>
      </x:c>
      <x:c r="B18" s="2" t="str">
        <x:v>2026-09</x:v>
      </x:c>
      <x:c r="C18" s="2" t="n">
        <x:v>11</x:v>
      </x:c>
      <x:c r="D18" s="13" t="str">
        <x:v>Жер қойнаўынан пайдаланыў есабаты</x:v>
      </x:c>
      <x:c r="E18" s="14" t="n">
        <x:v>46315</x:v>
      </x:c>
      <x:c r="F18" s="12"/>
      <x:c r="G18" s="11" t="n">
        <x:v>0</x:v>
      </x:c>
      <x:c r="H18" s="13" t="str">
        <x:v>Жер қойнауы ресурсы бойынша</x:v>
      </x:c>
      <x:c r="I18" s="2" t="str">
        <x:v>Q</x:v>
      </x:c>
      <x:c r="J18" s="14" t="n">
        <x:f>IF(F18="",E18-'Басшы жуўмағы'!$B$6,F18-'Басшы жуўмағы'!$B$6)</x:f>
        <x:v>46312</x:v>
      </x:c>
      <x:c r="K18" s="2" t="str">
        <x:f>IF(AND(G18=1,ISNUMBER(F18)),"Расталды","Растаў керек")</x:f>
        <x:v>Растаў керек</x:v>
      </x:c>
    </x:row>
    <x:row r="19" ht="48" customHeight="1">
      <x:c r="A19" s="2" t="n">
        <x:v>12</x:v>
      </x:c>
      <x:c r="B19" s="2" t="str">
        <x:v>2026-10</x:v>
      </x:c>
      <x:c r="C19" s="2" t="n">
        <x:v>12</x:v>
      </x:c>
      <x:c r="D19" s="13" t="str">
        <x:v>Пайда салығы авансы</x:v>
      </x:c>
      <x:c r="E19" s="14" t="n">
        <x:v>46318</x:v>
      </x:c>
      <x:c r="F19" s="12"/>
      <x:c r="G19" s="11" t="n">
        <x:v>0</x:v>
      </x:c>
      <x:c r="H19" s="13" t="str">
        <x:v>20 млрд сум шеги ҳәм басқа шартларды тексериў</x:v>
      </x:c>
      <x:c r="I19" s="2" t="str">
        <x:v>M</x:v>
      </x:c>
      <x:c r="J19" s="14" t="n">
        <x:f>IF(F19="",E19-'Басшы жуўмағы'!$B$6,F19-'Басшы жуўмағы'!$B$6)</x:f>
        <x:v>46315</x:v>
      </x:c>
      <x:c r="K19" s="2" t="str">
        <x:f>IF(AND(G19=1,ISNUMBER(F19)),"Расталды","Растаў керек")</x:f>
        <x:v>Растаў керек</x:v>
      </x:c>
    </x:row>
    <x:row r="20" ht="48" customHeight="1">
      <x:c r="A20" s="2" t="n">
        <x:v>13</x:v>
      </x:c>
      <x:c r="B20" s="2" t="str">
        <x:v>2026-10</x:v>
      </x:c>
      <x:c r="C20" s="2" t="n">
        <x:v>13</x:v>
      </x:c>
      <x:c r="D20" s="13" t="str">
        <x:v>Мүлк салығы айлық авансы</x:v>
      </x:c>
      <x:c r="E20" s="14" t="n">
        <x:v>46305</x:v>
      </x:c>
      <x:c r="F20" s="12"/>
      <x:c r="G20" s="11" t="n">
        <x:v>0</x:v>
      </x:c>
      <x:c r="H20" s="13" t="str">
        <x:v>Айланба төлеўшилерден басқа; 1/12</x:v>
      </x:c>
      <x:c r="I20" s="2" t="str">
        <x:v>J</x:v>
      </x:c>
      <x:c r="J20" s="14" t="n">
        <x:f>IF(F20="",E20-'Басшы жуўмағы'!$B$6,F20-'Басшы жуўмағы'!$B$6)</x:f>
        <x:v>46302</x:v>
      </x:c>
      <x:c r="K20" s="2" t="str">
        <x:f>IF(AND(G20=1,ISNUMBER(F20)),"Расталды","Растаў керек")</x:f>
        <x:v>Растаў керек</x:v>
      </x:c>
    </x:row>
    <x:row r="21" ht="48" customHeight="1">
      <x:c r="A21" s="2" t="n">
        <x:v>14</x:v>
      </x:c>
      <x:c r="B21" s="2" t="str">
        <x:v>2026-10</x:v>
      </x:c>
      <x:c r="C21" s="2" t="n">
        <x:v>14</x:v>
      </x:c>
      <x:c r="D21" s="13" t="str">
        <x:v>Жер салығы айлық төлеми</x:v>
      </x:c>
      <x:c r="E21" s="14" t="n">
        <x:v>46305</x:v>
      </x:c>
      <x:c r="F21" s="12"/>
      <x:c r="G21" s="11" t="n">
        <x:v>0</x:v>
      </x:c>
      <x:c r="H21" s="13" t="str">
        <x:v>Аўыл хожалығы емес жер; айланба емес; 1/12</x:v>
      </x:c>
      <x:c r="I21" s="2" t="str">
        <x:v>K</x:v>
      </x:c>
      <x:c r="J21" s="14" t="n">
        <x:f>IF(F21="",E21-'Басшы жуўмағы'!$B$6,F21-'Басшы жуўмағы'!$B$6)</x:f>
        <x:v>46302</x:v>
      </x:c>
      <x:c r="K21" s="2" t="str">
        <x:f>IF(AND(G21=1,ISNUMBER(F21)),"Расталды","Растаў керек")</x:f>
        <x:v>Растаў керек</x:v>
      </x:c>
    </x:row>
    <x:row r="22" ht="48" customHeight="1">
      <x:c r="A22" s="2" t="n">
        <x:v>15</x:v>
      </x:c>
      <x:c r="B22" s="2" t="str">
        <x:v>2026-10</x:v>
      </x:c>
      <x:c r="C22" s="2" t="n">
        <x:v>15</x:v>
      </x:c>
      <x:c r="D22" s="13" t="str">
        <x:v>Суў салығы айлық авансы</x:v>
      </x:c>
      <x:c r="E22" s="14" t="n">
        <x:v>46315</x:v>
      </x:c>
      <x:c r="F22" s="12"/>
      <x:c r="G22" s="11" t="n">
        <x:v>0</x:v>
      </x:c>
      <x:c r="H22" s="13" t="str">
        <x:v>Айланба емес; жыллық салық &gt;200 БҲМ; 1/12</x:v>
      </x:c>
      <x:c r="I22" s="2" t="str">
        <x:v>V</x:v>
      </x:c>
      <x:c r="J22" s="14" t="n">
        <x:f>IF(F22="",E22-'Басшы жуўмағы'!$B$6,F22-'Басшы жуўмағы'!$B$6)</x:f>
        <x:v>46312</x:v>
      </x:c>
      <x:c r="K22" s="2" t="str">
        <x:f>IF(AND(G22=1,ISNUMBER(F22)),"Расталды","Растаў керек")</x:f>
        <x:v>Растаў керек</x:v>
      </x:c>
    </x:row>
    <x:row r="23" ht="48" customHeight="1">
      <x:c r="A23" s="2" t="n">
        <x:v>16</x:v>
      </x:c>
      <x:c r="B23" s="2" t="str">
        <x:v>2026 / 2.3333333333333335-квартал</x:v>
      </x:c>
      <x:c r="C23" s="2" t="n">
        <x:v>16</x:v>
      </x:c>
      <x:c r="D23" s="13" t="str">
        <x:v>Пайда салығы квартал есабаты</x:v>
      </x:c>
      <x:c r="E23" s="14" t="n">
        <x:v>46315</x:v>
      </x:c>
      <x:c r="F23" s="12"/>
      <x:c r="G23" s="11" t="n">
        <x:v>0</x:v>
      </x:c>
      <x:c r="H23" s="13" t="str">
        <x:v>I–III квартал; кәдиги юридикалық шахс</x:v>
      </x:c>
      <x:c r="I23" s="2" t="str">
        <x:v>H</x:v>
      </x:c>
      <x:c r="J23" s="14" t="n">
        <x:f>IF(F23="",E23-'Басшы жуўмағы'!$B$6,F23-'Басшы жуўмағы'!$B$6)</x:f>
        <x:v>46312</x:v>
      </x:c>
      <x:c r="K23" s="2" t="str">
        <x:f>IF(AND(G23=1,ISNUMBER(F23)),"Расталды","Растаў керек")</x:f>
        <x:v>Растаў керек</x:v>
      </x:c>
    </x:row>
    <x:row r="24" ht="48" customHeight="1">
      <x:c r="A24" s="2" t="n">
        <x:v>17</x:v>
      </x:c>
      <x:c r="B24" s="2" t="str">
        <x:v>2026-10</x:v>
      </x:c>
      <x:c r="C24" s="2" t="n">
        <x:v>1</x:v>
      </x:c>
      <x:c r="D24" s="13" t="str">
        <x:v>ҚҚС есабаты</x:v>
      </x:c>
      <x:c r="E24" s="14" t="n">
        <x:v>46346</x:v>
      </x:c>
      <x:c r="F24" s="12"/>
      <x:c r="G24" s="11" t="n">
        <x:v>0</x:v>
      </x:c>
      <x:c r="H24" s="13" t="str">
        <x:v>ҚҚС төлеўши</x:v>
      </x:c>
      <x:c r="I24" s="2" t="str">
        <x:v>F</x:v>
      </x:c>
      <x:c r="J24" s="14" t="n">
        <x:f>IF(F24="",E24-'Басшы жуўмағы'!$B$6,F24-'Басшы жуўмағы'!$B$6)</x:f>
        <x:v>46343</x:v>
      </x:c>
      <x:c r="K24" s="2" t="str">
        <x:f>IF(AND(G24=1,ISNUMBER(F24)),"Расталды","Растаў керек")</x:f>
        <x:v>Растаў керек</x:v>
      </x:c>
    </x:row>
    <x:row r="25" ht="48" customHeight="1">
      <x:c r="A25" s="2" t="n">
        <x:v>18</x:v>
      </x:c>
      <x:c r="B25" s="2" t="str">
        <x:v>2026-10</x:v>
      </x:c>
      <x:c r="C25" s="2" t="n">
        <x:v>2</x:v>
      </x:c>
      <x:c r="D25" s="13" t="str">
        <x:v>ҚҚС төлеми</x:v>
      </x:c>
      <x:c r="E25" s="14" t="n">
        <x:v>46346</x:v>
      </x:c>
      <x:c r="F25" s="12"/>
      <x:c r="G25" s="11" t="n">
        <x:v>0</x:v>
      </x:c>
      <x:c r="H25" s="13" t="str">
        <x:v>Есапланған салық бойынша</x:v>
      </x:c>
      <x:c r="I25" s="2" t="str">
        <x:v>F</x:v>
      </x:c>
      <x:c r="J25" s="14" t="n">
        <x:f>IF(F25="",E25-'Басшы жуўмағы'!$B$6,F25-'Басшы жуўмағы'!$B$6)</x:f>
        <x:v>46343</x:v>
      </x:c>
      <x:c r="K25" s="2" t="str">
        <x:f>IF(AND(G25=1,ISNUMBER(F25)),"Расталды","Растаў керек")</x:f>
        <x:v>Растаў керек</x:v>
      </x:c>
    </x:row>
    <x:row r="26" ht="48" customHeight="1">
      <x:c r="A26" s="2" t="n">
        <x:v>19</x:v>
      </x:c>
      <x:c r="B26" s="2" t="str">
        <x:v>2026-10</x:v>
      </x:c>
      <x:c r="C26" s="2" t="n">
        <x:v>3</x:v>
      </x:c>
      <x:c r="D26" s="13" t="str">
        <x:v>Айланба салығы есабаты</x:v>
      </x:c>
      <x:c r="E26" s="14" t="n">
        <x:v>46341</x:v>
      </x:c>
      <x:c r="F26" s="12"/>
      <x:c r="G26" s="11" t="n">
        <x:v>0</x:v>
      </x:c>
      <x:c r="H26" s="13" t="str">
        <x:v>Айланба салығы төлеўши</x:v>
      </x:c>
      <x:c r="I26" s="2" t="str">
        <x:v>G</x:v>
      </x:c>
      <x:c r="J26" s="14" t="n">
        <x:f>IF(F26="",E26-'Басшы жуўмағы'!$B$6,F26-'Басшы жуўмағы'!$B$6)</x:f>
        <x:v>46338</x:v>
      </x:c>
      <x:c r="K26" s="2" t="str">
        <x:f>IF(AND(G26=1,ISNUMBER(F26)),"Расталды","Растаў керек")</x:f>
        <x:v>Растаў керек</x:v>
      </x:c>
    </x:row>
    <x:row r="27" ht="48" customHeight="1">
      <x:c r="A27" s="2" t="n">
        <x:v>20</x:v>
      </x:c>
      <x:c r="B27" s="2" t="str">
        <x:v>2026-10</x:v>
      </x:c>
      <x:c r="C27" s="2" t="n">
        <x:v>4</x:v>
      </x:c>
      <x:c r="D27" s="13" t="str">
        <x:v>Айланба салығы төлеми</x:v>
      </x:c>
      <x:c r="E27" s="14" t="n">
        <x:v>46341</x:v>
      </x:c>
      <x:c r="F27" s="12"/>
      <x:c r="G27" s="11" t="n">
        <x:v>0</x:v>
      </x:c>
      <x:c r="H27" s="13" t="str">
        <x:v>Салық суммасы бойынша</x:v>
      </x:c>
      <x:c r="I27" s="2" t="str">
        <x:v>G</x:v>
      </x:c>
      <x:c r="J27" s="14" t="n">
        <x:f>IF(F27="",E27-'Басшы жуўмағы'!$B$6,F27-'Басшы жуўмағы'!$B$6)</x:f>
        <x:v>46338</x:v>
      </x:c>
      <x:c r="K27" s="2" t="str">
        <x:f>IF(AND(G27=1,ISNUMBER(F27)),"Расталды","Растаў керек")</x:f>
        <x:v>Растаў керек</x:v>
      </x:c>
    </x:row>
    <x:row r="28" ht="48" customHeight="1">
      <x:c r="A28" s="2" t="n">
        <x:v>21</x:v>
      </x:c>
      <x:c r="B28" s="2" t="str">
        <x:v>2026-10</x:v>
      </x:c>
      <x:c r="C28" s="2" t="n">
        <x:v>5</x:v>
      </x:c>
      <x:c r="D28" s="13" t="str">
        <x:v>Дәрамат салығы есабаты</x:v>
      </x:c>
      <x:c r="E28" s="14" t="n">
        <x:v>46341</x:v>
      </x:c>
      <x:c r="F28" s="12"/>
      <x:c r="G28" s="11" t="n">
        <x:v>0</x:v>
      </x:c>
      <x:c r="H28" s="13" t="str">
        <x:v>Салық агенти</x:v>
      </x:c>
      <x:c r="I28" s="2" t="str">
        <x:v>I</x:v>
      </x:c>
      <x:c r="J28" s="14" t="n">
        <x:f>IF(F28="",E28-'Басшы жуўмағы'!$B$6,F28-'Басшы жуўмағы'!$B$6)</x:f>
        <x:v>46338</x:v>
      </x:c>
      <x:c r="K28" s="2" t="str">
        <x:f>IF(AND(G28=1,ISNUMBER(F28)),"Расталды","Растаў керек")</x:f>
        <x:v>Растаў керек</x:v>
      </x:c>
    </x:row>
    <x:row r="29" ht="48" customHeight="1">
      <x:c r="A29" s="2" t="n">
        <x:v>22</x:v>
      </x:c>
      <x:c r="B29" s="2" t="str">
        <x:v>2026-10</x:v>
      </x:c>
      <x:c r="C29" s="2" t="n">
        <x:v>6</x:v>
      </x:c>
      <x:c r="D29" s="13" t="str">
        <x:v>Социаллық салық есабаты</x:v>
      </x:c>
      <x:c r="E29" s="14" t="n">
        <x:v>46341</x:v>
      </x:c>
      <x:c r="F29" s="12"/>
      <x:c r="G29" s="11" t="n">
        <x:v>0</x:v>
      </x:c>
      <x:c r="H29" s="13" t="str">
        <x:v>Айлық салықлары тийисли</x:v>
      </x:c>
      <x:c r="I29" s="2" t="str">
        <x:v>I</x:v>
      </x:c>
      <x:c r="J29" s="14" t="n">
        <x:f>IF(F29="",E29-'Басшы жуўмағы'!$B$6,F29-'Басшы жуўмағы'!$B$6)</x:f>
        <x:v>46338</x:v>
      </x:c>
      <x:c r="K29" s="2" t="str">
        <x:f>IF(AND(G29=1,ISNUMBER(F29)),"Расталды","Растаў керек")</x:f>
        <x:v>Растаў керек</x:v>
      </x:c>
    </x:row>
    <x:row r="30" ht="48" customHeight="1">
      <x:c r="A30" s="2" t="n">
        <x:v>23</x:v>
      </x:c>
      <x:c r="B30" s="2" t="str">
        <x:v>2026-10</x:v>
      </x:c>
      <x:c r="C30" s="2" t="n">
        <x:v>7</x:v>
      </x:c>
      <x:c r="D30" s="13" t="str">
        <x:v>Социаллық салық төлеми</x:v>
      </x:c>
      <x:c r="E30" s="14" t="n">
        <x:v>46341</x:v>
      </x:c>
      <x:c r="F30" s="12"/>
      <x:c r="G30" s="11" t="n">
        <x:v>0</x:v>
      </x:c>
      <x:c r="H30" s="13" t="str">
        <x:v>Салық суммасы бойынша</x:v>
      </x:c>
      <x:c r="I30" s="2" t="str">
        <x:v>I</x:v>
      </x:c>
      <x:c r="J30" s="14" t="n">
        <x:f>IF(F30="",E30-'Басшы жуўмағы'!$B$6,F30-'Басшы жуўмағы'!$B$6)</x:f>
        <x:v>46338</x:v>
      </x:c>
      <x:c r="K30" s="2" t="str">
        <x:f>IF(AND(G30=1,ISNUMBER(F30)),"Расталды","Растаў керек")</x:f>
        <x:v>Растаў керек</x:v>
      </x:c>
    </x:row>
    <x:row r="31" ht="48" customHeight="1">
      <x:c r="A31" s="2" t="n">
        <x:v>24</x:v>
      </x:c>
      <x:c r="B31" s="2" t="str">
        <x:v>2026-10</x:v>
      </x:c>
      <x:c r="C31" s="2" t="n">
        <x:v>8</x:v>
      </x:c>
      <x:c r="D31" s="13" t="str">
        <x:v>Акциз есабаты ҳәм төлемин тексериў</x:v>
      </x:c>
      <x:c r="E31" s="14" t="n">
        <x:v>46336</x:v>
      </x:c>
      <x:c r="F31" s="12"/>
      <x:c r="G31" s="11" t="n">
        <x:v>0</x:v>
      </x:c>
      <x:c r="H31" s="13" t="str">
        <x:v>Акциз төлеўши</x:v>
      </x:c>
      <x:c r="I31" s="2" t="str">
        <x:v>N</x:v>
      </x:c>
      <x:c r="J31" s="14" t="n">
        <x:f>IF(F31="",E31-'Басшы жуўмағы'!$B$6,F31-'Басшы жуўмағы'!$B$6)</x:f>
        <x:v>46333</x:v>
      </x:c>
      <x:c r="K31" s="2" t="str">
        <x:f>IF(AND(G31=1,ISNUMBER(F31)),"Расталды","Растаў керек")</x:f>
        <x:v>Растаў керек</x:v>
      </x:c>
    </x:row>
    <x:row r="32" ht="48" customHeight="1">
      <x:c r="A32" s="2" t="n">
        <x:v>25</x:v>
      </x:c>
      <x:c r="B32" s="2" t="str">
        <x:v>2026-10</x:v>
      </x:c>
      <x:c r="C32" s="2" t="n">
        <x:v>9</x:v>
      </x:c>
      <x:c r="D32" s="13" t="str">
        <x:v>Дивиденд ҳәм процент салығы есабаты</x:v>
      </x:c>
      <x:c r="E32" s="14" t="n">
        <x:v>46346</x:v>
      </x:c>
      <x:c r="F32" s="12"/>
      <x:c r="G32" s="11" t="n">
        <x:v>0</x:v>
      </x:c>
      <x:c r="H32" s="13" t="str">
        <x:v>Дивиденд / процент есапланған болса</x:v>
      </x:c>
      <x:c r="I32" s="2" t="str">
        <x:v>O</x:v>
      </x:c>
      <x:c r="J32" s="14" t="n">
        <x:f>IF(F32="",E32-'Басшы жуўмағы'!$B$6,F32-'Басшы жуўмағы'!$B$6)</x:f>
        <x:v>46343</x:v>
      </x:c>
      <x:c r="K32" s="2" t="str">
        <x:f>IF(AND(G32=1,ISNUMBER(F32)),"Расталды","Растаў керек")</x:f>
        <x:v>Растаў керек</x:v>
      </x:c>
    </x:row>
    <x:row r="33" ht="48" customHeight="1">
      <x:c r="A33" s="2" t="n">
        <x:v>26</x:v>
      </x:c>
      <x:c r="B33" s="2" t="str">
        <x:v>2026-10</x:v>
      </x:c>
      <x:c r="C33" s="2" t="n">
        <x:v>10</x:v>
      </x:c>
      <x:c r="D33" s="13" t="str">
        <x:v>Норезидент дәраматы салығы есабаты</x:v>
      </x:c>
      <x:c r="E33" s="14" t="n">
        <x:v>46346</x:v>
      </x:c>
      <x:c r="F33" s="12"/>
      <x:c r="G33" s="11" t="n">
        <x:v>0</x:v>
      </x:c>
      <x:c r="H33" s="13" t="str">
        <x:v>Тийисли төлемлер болса</x:v>
      </x:c>
      <x:c r="I33" s="2" t="str">
        <x:v>P</x:v>
      </x:c>
      <x:c r="J33" s="14" t="n">
        <x:f>IF(F33="",E33-'Басшы жуўмағы'!$B$6,F33-'Басшы жуўмағы'!$B$6)</x:f>
        <x:v>46343</x:v>
      </x:c>
      <x:c r="K33" s="2" t="str">
        <x:f>IF(AND(G33=1,ISNUMBER(F33)),"Расталды","Растаў керек")</x:f>
        <x:v>Растаў керек</x:v>
      </x:c>
    </x:row>
    <x:row r="34" ht="48" customHeight="1">
      <x:c r="A34" s="2" t="n">
        <x:v>27</x:v>
      </x:c>
      <x:c r="B34" s="2" t="str">
        <x:v>2026-10</x:v>
      </x:c>
      <x:c r="C34" s="2" t="n">
        <x:v>11</x:v>
      </x:c>
      <x:c r="D34" s="13" t="str">
        <x:v>Жер қойнаўынан пайдаланыў есабаты</x:v>
      </x:c>
      <x:c r="E34" s="14" t="n">
        <x:v>46346</x:v>
      </x:c>
      <x:c r="F34" s="12"/>
      <x:c r="G34" s="11" t="n">
        <x:v>0</x:v>
      </x:c>
      <x:c r="H34" s="13" t="str">
        <x:v>Жер қойнауы ресурсы бойынша</x:v>
      </x:c>
      <x:c r="I34" s="2" t="str">
        <x:v>Q</x:v>
      </x:c>
      <x:c r="J34" s="14" t="n">
        <x:f>IF(F34="",E34-'Басшы жуўмағы'!$B$6,F34-'Басшы жуўмағы'!$B$6)</x:f>
        <x:v>46343</x:v>
      </x:c>
      <x:c r="K34" s="2" t="str">
        <x:f>IF(AND(G34=1,ISNUMBER(F34)),"Расталды","Растаў керек")</x:f>
        <x:v>Растаў керек</x:v>
      </x:c>
    </x:row>
    <x:row r="35" ht="48" customHeight="1">
      <x:c r="A35" s="2" t="n">
        <x:v>28</x:v>
      </x:c>
      <x:c r="B35" s="2" t="str">
        <x:v>2026-11</x:v>
      </x:c>
      <x:c r="C35" s="2" t="n">
        <x:v>12</x:v>
      </x:c>
      <x:c r="D35" s="13" t="str">
        <x:v>Пайда салығы авансы</x:v>
      </x:c>
      <x:c r="E35" s="14" t="n">
        <x:v>46349</x:v>
      </x:c>
      <x:c r="F35" s="12"/>
      <x:c r="G35" s="11" t="n">
        <x:v>0</x:v>
      </x:c>
      <x:c r="H35" s="13" t="str">
        <x:v>20 млрд сум шеги ҳәм басқа шартларды тексериў</x:v>
      </x:c>
      <x:c r="I35" s="2" t="str">
        <x:v>M</x:v>
      </x:c>
      <x:c r="J35" s="14" t="n">
        <x:f>IF(F35="",E35-'Басшы жуўмағы'!$B$6,F35-'Басшы жуўмағы'!$B$6)</x:f>
        <x:v>46346</x:v>
      </x:c>
      <x:c r="K35" s="2" t="str">
        <x:f>IF(AND(G35=1,ISNUMBER(F35)),"Расталды","Растаў керек")</x:f>
        <x:v>Растаў керек</x:v>
      </x:c>
    </x:row>
    <x:row r="36" ht="48" customHeight="1">
      <x:c r="A36" s="2" t="n">
        <x:v>29</x:v>
      </x:c>
      <x:c r="B36" s="2" t="str">
        <x:v>2026-11</x:v>
      </x:c>
      <x:c r="C36" s="2" t="n">
        <x:v>13</x:v>
      </x:c>
      <x:c r="D36" s="13" t="str">
        <x:v>Мүлк салығы айлық авансы</x:v>
      </x:c>
      <x:c r="E36" s="14" t="n">
        <x:v>46336</x:v>
      </x:c>
      <x:c r="F36" s="12"/>
      <x:c r="G36" s="11" t="n">
        <x:v>0</x:v>
      </x:c>
      <x:c r="H36" s="13" t="str">
        <x:v>Айланба төлеўшилерден басқа; 1/12</x:v>
      </x:c>
      <x:c r="I36" s="2" t="str">
        <x:v>J</x:v>
      </x:c>
      <x:c r="J36" s="14" t="n">
        <x:f>IF(F36="",E36-'Басшы жуўмағы'!$B$6,F36-'Басшы жуўмағы'!$B$6)</x:f>
        <x:v>46333</x:v>
      </x:c>
      <x:c r="K36" s="2" t="str">
        <x:f>IF(AND(G36=1,ISNUMBER(F36)),"Расталды","Растаў керек")</x:f>
        <x:v>Растаў керек</x:v>
      </x:c>
    </x:row>
    <x:row r="37" ht="48" customHeight="1">
      <x:c r="A37" s="2" t="n">
        <x:v>30</x:v>
      </x:c>
      <x:c r="B37" s="2" t="str">
        <x:v>2026-11</x:v>
      </x:c>
      <x:c r="C37" s="2" t="n">
        <x:v>14</x:v>
      </x:c>
      <x:c r="D37" s="13" t="str">
        <x:v>Жер салығы айлық төлеми</x:v>
      </x:c>
      <x:c r="E37" s="14" t="n">
        <x:v>46336</x:v>
      </x:c>
      <x:c r="F37" s="12"/>
      <x:c r="G37" s="11" t="n">
        <x:v>0</x:v>
      </x:c>
      <x:c r="H37" s="13" t="str">
        <x:v>Аўыл хожалығы емес жер; айланба емес; 1/12</x:v>
      </x:c>
      <x:c r="I37" s="2" t="str">
        <x:v>K</x:v>
      </x:c>
      <x:c r="J37" s="14" t="n">
        <x:f>IF(F37="",E37-'Басшы жуўмағы'!$B$6,F37-'Басшы жуўмағы'!$B$6)</x:f>
        <x:v>46333</x:v>
      </x:c>
      <x:c r="K37" s="2" t="str">
        <x:f>IF(AND(G37=1,ISNUMBER(F37)),"Расталды","Растаў керек")</x:f>
        <x:v>Растаў керек</x:v>
      </x:c>
    </x:row>
    <x:row r="38" ht="48" customHeight="1">
      <x:c r="A38" s="2" t="n">
        <x:v>31</x:v>
      </x:c>
      <x:c r="B38" s="2" t="str">
        <x:v>2026-11</x:v>
      </x:c>
      <x:c r="C38" s="2" t="n">
        <x:v>15</x:v>
      </x:c>
      <x:c r="D38" s="13" t="str">
        <x:v>Суў салығы айлық авансы</x:v>
      </x:c>
      <x:c r="E38" s="14" t="n">
        <x:v>46346</x:v>
      </x:c>
      <x:c r="F38" s="12"/>
      <x:c r="G38" s="11" t="n">
        <x:v>0</x:v>
      </x:c>
      <x:c r="H38" s="13" t="str">
        <x:v>Айланба емес; жыллық салық &gt;200 БҲМ; 1/12</x:v>
      </x:c>
      <x:c r="I38" s="2" t="str">
        <x:v>V</x:v>
      </x:c>
      <x:c r="J38" s="14" t="n">
        <x:f>IF(F38="",E38-'Басшы жуўмағы'!$B$6,F38-'Басшы жуўмағы'!$B$6)</x:f>
        <x:v>46343</x:v>
      </x:c>
      <x:c r="K38" s="2" t="str">
        <x:f>IF(AND(G38=1,ISNUMBER(F38)),"Расталды","Растаў керек")</x:f>
        <x:v>Растаў керек</x:v>
      </x:c>
    </x:row>
    <x:row r="39" ht="48" customHeight="1">
      <x:c r="A39" s="2" t="n">
        <x:v>32</x:v>
      </x:c>
      <x:c r="B39" s="2" t="str">
        <x:v>2026-11</x:v>
      </x:c>
      <x:c r="C39" s="2" t="n">
        <x:v>1</x:v>
      </x:c>
      <x:c r="D39" s="13" t="str">
        <x:v>ҚҚС есабаты</x:v>
      </x:c>
      <x:c r="E39" s="14" t="n">
        <x:v>46376</x:v>
      </x:c>
      <x:c r="F39" s="12"/>
      <x:c r="G39" s="11" t="n">
        <x:v>0</x:v>
      </x:c>
      <x:c r="H39" s="13" t="str">
        <x:v>ҚҚС төлеўши</x:v>
      </x:c>
      <x:c r="I39" s="2" t="str">
        <x:v>F</x:v>
      </x:c>
      <x:c r="J39" s="14" t="n">
        <x:f>IF(F39="",E39-'Басшы жуўмағы'!$B$6,F39-'Басшы жуўмағы'!$B$6)</x:f>
        <x:v>46373</x:v>
      </x:c>
      <x:c r="K39" s="2" t="str">
        <x:f>IF(AND(G39=1,ISNUMBER(F39)),"Расталды","Растаў керек")</x:f>
        <x:v>Растаў керек</x:v>
      </x:c>
    </x:row>
    <x:row r="40" ht="48" customHeight="1">
      <x:c r="A40" s="2" t="n">
        <x:v>33</x:v>
      </x:c>
      <x:c r="B40" s="2" t="str">
        <x:v>2026-11</x:v>
      </x:c>
      <x:c r="C40" s="2" t="n">
        <x:v>2</x:v>
      </x:c>
      <x:c r="D40" s="13" t="str">
        <x:v>ҚҚС төлеми</x:v>
      </x:c>
      <x:c r="E40" s="14" t="n">
        <x:v>46376</x:v>
      </x:c>
      <x:c r="F40" s="12"/>
      <x:c r="G40" s="11" t="n">
        <x:v>0</x:v>
      </x:c>
      <x:c r="H40" s="13" t="str">
        <x:v>Есапланған салық бойынша</x:v>
      </x:c>
      <x:c r="I40" s="2" t="str">
        <x:v>F</x:v>
      </x:c>
      <x:c r="J40" s="14" t="n">
        <x:f>IF(F40="",E40-'Басшы жуўмағы'!$B$6,F40-'Басшы жуўмағы'!$B$6)</x:f>
        <x:v>46373</x:v>
      </x:c>
      <x:c r="K40" s="2" t="str">
        <x:f>IF(AND(G40=1,ISNUMBER(F40)),"Расталды","Растаў керек")</x:f>
        <x:v>Растаў керек</x:v>
      </x:c>
    </x:row>
    <x:row r="41" ht="48" customHeight="1">
      <x:c r="A41" s="2" t="n">
        <x:v>34</x:v>
      </x:c>
      <x:c r="B41" s="2" t="str">
        <x:v>2026-11</x:v>
      </x:c>
      <x:c r="C41" s="2" t="n">
        <x:v>3</x:v>
      </x:c>
      <x:c r="D41" s="13" t="str">
        <x:v>Айланба салығы есабаты</x:v>
      </x:c>
      <x:c r="E41" s="14" t="n">
        <x:v>46371</x:v>
      </x:c>
      <x:c r="F41" s="12"/>
      <x:c r="G41" s="11" t="n">
        <x:v>0</x:v>
      </x:c>
      <x:c r="H41" s="13" t="str">
        <x:v>Айланба салығы төлеўши</x:v>
      </x:c>
      <x:c r="I41" s="2" t="str">
        <x:v>G</x:v>
      </x:c>
      <x:c r="J41" s="14" t="n">
        <x:f>IF(F41="",E41-'Басшы жуўмағы'!$B$6,F41-'Басшы жуўмағы'!$B$6)</x:f>
        <x:v>46368</x:v>
      </x:c>
      <x:c r="K41" s="2" t="str">
        <x:f>IF(AND(G41=1,ISNUMBER(F41)),"Расталды","Растаў керек")</x:f>
        <x:v>Растаў керек</x:v>
      </x:c>
    </x:row>
    <x:row r="42" ht="48" customHeight="1">
      <x:c r="A42" s="2" t="n">
        <x:v>35</x:v>
      </x:c>
      <x:c r="B42" s="2" t="str">
        <x:v>2026-11</x:v>
      </x:c>
      <x:c r="C42" s="2" t="n">
        <x:v>4</x:v>
      </x:c>
      <x:c r="D42" s="13" t="str">
        <x:v>Айланба салығы төлеми</x:v>
      </x:c>
      <x:c r="E42" s="14" t="n">
        <x:v>46371</x:v>
      </x:c>
      <x:c r="F42" s="12"/>
      <x:c r="G42" s="11" t="n">
        <x:v>0</x:v>
      </x:c>
      <x:c r="H42" s="13" t="str">
        <x:v>Салық суммасы бойынша</x:v>
      </x:c>
      <x:c r="I42" s="2" t="str">
        <x:v>G</x:v>
      </x:c>
      <x:c r="J42" s="14" t="n">
        <x:f>IF(F42="",E42-'Басшы жуўмағы'!$B$6,F42-'Басшы жуўмағы'!$B$6)</x:f>
        <x:v>46368</x:v>
      </x:c>
      <x:c r="K42" s="2" t="str">
        <x:f>IF(AND(G42=1,ISNUMBER(F42)),"Расталды","Растаў керек")</x:f>
        <x:v>Растаў керек</x:v>
      </x:c>
    </x:row>
    <x:row r="43" ht="48" customHeight="1">
      <x:c r="A43" s="2" t="n">
        <x:v>36</x:v>
      </x:c>
      <x:c r="B43" s="2" t="str">
        <x:v>2026-11</x:v>
      </x:c>
      <x:c r="C43" s="2" t="n">
        <x:v>5</x:v>
      </x:c>
      <x:c r="D43" s="13" t="str">
        <x:v>Дәрамат салығы есабаты</x:v>
      </x:c>
      <x:c r="E43" s="14" t="n">
        <x:v>46371</x:v>
      </x:c>
      <x:c r="F43" s="12"/>
      <x:c r="G43" s="11" t="n">
        <x:v>0</x:v>
      </x:c>
      <x:c r="H43" s="13" t="str">
        <x:v>Салық агенти</x:v>
      </x:c>
      <x:c r="I43" s="2" t="str">
        <x:v>I</x:v>
      </x:c>
      <x:c r="J43" s="14" t="n">
        <x:f>IF(F43="",E43-'Басшы жуўмағы'!$B$6,F43-'Басшы жуўмағы'!$B$6)</x:f>
        <x:v>46368</x:v>
      </x:c>
      <x:c r="K43" s="2" t="str">
        <x:f>IF(AND(G43=1,ISNUMBER(F43)),"Расталды","Растаў керек")</x:f>
        <x:v>Растаў керек</x:v>
      </x:c>
    </x:row>
    <x:row r="44" ht="48" customHeight="1">
      <x:c r="A44" s="2" t="n">
        <x:v>37</x:v>
      </x:c>
      <x:c r="B44" s="2" t="str">
        <x:v>2026-11</x:v>
      </x:c>
      <x:c r="C44" s="2" t="n">
        <x:v>6</x:v>
      </x:c>
      <x:c r="D44" s="13" t="str">
        <x:v>Социаллық салық есабаты</x:v>
      </x:c>
      <x:c r="E44" s="14" t="n">
        <x:v>46371</x:v>
      </x:c>
      <x:c r="F44" s="12"/>
      <x:c r="G44" s="11" t="n">
        <x:v>0</x:v>
      </x:c>
      <x:c r="H44" s="13" t="str">
        <x:v>Айлық салықлары тийисли</x:v>
      </x:c>
      <x:c r="I44" s="2" t="str">
        <x:v>I</x:v>
      </x:c>
      <x:c r="J44" s="14" t="n">
        <x:f>IF(F44="",E44-'Басшы жуўмағы'!$B$6,F44-'Басшы жуўмағы'!$B$6)</x:f>
        <x:v>46368</x:v>
      </x:c>
      <x:c r="K44" s="2" t="str">
        <x:f>IF(AND(G44=1,ISNUMBER(F44)),"Расталды","Растаў керек")</x:f>
        <x:v>Растаў керек</x:v>
      </x:c>
    </x:row>
    <x:row r="45" ht="48" customHeight="1">
      <x:c r="A45" s="2" t="n">
        <x:v>38</x:v>
      </x:c>
      <x:c r="B45" s="2" t="str">
        <x:v>2026-11</x:v>
      </x:c>
      <x:c r="C45" s="2" t="n">
        <x:v>7</x:v>
      </x:c>
      <x:c r="D45" s="13" t="str">
        <x:v>Социаллық салық төлеми</x:v>
      </x:c>
      <x:c r="E45" s="14" t="n">
        <x:v>46371</x:v>
      </x:c>
      <x:c r="F45" s="12"/>
      <x:c r="G45" s="11" t="n">
        <x:v>0</x:v>
      </x:c>
      <x:c r="H45" s="13" t="str">
        <x:v>Салық суммасы бойынша</x:v>
      </x:c>
      <x:c r="I45" s="2" t="str">
        <x:v>I</x:v>
      </x:c>
      <x:c r="J45" s="14" t="n">
        <x:f>IF(F45="",E45-'Басшы жуўмағы'!$B$6,F45-'Басшы жуўмағы'!$B$6)</x:f>
        <x:v>46368</x:v>
      </x:c>
      <x:c r="K45" s="2" t="str">
        <x:f>IF(AND(G45=1,ISNUMBER(F45)),"Расталды","Растаў керек")</x:f>
        <x:v>Растаў керек</x:v>
      </x:c>
    </x:row>
    <x:row r="46" ht="48" customHeight="1">
      <x:c r="A46" s="2" t="n">
        <x:v>39</x:v>
      </x:c>
      <x:c r="B46" s="2" t="str">
        <x:v>2026-11</x:v>
      </x:c>
      <x:c r="C46" s="2" t="n">
        <x:v>8</x:v>
      </x:c>
      <x:c r="D46" s="13" t="str">
        <x:v>Акциз есабаты ҳәм төлемин тексериў</x:v>
      </x:c>
      <x:c r="E46" s="14" t="n">
        <x:v>46366</x:v>
      </x:c>
      <x:c r="F46" s="12"/>
      <x:c r="G46" s="11" t="n">
        <x:v>0</x:v>
      </x:c>
      <x:c r="H46" s="13" t="str">
        <x:v>Акциз төлеўши</x:v>
      </x:c>
      <x:c r="I46" s="2" t="str">
        <x:v>N</x:v>
      </x:c>
      <x:c r="J46" s="14" t="n">
        <x:f>IF(F46="",E46-'Басшы жуўмағы'!$B$6,F46-'Басшы жуўмағы'!$B$6)</x:f>
        <x:v>46363</x:v>
      </x:c>
      <x:c r="K46" s="2" t="str">
        <x:f>IF(AND(G46=1,ISNUMBER(F46)),"Расталды","Растаў керек")</x:f>
        <x:v>Растаў керек</x:v>
      </x:c>
    </x:row>
    <x:row r="47" ht="48" customHeight="1">
      <x:c r="A47" s="2" t="n">
        <x:v>40</x:v>
      </x:c>
      <x:c r="B47" s="2" t="str">
        <x:v>2026-11</x:v>
      </x:c>
      <x:c r="C47" s="2" t="n">
        <x:v>9</x:v>
      </x:c>
      <x:c r="D47" s="13" t="str">
        <x:v>Дивиденд ҳәм процент салығы есабаты</x:v>
      </x:c>
      <x:c r="E47" s="14" t="n">
        <x:v>46376</x:v>
      </x:c>
      <x:c r="F47" s="12"/>
      <x:c r="G47" s="11" t="n">
        <x:v>0</x:v>
      </x:c>
      <x:c r="H47" s="13" t="str">
        <x:v>Дивиденд / процент есапланған болса</x:v>
      </x:c>
      <x:c r="I47" s="2" t="str">
        <x:v>O</x:v>
      </x:c>
      <x:c r="J47" s="14" t="n">
        <x:f>IF(F47="",E47-'Басшы жуўмағы'!$B$6,F47-'Басшы жуўмағы'!$B$6)</x:f>
        <x:v>46373</x:v>
      </x:c>
      <x:c r="K47" s="2" t="str">
        <x:f>IF(AND(G47=1,ISNUMBER(F47)),"Расталды","Растаў керек")</x:f>
        <x:v>Растаў керек</x:v>
      </x:c>
    </x:row>
    <x:row r="48" ht="48" customHeight="1">
      <x:c r="A48" s="2" t="n">
        <x:v>41</x:v>
      </x:c>
      <x:c r="B48" s="2" t="str">
        <x:v>2026-11</x:v>
      </x:c>
      <x:c r="C48" s="2" t="n">
        <x:v>10</x:v>
      </x:c>
      <x:c r="D48" s="13" t="str">
        <x:v>Норезидент дәраматы салығы есабаты</x:v>
      </x:c>
      <x:c r="E48" s="14" t="n">
        <x:v>46376</x:v>
      </x:c>
      <x:c r="F48" s="12"/>
      <x:c r="G48" s="11" t="n">
        <x:v>0</x:v>
      </x:c>
      <x:c r="H48" s="13" t="str">
        <x:v>Тийисли төлемлер болса</x:v>
      </x:c>
      <x:c r="I48" s="2" t="str">
        <x:v>P</x:v>
      </x:c>
      <x:c r="J48" s="14" t="n">
        <x:f>IF(F48="",E48-'Басшы жуўмағы'!$B$6,F48-'Басшы жуўмағы'!$B$6)</x:f>
        <x:v>46373</x:v>
      </x:c>
      <x:c r="K48" s="2" t="str">
        <x:f>IF(AND(G48=1,ISNUMBER(F48)),"Расталды","Растаў керек")</x:f>
        <x:v>Растаў керек</x:v>
      </x:c>
    </x:row>
    <x:row r="49" ht="48" customHeight="1">
      <x:c r="A49" s="2" t="n">
        <x:v>42</x:v>
      </x:c>
      <x:c r="B49" s="2" t="str">
        <x:v>2026-11</x:v>
      </x:c>
      <x:c r="C49" s="2" t="n">
        <x:v>11</x:v>
      </x:c>
      <x:c r="D49" s="13" t="str">
        <x:v>Жер қойнаўынан пайдаланыў есабаты</x:v>
      </x:c>
      <x:c r="E49" s="14" t="n">
        <x:v>46376</x:v>
      </x:c>
      <x:c r="F49" s="12"/>
      <x:c r="G49" s="11" t="n">
        <x:v>0</x:v>
      </x:c>
      <x:c r="H49" s="13" t="str">
        <x:v>Жер қойнауы ресурсы бойынша</x:v>
      </x:c>
      <x:c r="I49" s="2" t="str">
        <x:v>Q</x:v>
      </x:c>
      <x:c r="J49" s="14" t="n">
        <x:f>IF(F49="",E49-'Басшы жуўмағы'!$B$6,F49-'Басшы жуўмағы'!$B$6)</x:f>
        <x:v>46373</x:v>
      </x:c>
      <x:c r="K49" s="2" t="str">
        <x:f>IF(AND(G49=1,ISNUMBER(F49)),"Расталды","Растаў керек")</x:f>
        <x:v>Растаў керек</x:v>
      </x:c>
    </x:row>
    <x:row r="50" ht="48" customHeight="1">
      <x:c r="A50" s="2" t="n">
        <x:v>43</x:v>
      </x:c>
      <x:c r="B50" s="2" t="str">
        <x:v>2026-12</x:v>
      </x:c>
      <x:c r="C50" s="2" t="n">
        <x:v>12</x:v>
      </x:c>
      <x:c r="D50" s="13" t="str">
        <x:v>Пайда салығы авансы</x:v>
      </x:c>
      <x:c r="E50" s="14" t="n">
        <x:v>46379</x:v>
      </x:c>
      <x:c r="F50" s="12"/>
      <x:c r="G50" s="11" t="n">
        <x:v>0</x:v>
      </x:c>
      <x:c r="H50" s="13" t="str">
        <x:v>20 млрд сум шеги ҳәм басқа шартларды тексериў</x:v>
      </x:c>
      <x:c r="I50" s="2" t="str">
        <x:v>M</x:v>
      </x:c>
      <x:c r="J50" s="14" t="n">
        <x:f>IF(F50="",E50-'Басшы жуўмағы'!$B$6,F50-'Басшы жуўмағы'!$B$6)</x:f>
        <x:v>46376</x:v>
      </x:c>
      <x:c r="K50" s="2" t="str">
        <x:f>IF(AND(G50=1,ISNUMBER(F50)),"Расталды","Растаў керек")</x:f>
        <x:v>Растаў керек</x:v>
      </x:c>
    </x:row>
    <x:row r="51" ht="48" customHeight="1">
      <x:c r="A51" s="2" t="n">
        <x:v>44</x:v>
      </x:c>
      <x:c r="B51" s="2" t="str">
        <x:v>2026-12</x:v>
      </x:c>
      <x:c r="C51" s="2" t="n">
        <x:v>13</x:v>
      </x:c>
      <x:c r="D51" s="13" t="str">
        <x:v>Мүлк салығы айлық авансы</x:v>
      </x:c>
      <x:c r="E51" s="14" t="n">
        <x:v>46366</x:v>
      </x:c>
      <x:c r="F51" s="12"/>
      <x:c r="G51" s="11" t="n">
        <x:v>0</x:v>
      </x:c>
      <x:c r="H51" s="13" t="str">
        <x:v>Айланба төлеўшилерден басқа; 1/12</x:v>
      </x:c>
      <x:c r="I51" s="2" t="str">
        <x:v>J</x:v>
      </x:c>
      <x:c r="J51" s="14" t="n">
        <x:f>IF(F51="",E51-'Басшы жуўмағы'!$B$6,F51-'Басшы жуўмағы'!$B$6)</x:f>
        <x:v>46363</x:v>
      </x:c>
      <x:c r="K51" s="2" t="str">
        <x:f>IF(AND(G51=1,ISNUMBER(F51)),"Расталды","Растаў керек")</x:f>
        <x:v>Растаў керек</x:v>
      </x:c>
    </x:row>
    <x:row r="52" ht="48" customHeight="1">
      <x:c r="A52" s="2" t="n">
        <x:v>45</x:v>
      </x:c>
      <x:c r="B52" s="2" t="str">
        <x:v>2026-12</x:v>
      </x:c>
      <x:c r="C52" s="2" t="n">
        <x:v>14</x:v>
      </x:c>
      <x:c r="D52" s="13" t="str">
        <x:v>Жер салығы айлық төлеми</x:v>
      </x:c>
      <x:c r="E52" s="14" t="n">
        <x:v>46366</x:v>
      </x:c>
      <x:c r="F52" s="12"/>
      <x:c r="G52" s="11" t="n">
        <x:v>0</x:v>
      </x:c>
      <x:c r="H52" s="13" t="str">
        <x:v>Аўыл хожалығы емес жер; айланба емес; 1/12</x:v>
      </x:c>
      <x:c r="I52" s="2" t="str">
        <x:v>K</x:v>
      </x:c>
      <x:c r="J52" s="14" t="n">
        <x:f>IF(F52="",E52-'Басшы жуўмағы'!$B$6,F52-'Басшы жуўмағы'!$B$6)</x:f>
        <x:v>46363</x:v>
      </x:c>
      <x:c r="K52" s="2" t="str">
        <x:f>IF(AND(G52=1,ISNUMBER(F52)),"Расталды","Растаў керек")</x:f>
        <x:v>Растаў керек</x:v>
      </x:c>
    </x:row>
    <x:row r="53" ht="48" customHeight="1">
      <x:c r="A53" s="2" t="n">
        <x:v>46</x:v>
      </x:c>
      <x:c r="B53" s="2" t="str">
        <x:v>2026-12</x:v>
      </x:c>
      <x:c r="C53" s="2" t="n">
        <x:v>15</x:v>
      </x:c>
      <x:c r="D53" s="13" t="str">
        <x:v>Суў салығы айлық авансы</x:v>
      </x:c>
      <x:c r="E53" s="14" t="n">
        <x:v>46376</x:v>
      </x:c>
      <x:c r="F53" s="12"/>
      <x:c r="G53" s="11" t="n">
        <x:v>0</x:v>
      </x:c>
      <x:c r="H53" s="13" t="str">
        <x:v>Айланба емес; жыллық салық &gt;200 БҲМ; 1/12</x:v>
      </x:c>
      <x:c r="I53" s="2" t="str">
        <x:v>V</x:v>
      </x:c>
      <x:c r="J53" s="14" t="n">
        <x:f>IF(F53="",E53-'Басшы жуўмағы'!$B$6,F53-'Басшы жуўмағы'!$B$6)</x:f>
        <x:v>46373</x:v>
      </x:c>
      <x:c r="K53" s="2" t="str">
        <x:f>IF(AND(G53=1,ISNUMBER(F53)),"Расталды","Растаў керек")</x:f>
        <x:v>Растаў керек</x:v>
      </x:c>
    </x:row>
    <x:row r="54" ht="48" customHeight="1">
      <x:c r="A54" s="2" t="n">
        <x:v>47</x:v>
      </x:c>
      <x:c r="B54" s="2" t="str">
        <x:v>2026-12</x:v>
      </x:c>
      <x:c r="C54" s="2" t="n">
        <x:v>1</x:v>
      </x:c>
      <x:c r="D54" s="13" t="str">
        <x:v>ҚҚС есабаты</x:v>
      </x:c>
      <x:c r="E54" s="14" t="n">
        <x:v>46407</x:v>
      </x:c>
      <x:c r="F54" s="12"/>
      <x:c r="G54" s="11" t="n">
        <x:v>0</x:v>
      </x:c>
      <x:c r="H54" s="13" t="str">
        <x:v>ҚҚС төлеўши</x:v>
      </x:c>
      <x:c r="I54" s="2" t="str">
        <x:v>F</x:v>
      </x:c>
      <x:c r="J54" s="14" t="n">
        <x:f>IF(F54="",E54-'Басшы жуўмағы'!$B$6,F54-'Басшы жуўмағы'!$B$6)</x:f>
        <x:v>46404</x:v>
      </x:c>
      <x:c r="K54" s="2" t="str">
        <x:f>IF(AND(G54=1,ISNUMBER(F54)),"Расталды","Растаў керек")</x:f>
        <x:v>Растаў керек</x:v>
      </x:c>
    </x:row>
    <x:row r="55" ht="48" customHeight="1">
      <x:c r="A55" s="2" t="n">
        <x:v>48</x:v>
      </x:c>
      <x:c r="B55" s="2" t="str">
        <x:v>2026-12</x:v>
      </x:c>
      <x:c r="C55" s="2" t="n">
        <x:v>2</x:v>
      </x:c>
      <x:c r="D55" s="13" t="str">
        <x:v>ҚҚС төлеми</x:v>
      </x:c>
      <x:c r="E55" s="14" t="n">
        <x:v>46407</x:v>
      </x:c>
      <x:c r="F55" s="12"/>
      <x:c r="G55" s="11" t="n">
        <x:v>0</x:v>
      </x:c>
      <x:c r="H55" s="13" t="str">
        <x:v>Есапланған салық бойынша</x:v>
      </x:c>
      <x:c r="I55" s="2" t="str">
        <x:v>F</x:v>
      </x:c>
      <x:c r="J55" s="14" t="n">
        <x:f>IF(F55="",E55-'Басшы жуўмағы'!$B$6,F55-'Басшы жуўмағы'!$B$6)</x:f>
        <x:v>46404</x:v>
      </x:c>
      <x:c r="K55" s="2" t="str">
        <x:f>IF(AND(G55=1,ISNUMBER(F55)),"Расталды","Растаў керек")</x:f>
        <x:v>Растаў керек</x:v>
      </x:c>
    </x:row>
    <x:row r="56" ht="48" customHeight="1">
      <x:c r="A56" s="2" t="n">
        <x:v>49</x:v>
      </x:c>
      <x:c r="B56" s="2" t="str">
        <x:v>2026-12</x:v>
      </x:c>
      <x:c r="C56" s="2" t="n">
        <x:v>3</x:v>
      </x:c>
      <x:c r="D56" s="13" t="str">
        <x:v>Айланба салығы есабаты</x:v>
      </x:c>
      <x:c r="E56" s="14" t="n">
        <x:v>46402</x:v>
      </x:c>
      <x:c r="F56" s="12"/>
      <x:c r="G56" s="11" t="n">
        <x:v>0</x:v>
      </x:c>
      <x:c r="H56" s="13" t="str">
        <x:v>Айланба салығы төлеўши</x:v>
      </x:c>
      <x:c r="I56" s="2" t="str">
        <x:v>G</x:v>
      </x:c>
      <x:c r="J56" s="14" t="n">
        <x:f>IF(F56="",E56-'Басшы жуўмағы'!$B$6,F56-'Басшы жуўмағы'!$B$6)</x:f>
        <x:v>46399</x:v>
      </x:c>
      <x:c r="K56" s="2" t="str">
        <x:f>IF(AND(G56=1,ISNUMBER(F56)),"Расталды","Растаў керек")</x:f>
        <x:v>Растаў керек</x:v>
      </x:c>
    </x:row>
    <x:row r="57" ht="48" customHeight="1">
      <x:c r="A57" s="2" t="n">
        <x:v>50</x:v>
      </x:c>
      <x:c r="B57" s="2" t="str">
        <x:v>2026-12</x:v>
      </x:c>
      <x:c r="C57" s="2" t="n">
        <x:v>4</x:v>
      </x:c>
      <x:c r="D57" s="13" t="str">
        <x:v>Айланба салығы төлеми</x:v>
      </x:c>
      <x:c r="E57" s="14" t="n">
        <x:v>46402</x:v>
      </x:c>
      <x:c r="F57" s="12"/>
      <x:c r="G57" s="11" t="n">
        <x:v>0</x:v>
      </x:c>
      <x:c r="H57" s="13" t="str">
        <x:v>Салық суммасы бойынша</x:v>
      </x:c>
      <x:c r="I57" s="2" t="str">
        <x:v>G</x:v>
      </x:c>
      <x:c r="J57" s="14" t="n">
        <x:f>IF(F57="",E57-'Басшы жуўмағы'!$B$6,F57-'Басшы жуўмағы'!$B$6)</x:f>
        <x:v>46399</x:v>
      </x:c>
      <x:c r="K57" s="2" t="str">
        <x:f>IF(AND(G57=1,ISNUMBER(F57)),"Расталды","Растаў керек")</x:f>
        <x:v>Растаў керек</x:v>
      </x:c>
    </x:row>
    <x:row r="58" ht="48" customHeight="1">
      <x:c r="A58" s="2" t="n">
        <x:v>51</x:v>
      </x:c>
      <x:c r="B58" s="2" t="str">
        <x:v>2026-12</x:v>
      </x:c>
      <x:c r="C58" s="2" t="n">
        <x:v>5</x:v>
      </x:c>
      <x:c r="D58" s="13" t="str">
        <x:v>Дәрамат салығы есабаты</x:v>
      </x:c>
      <x:c r="E58" s="14" t="n">
        <x:v>46402</x:v>
      </x:c>
      <x:c r="F58" s="12"/>
      <x:c r="G58" s="11" t="n">
        <x:v>0</x:v>
      </x:c>
      <x:c r="H58" s="13" t="str">
        <x:v>Салық агенти</x:v>
      </x:c>
      <x:c r="I58" s="2" t="str">
        <x:v>I</x:v>
      </x:c>
      <x:c r="J58" s="14" t="n">
        <x:f>IF(F58="",E58-'Басшы жуўмағы'!$B$6,F58-'Басшы жуўмағы'!$B$6)</x:f>
        <x:v>46399</x:v>
      </x:c>
      <x:c r="K58" s="2" t="str">
        <x:f>IF(AND(G58=1,ISNUMBER(F58)),"Расталды","Растаў керек")</x:f>
        <x:v>Растаў керек</x:v>
      </x:c>
    </x:row>
    <x:row r="59" ht="48" customHeight="1">
      <x:c r="A59" s="2" t="n">
        <x:v>52</x:v>
      </x:c>
      <x:c r="B59" s="2" t="str">
        <x:v>2026-12</x:v>
      </x:c>
      <x:c r="C59" s="2" t="n">
        <x:v>6</x:v>
      </x:c>
      <x:c r="D59" s="13" t="str">
        <x:v>Социаллық салық есабаты</x:v>
      </x:c>
      <x:c r="E59" s="14" t="n">
        <x:v>46402</x:v>
      </x:c>
      <x:c r="F59" s="12"/>
      <x:c r="G59" s="11" t="n">
        <x:v>0</x:v>
      </x:c>
      <x:c r="H59" s="13" t="str">
        <x:v>Айлық салықлары тийисли</x:v>
      </x:c>
      <x:c r="I59" s="2" t="str">
        <x:v>I</x:v>
      </x:c>
      <x:c r="J59" s="14" t="n">
        <x:f>IF(F59="",E59-'Басшы жуўмағы'!$B$6,F59-'Басшы жуўмағы'!$B$6)</x:f>
        <x:v>46399</x:v>
      </x:c>
      <x:c r="K59" s="2" t="str">
        <x:f>IF(AND(G59=1,ISNUMBER(F59)),"Расталды","Растаў керек")</x:f>
        <x:v>Растаў керек</x:v>
      </x:c>
    </x:row>
    <x:row r="60" ht="48" customHeight="1">
      <x:c r="A60" s="2" t="n">
        <x:v>53</x:v>
      </x:c>
      <x:c r="B60" s="2" t="str">
        <x:v>2026-12</x:v>
      </x:c>
      <x:c r="C60" s="2" t="n">
        <x:v>7</x:v>
      </x:c>
      <x:c r="D60" s="13" t="str">
        <x:v>Социаллық салық төлеми</x:v>
      </x:c>
      <x:c r="E60" s="14" t="n">
        <x:v>46402</x:v>
      </x:c>
      <x:c r="F60" s="12"/>
      <x:c r="G60" s="11" t="n">
        <x:v>0</x:v>
      </x:c>
      <x:c r="H60" s="13" t="str">
        <x:v>Салық суммасы бойынша</x:v>
      </x:c>
      <x:c r="I60" s="2" t="str">
        <x:v>I</x:v>
      </x:c>
      <x:c r="J60" s="14" t="n">
        <x:f>IF(F60="",E60-'Басшы жуўмағы'!$B$6,F60-'Басшы жуўмағы'!$B$6)</x:f>
        <x:v>46399</x:v>
      </x:c>
      <x:c r="K60" s="2" t="str">
        <x:f>IF(AND(G60=1,ISNUMBER(F60)),"Расталды","Растаў керек")</x:f>
        <x:v>Растаў керек</x:v>
      </x:c>
    </x:row>
    <x:row r="61" ht="48" customHeight="1">
      <x:c r="A61" s="2" t="n">
        <x:v>54</x:v>
      </x:c>
      <x:c r="B61" s="2" t="str">
        <x:v>2026-12</x:v>
      </x:c>
      <x:c r="C61" s="2" t="n">
        <x:v>8</x:v>
      </x:c>
      <x:c r="D61" s="13" t="str">
        <x:v>Акциз есабаты ҳәм төлемин тексериў</x:v>
      </x:c>
      <x:c r="E61" s="14" t="n">
        <x:v>46397</x:v>
      </x:c>
      <x:c r="F61" s="12"/>
      <x:c r="G61" s="11" t="n">
        <x:v>0</x:v>
      </x:c>
      <x:c r="H61" s="13" t="str">
        <x:v>Акциз төлеўши</x:v>
      </x:c>
      <x:c r="I61" s="2" t="str">
        <x:v>N</x:v>
      </x:c>
      <x:c r="J61" s="14" t="n">
        <x:f>IF(F61="",E61-'Басшы жуўмағы'!$B$6,F61-'Басшы жуўмағы'!$B$6)</x:f>
        <x:v>46394</x:v>
      </x:c>
      <x:c r="K61" s="2" t="str">
        <x:f>IF(AND(G61=1,ISNUMBER(F61)),"Расталды","Растаў керек")</x:f>
        <x:v>Растаў керек</x:v>
      </x:c>
    </x:row>
    <x:row r="62" ht="48" customHeight="1">
      <x:c r="A62" s="2" t="n">
        <x:v>55</x:v>
      </x:c>
      <x:c r="B62" s="2" t="str">
        <x:v>2026-12</x:v>
      </x:c>
      <x:c r="C62" s="2" t="n">
        <x:v>9</x:v>
      </x:c>
      <x:c r="D62" s="13" t="str">
        <x:v>Дивиденд ҳәм процент салығы есабаты</x:v>
      </x:c>
      <x:c r="E62" s="14" t="n">
        <x:v>46407</x:v>
      </x:c>
      <x:c r="F62" s="12"/>
      <x:c r="G62" s="11" t="n">
        <x:v>0</x:v>
      </x:c>
      <x:c r="H62" s="13" t="str">
        <x:v>Дивиденд / процент есапланған болса</x:v>
      </x:c>
      <x:c r="I62" s="2" t="str">
        <x:v>O</x:v>
      </x:c>
      <x:c r="J62" s="14" t="n">
        <x:f>IF(F62="",E62-'Басшы жуўмағы'!$B$6,F62-'Басшы жуўмағы'!$B$6)</x:f>
        <x:v>46404</x:v>
      </x:c>
      <x:c r="K62" s="2" t="str">
        <x:f>IF(AND(G62=1,ISNUMBER(F62)),"Расталды","Растаў керек")</x:f>
        <x:v>Растаў керек</x:v>
      </x:c>
    </x:row>
    <x:row r="63" ht="48" customHeight="1">
      <x:c r="A63" s="2" t="n">
        <x:v>56</x:v>
      </x:c>
      <x:c r="B63" s="2" t="str">
        <x:v>2026-12</x:v>
      </x:c>
      <x:c r="C63" s="2" t="n">
        <x:v>10</x:v>
      </x:c>
      <x:c r="D63" s="13" t="str">
        <x:v>Норезидент дәраматы салығы есабаты</x:v>
      </x:c>
      <x:c r="E63" s="14" t="n">
        <x:v>46407</x:v>
      </x:c>
      <x:c r="F63" s="12"/>
      <x:c r="G63" s="11" t="n">
        <x:v>0</x:v>
      </x:c>
      <x:c r="H63" s="13" t="str">
        <x:v>Тийисли төлемлер болса</x:v>
      </x:c>
      <x:c r="I63" s="2" t="str">
        <x:v>P</x:v>
      </x:c>
      <x:c r="J63" s="14" t="n">
        <x:f>IF(F63="",E63-'Басшы жуўмағы'!$B$6,F63-'Басшы жуўмағы'!$B$6)</x:f>
        <x:v>46404</x:v>
      </x:c>
      <x:c r="K63" s="2" t="str">
        <x:f>IF(AND(G63=1,ISNUMBER(F63)),"Расталды","Растаў керек")</x:f>
        <x:v>Растаў керек</x:v>
      </x:c>
    </x:row>
    <x:row r="64" ht="48" customHeight="1">
      <x:c r="A64" s="2" t="n">
        <x:v>57</x:v>
      </x:c>
      <x:c r="B64" s="2" t="str">
        <x:v>2026-12</x:v>
      </x:c>
      <x:c r="C64" s="2" t="n">
        <x:v>11</x:v>
      </x:c>
      <x:c r="D64" s="13" t="str">
        <x:v>Жер қойнаўынан пайдаланыў есабаты</x:v>
      </x:c>
      <x:c r="E64" s="14" t="n">
        <x:v>46407</x:v>
      </x:c>
      <x:c r="F64" s="12"/>
      <x:c r="G64" s="11" t="n">
        <x:v>0</x:v>
      </x:c>
      <x:c r="H64" s="13" t="str">
        <x:v>Жер қойнауы ресурсы бойынша</x:v>
      </x:c>
      <x:c r="I64" s="2" t="str">
        <x:v>Q</x:v>
      </x:c>
      <x:c r="J64" s="14" t="n">
        <x:f>IF(F64="",E64-'Басшы жуўмағы'!$B$6,F64-'Басшы жуўмағы'!$B$6)</x:f>
        <x:v>46404</x:v>
      </x:c>
      <x:c r="K64" s="2" t="str">
        <x:f>IF(AND(G64=1,ISNUMBER(F64)),"Расталды","Растаў керек")</x:f>
        <x:v>Растаў керек</x:v>
      </x:c>
    </x:row>
    <x:row r="65" ht="48" customHeight="1">
      <x:c r="A65" s="2" t="n">
        <x:v>58</x:v>
      </x:c>
      <x:c r="B65" s="2" t="str">
        <x:v>2027-01</x:v>
      </x:c>
      <x:c r="C65" s="2" t="n">
        <x:v>12</x:v>
      </x:c>
      <x:c r="D65" s="13" t="str">
        <x:v>Пайда салығы авансы</x:v>
      </x:c>
      <x:c r="E65" s="14" t="n">
        <x:v>46410</x:v>
      </x:c>
      <x:c r="F65" s="12"/>
      <x:c r="G65" s="11" t="n">
        <x:v>0</x:v>
      </x:c>
      <x:c r="H65" s="13" t="str">
        <x:v>20 млрд сум шеги ҳәм басқа шартларды тексериў</x:v>
      </x:c>
      <x:c r="I65" s="2" t="str">
        <x:v>M</x:v>
      </x:c>
      <x:c r="J65" s="14" t="n">
        <x:f>IF(F65="",E65-'Басшы жуўмағы'!$B$6,F65-'Басшы жуўмағы'!$B$6)</x:f>
        <x:v>46407</x:v>
      </x:c>
      <x:c r="K65" s="2" t="str">
        <x:f>IF(AND(G65=1,ISNUMBER(F65)),"Расталды","Растаў керек")</x:f>
        <x:v>Растаў керек</x:v>
      </x:c>
    </x:row>
    <x:row r="66" ht="48" customHeight="1">
      <x:c r="A66" s="2" t="n">
        <x:v>59</x:v>
      </x:c>
      <x:c r="B66" s="2" t="str">
        <x:v>2027-01</x:v>
      </x:c>
      <x:c r="C66" s="2" t="n">
        <x:v>13</x:v>
      </x:c>
      <x:c r="D66" s="13" t="str">
        <x:v>Мүлк салығы айлық авансы</x:v>
      </x:c>
      <x:c r="E66" s="14" t="n">
        <x:v>46397</x:v>
      </x:c>
      <x:c r="F66" s="12"/>
      <x:c r="G66" s="11" t="n">
        <x:v>0</x:v>
      </x:c>
      <x:c r="H66" s="13" t="str">
        <x:v>Айланба төлеўшилерден басқа; 1/12</x:v>
      </x:c>
      <x:c r="I66" s="2" t="str">
        <x:v>J</x:v>
      </x:c>
      <x:c r="J66" s="14" t="n">
        <x:f>IF(F66="",E66-'Басшы жуўмағы'!$B$6,F66-'Басшы жуўмағы'!$B$6)</x:f>
        <x:v>46394</x:v>
      </x:c>
      <x:c r="K66" s="2" t="str">
        <x:f>IF(AND(G66=1,ISNUMBER(F66)),"Расталды","Растаў керек")</x:f>
        <x:v>Растаў керек</x:v>
      </x:c>
    </x:row>
    <x:row r="67" ht="48" customHeight="1">
      <x:c r="A67" s="2" t="n">
        <x:v>60</x:v>
      </x:c>
      <x:c r="B67" s="2" t="str">
        <x:v>2027-01</x:v>
      </x:c>
      <x:c r="C67" s="2" t="n">
        <x:v>14</x:v>
      </x:c>
      <x:c r="D67" s="13" t="str">
        <x:v>Жер салығы айлық төлеми</x:v>
      </x:c>
      <x:c r="E67" s="14" t="n">
        <x:v>46397</x:v>
      </x:c>
      <x:c r="F67" s="12"/>
      <x:c r="G67" s="11" t="n">
        <x:v>0</x:v>
      </x:c>
      <x:c r="H67" s="13" t="str">
        <x:v>Аўыл хожалығы емес жер; айланба емес; 1/12</x:v>
      </x:c>
      <x:c r="I67" s="2" t="str">
        <x:v>K</x:v>
      </x:c>
      <x:c r="J67" s="14" t="n">
        <x:f>IF(F67="",E67-'Басшы жуўмағы'!$B$6,F67-'Басшы жуўмағы'!$B$6)</x:f>
        <x:v>46394</x:v>
      </x:c>
      <x:c r="K67" s="2" t="str">
        <x:f>IF(AND(G67=1,ISNUMBER(F67)),"Расталды","Растаў керек")</x:f>
        <x:v>Растаў керек</x:v>
      </x:c>
    </x:row>
    <x:row r="68" ht="48" customHeight="1">
      <x:c r="A68" s="2" t="n">
        <x:v>61</x:v>
      </x:c>
      <x:c r="B68" s="2" t="str">
        <x:v>2027-01</x:v>
      </x:c>
      <x:c r="C68" s="2" t="n">
        <x:v>15</x:v>
      </x:c>
      <x:c r="D68" s="13" t="str">
        <x:v>Суў салығы айлық авансы</x:v>
      </x:c>
      <x:c r="E68" s="14" t="n">
        <x:v>46407</x:v>
      </x:c>
      <x:c r="F68" s="12"/>
      <x:c r="G68" s="11" t="n">
        <x:v>0</x:v>
      </x:c>
      <x:c r="H68" s="13" t="str">
        <x:v>Айланба емес; жыллық салық &gt;200 БҲМ; 1/12</x:v>
      </x:c>
      <x:c r="I68" s="2" t="str">
        <x:v>V</x:v>
      </x:c>
      <x:c r="J68" s="14" t="n">
        <x:f>IF(F68="",E68-'Басшы жуўмағы'!$B$6,F68-'Басшы жуўмағы'!$B$6)</x:f>
        <x:v>46404</x:v>
      </x:c>
      <x:c r="K68" s="2" t="str">
        <x:f>IF(AND(G68=1,ISNUMBER(F68)),"Расталды","Растаў керек")</x:f>
        <x:v>Растаў керек</x:v>
      </x:c>
    </x:row>
    <x:row r="69" ht="48" customHeight="1">
      <x:c r="A69" s="2" t="n">
        <x:v>62</x:v>
      </x:c>
      <x:c r="B69" s="2" t="str">
        <x:v>2027-01</x:v>
      </x:c>
      <x:c r="C69" s="2" t="n">
        <x:v>1</x:v>
      </x:c>
      <x:c r="D69" s="13" t="str">
        <x:v>ҚҚС есабаты</x:v>
      </x:c>
      <x:c r="E69" s="14" t="n">
        <x:v>46438</x:v>
      </x:c>
      <x:c r="F69" s="12"/>
      <x:c r="G69" s="11" t="n">
        <x:v>0</x:v>
      </x:c>
      <x:c r="H69" s="13" t="str">
        <x:v>ҚҚС төлеўши</x:v>
      </x:c>
      <x:c r="I69" s="2" t="str">
        <x:v>F</x:v>
      </x:c>
      <x:c r="J69" s="14" t="n">
        <x:f>IF(F69="",E69-'Басшы жуўмағы'!$B$6,F69-'Басшы жуўмағы'!$B$6)</x:f>
        <x:v>46435</x:v>
      </x:c>
      <x:c r="K69" s="2" t="str">
        <x:f>IF(AND(G69=1,ISNUMBER(F69)),"Расталды","Растаў керек")</x:f>
        <x:v>Растаў керек</x:v>
      </x:c>
    </x:row>
    <x:row r="70" ht="48" customHeight="1">
      <x:c r="A70" s="2" t="n">
        <x:v>63</x:v>
      </x:c>
      <x:c r="B70" s="2" t="str">
        <x:v>2027-01</x:v>
      </x:c>
      <x:c r="C70" s="2" t="n">
        <x:v>2</x:v>
      </x:c>
      <x:c r="D70" s="13" t="str">
        <x:v>ҚҚС төлеми</x:v>
      </x:c>
      <x:c r="E70" s="14" t="n">
        <x:v>46438</x:v>
      </x:c>
      <x:c r="F70" s="12"/>
      <x:c r="G70" s="11" t="n">
        <x:v>0</x:v>
      </x:c>
      <x:c r="H70" s="13" t="str">
        <x:v>Есапланған салық бойынша</x:v>
      </x:c>
      <x:c r="I70" s="2" t="str">
        <x:v>F</x:v>
      </x:c>
      <x:c r="J70" s="14" t="n">
        <x:f>IF(F70="",E70-'Басшы жуўмағы'!$B$6,F70-'Басшы жуўмағы'!$B$6)</x:f>
        <x:v>46435</x:v>
      </x:c>
      <x:c r="K70" s="2" t="str">
        <x:f>IF(AND(G70=1,ISNUMBER(F70)),"Расталды","Растаў керек")</x:f>
        <x:v>Растаў керек</x:v>
      </x:c>
    </x:row>
    <x:row r="71" ht="48" customHeight="1">
      <x:c r="A71" s="2" t="n">
        <x:v>64</x:v>
      </x:c>
      <x:c r="B71" s="2" t="str">
        <x:v>2027-01</x:v>
      </x:c>
      <x:c r="C71" s="2" t="n">
        <x:v>3</x:v>
      </x:c>
      <x:c r="D71" s="13" t="str">
        <x:v>Айланба салығы есабаты</x:v>
      </x:c>
      <x:c r="E71" s="14" t="n">
        <x:v>46433</x:v>
      </x:c>
      <x:c r="F71" s="12"/>
      <x:c r="G71" s="11" t="n">
        <x:v>0</x:v>
      </x:c>
      <x:c r="H71" s="13" t="str">
        <x:v>Айланба салығы төлеўши</x:v>
      </x:c>
      <x:c r="I71" s="2" t="str">
        <x:v>G</x:v>
      </x:c>
      <x:c r="J71" s="14" t="n">
        <x:f>IF(F71="",E71-'Басшы жуўмағы'!$B$6,F71-'Басшы жуўмағы'!$B$6)</x:f>
        <x:v>46430</x:v>
      </x:c>
      <x:c r="K71" s="2" t="str">
        <x:f>IF(AND(G71=1,ISNUMBER(F71)),"Расталды","Растаў керек")</x:f>
        <x:v>Растаў керек</x:v>
      </x:c>
    </x:row>
    <x:row r="72" ht="48" customHeight="1">
      <x:c r="A72" s="2" t="n">
        <x:v>65</x:v>
      </x:c>
      <x:c r="B72" s="2" t="str">
        <x:v>2027-01</x:v>
      </x:c>
      <x:c r="C72" s="2" t="n">
        <x:v>4</x:v>
      </x:c>
      <x:c r="D72" s="13" t="str">
        <x:v>Айланба салығы төлеми</x:v>
      </x:c>
      <x:c r="E72" s="14" t="n">
        <x:v>46433</x:v>
      </x:c>
      <x:c r="F72" s="12"/>
      <x:c r="G72" s="11" t="n">
        <x:v>0</x:v>
      </x:c>
      <x:c r="H72" s="13" t="str">
        <x:v>Салық суммасы бойынша</x:v>
      </x:c>
      <x:c r="I72" s="2" t="str">
        <x:v>G</x:v>
      </x:c>
      <x:c r="J72" s="14" t="n">
        <x:f>IF(F72="",E72-'Басшы жуўмағы'!$B$6,F72-'Басшы жуўмағы'!$B$6)</x:f>
        <x:v>46430</x:v>
      </x:c>
      <x:c r="K72" s="2" t="str">
        <x:f>IF(AND(G72=1,ISNUMBER(F72)),"Расталды","Растаў керек")</x:f>
        <x:v>Растаў керек</x:v>
      </x:c>
    </x:row>
    <x:row r="73" ht="48" customHeight="1">
      <x:c r="A73" s="2" t="n">
        <x:v>66</x:v>
      </x:c>
      <x:c r="B73" s="2" t="str">
        <x:v>2027-01</x:v>
      </x:c>
      <x:c r="C73" s="2" t="n">
        <x:v>5</x:v>
      </x:c>
      <x:c r="D73" s="13" t="str">
        <x:v>Дәрамат салығы есабаты</x:v>
      </x:c>
      <x:c r="E73" s="14" t="n">
        <x:v>46433</x:v>
      </x:c>
      <x:c r="F73" s="12"/>
      <x:c r="G73" s="11" t="n">
        <x:v>0</x:v>
      </x:c>
      <x:c r="H73" s="13" t="str">
        <x:v>Салық агенти</x:v>
      </x:c>
      <x:c r="I73" s="2" t="str">
        <x:v>I</x:v>
      </x:c>
      <x:c r="J73" s="14" t="n">
        <x:f>IF(F73="",E73-'Басшы жуўмағы'!$B$6,F73-'Басшы жуўмағы'!$B$6)</x:f>
        <x:v>46430</x:v>
      </x:c>
      <x:c r="K73" s="2" t="str">
        <x:f>IF(AND(G73=1,ISNUMBER(F73)),"Расталды","Растаў керек")</x:f>
        <x:v>Растаў керек</x:v>
      </x:c>
    </x:row>
    <x:row r="74" ht="48" customHeight="1">
      <x:c r="A74" s="2" t="n">
        <x:v>67</x:v>
      </x:c>
      <x:c r="B74" s="2" t="str">
        <x:v>2027-01</x:v>
      </x:c>
      <x:c r="C74" s="2" t="n">
        <x:v>6</x:v>
      </x:c>
      <x:c r="D74" s="13" t="str">
        <x:v>Социаллық салық есабаты</x:v>
      </x:c>
      <x:c r="E74" s="14" t="n">
        <x:v>46433</x:v>
      </x:c>
      <x:c r="F74" s="12"/>
      <x:c r="G74" s="11" t="n">
        <x:v>0</x:v>
      </x:c>
      <x:c r="H74" s="13" t="str">
        <x:v>Айлық салықлары тийисли</x:v>
      </x:c>
      <x:c r="I74" s="2" t="str">
        <x:v>I</x:v>
      </x:c>
      <x:c r="J74" s="14" t="n">
        <x:f>IF(F74="",E74-'Басшы жуўмағы'!$B$6,F74-'Басшы жуўмағы'!$B$6)</x:f>
        <x:v>46430</x:v>
      </x:c>
      <x:c r="K74" s="2" t="str">
        <x:f>IF(AND(G74=1,ISNUMBER(F74)),"Расталды","Растаў керек")</x:f>
        <x:v>Растаў керек</x:v>
      </x:c>
    </x:row>
    <x:row r="75" ht="48" customHeight="1">
      <x:c r="A75" s="2" t="n">
        <x:v>68</x:v>
      </x:c>
      <x:c r="B75" s="2" t="str">
        <x:v>2027-01</x:v>
      </x:c>
      <x:c r="C75" s="2" t="n">
        <x:v>7</x:v>
      </x:c>
      <x:c r="D75" s="13" t="str">
        <x:v>Социаллық салық төлеми</x:v>
      </x:c>
      <x:c r="E75" s="14" t="n">
        <x:v>46433</x:v>
      </x:c>
      <x:c r="F75" s="12"/>
      <x:c r="G75" s="11" t="n">
        <x:v>0</x:v>
      </x:c>
      <x:c r="H75" s="13" t="str">
        <x:v>Салық суммасы бойынша</x:v>
      </x:c>
      <x:c r="I75" s="2" t="str">
        <x:v>I</x:v>
      </x:c>
      <x:c r="J75" s="14" t="n">
        <x:f>IF(F75="",E75-'Басшы жуўмағы'!$B$6,F75-'Басшы жуўмағы'!$B$6)</x:f>
        <x:v>46430</x:v>
      </x:c>
      <x:c r="K75" s="2" t="str">
        <x:f>IF(AND(G75=1,ISNUMBER(F75)),"Расталды","Растаў керек")</x:f>
        <x:v>Растаў керек</x:v>
      </x:c>
    </x:row>
    <x:row r="76" ht="48" customHeight="1">
      <x:c r="A76" s="2" t="n">
        <x:v>69</x:v>
      </x:c>
      <x:c r="B76" s="2" t="str">
        <x:v>2027-01</x:v>
      </x:c>
      <x:c r="C76" s="2" t="n">
        <x:v>8</x:v>
      </x:c>
      <x:c r="D76" s="13" t="str">
        <x:v>Акциз есабаты ҳәм төлемин тексериў</x:v>
      </x:c>
      <x:c r="E76" s="14" t="n">
        <x:v>46428</x:v>
      </x:c>
      <x:c r="F76" s="12"/>
      <x:c r="G76" s="11" t="n">
        <x:v>0</x:v>
      </x:c>
      <x:c r="H76" s="13" t="str">
        <x:v>Акциз төлеўши</x:v>
      </x:c>
      <x:c r="I76" s="2" t="str">
        <x:v>N</x:v>
      </x:c>
      <x:c r="J76" s="14" t="n">
        <x:f>IF(F76="",E76-'Басшы жуўмағы'!$B$6,F76-'Басшы жуўмағы'!$B$6)</x:f>
        <x:v>46425</x:v>
      </x:c>
      <x:c r="K76" s="2" t="str">
        <x:f>IF(AND(G76=1,ISNUMBER(F76)),"Расталды","Растаў керек")</x:f>
        <x:v>Растаў керек</x:v>
      </x:c>
    </x:row>
    <x:row r="77" ht="48" customHeight="1">
      <x:c r="A77" s="2" t="n">
        <x:v>70</x:v>
      </x:c>
      <x:c r="B77" s="2" t="str">
        <x:v>2027-01</x:v>
      </x:c>
      <x:c r="C77" s="2" t="n">
        <x:v>9</x:v>
      </x:c>
      <x:c r="D77" s="13" t="str">
        <x:v>Дивиденд ҳәм процент салығы есабаты</x:v>
      </x:c>
      <x:c r="E77" s="14" t="n">
        <x:v>46438</x:v>
      </x:c>
      <x:c r="F77" s="12"/>
      <x:c r="G77" s="11" t="n">
        <x:v>0</x:v>
      </x:c>
      <x:c r="H77" s="13" t="str">
        <x:v>Дивиденд / процент есапланған болса</x:v>
      </x:c>
      <x:c r="I77" s="2" t="str">
        <x:v>O</x:v>
      </x:c>
      <x:c r="J77" s="14" t="n">
        <x:f>IF(F77="",E77-'Басшы жуўмағы'!$B$6,F77-'Басшы жуўмағы'!$B$6)</x:f>
        <x:v>46435</x:v>
      </x:c>
      <x:c r="K77" s="2" t="str">
        <x:f>IF(AND(G77=1,ISNUMBER(F77)),"Расталды","Растаў керек")</x:f>
        <x:v>Растаў керек</x:v>
      </x:c>
    </x:row>
    <x:row r="78" ht="48" customHeight="1">
      <x:c r="A78" s="2" t="n">
        <x:v>71</x:v>
      </x:c>
      <x:c r="B78" s="2" t="str">
        <x:v>2027-01</x:v>
      </x:c>
      <x:c r="C78" s="2" t="n">
        <x:v>10</x:v>
      </x:c>
      <x:c r="D78" s="13" t="str">
        <x:v>Норезидент дәраматы салығы есабаты</x:v>
      </x:c>
      <x:c r="E78" s="14" t="n">
        <x:v>46438</x:v>
      </x:c>
      <x:c r="F78" s="12"/>
      <x:c r="G78" s="11" t="n">
        <x:v>0</x:v>
      </x:c>
      <x:c r="H78" s="13" t="str">
        <x:v>Тийисли төлемлер болса</x:v>
      </x:c>
      <x:c r="I78" s="2" t="str">
        <x:v>P</x:v>
      </x:c>
      <x:c r="J78" s="14" t="n">
        <x:f>IF(F78="",E78-'Басшы жуўмағы'!$B$6,F78-'Басшы жуўмағы'!$B$6)</x:f>
        <x:v>46435</x:v>
      </x:c>
      <x:c r="K78" s="2" t="str">
        <x:f>IF(AND(G78=1,ISNUMBER(F78)),"Расталды","Растаў керек")</x:f>
        <x:v>Растаў керек</x:v>
      </x:c>
    </x:row>
    <x:row r="79" ht="48" customHeight="1">
      <x:c r="A79" s="2" t="n">
        <x:v>72</x:v>
      </x:c>
      <x:c r="B79" s="2" t="str">
        <x:v>2027-01</x:v>
      </x:c>
      <x:c r="C79" s="2" t="n">
        <x:v>11</x:v>
      </x:c>
      <x:c r="D79" s="13" t="str">
        <x:v>Жер қойнаўынан пайдаланыў есабаты</x:v>
      </x:c>
      <x:c r="E79" s="14" t="n">
        <x:v>46438</x:v>
      </x:c>
      <x:c r="F79" s="12"/>
      <x:c r="G79" s="11" t="n">
        <x:v>0</x:v>
      </x:c>
      <x:c r="H79" s="13" t="str">
        <x:v>Жер қойнауы ресурсы бойынша</x:v>
      </x:c>
      <x:c r="I79" s="2" t="str">
        <x:v>Q</x:v>
      </x:c>
      <x:c r="J79" s="14" t="n">
        <x:f>IF(F79="",E79-'Басшы жуўмағы'!$B$6,F79-'Басшы жуўмағы'!$B$6)</x:f>
        <x:v>46435</x:v>
      </x:c>
      <x:c r="K79" s="2" t="str">
        <x:f>IF(AND(G79=1,ISNUMBER(F79)),"Расталды","Растаў керек")</x:f>
        <x:v>Растаў керек</x:v>
      </x:c>
    </x:row>
    <x:row r="80" ht="48" customHeight="1">
      <x:c r="A80" s="2" t="n">
        <x:v>73</x:v>
      </x:c>
      <x:c r="B80" s="2" t="str">
        <x:v>2027-02</x:v>
      </x:c>
      <x:c r="C80" s="2" t="n">
        <x:v>12</x:v>
      </x:c>
      <x:c r="D80" s="13" t="str">
        <x:v>Пайда салығы авансы</x:v>
      </x:c>
      <x:c r="E80" s="14" t="n">
        <x:v>46441</x:v>
      </x:c>
      <x:c r="F80" s="12"/>
      <x:c r="G80" s="11" t="n">
        <x:v>0</x:v>
      </x:c>
      <x:c r="H80" s="13" t="str">
        <x:v>20 млрд сум шеги ҳәм басқа шартларды тексериў</x:v>
      </x:c>
      <x:c r="I80" s="2" t="str">
        <x:v>M</x:v>
      </x:c>
      <x:c r="J80" s="14" t="n">
        <x:f>IF(F80="",E80-'Басшы жуўмағы'!$B$6,F80-'Басшы жуўмағы'!$B$6)</x:f>
        <x:v>46438</x:v>
      </x:c>
      <x:c r="K80" s="2" t="str">
        <x:f>IF(AND(G80=1,ISNUMBER(F80)),"Расталды","Растаў керек")</x:f>
        <x:v>Растаў керек</x:v>
      </x:c>
    </x:row>
    <x:row r="81" ht="48" customHeight="1">
      <x:c r="A81" s="2" t="n">
        <x:v>74</x:v>
      </x:c>
      <x:c r="B81" s="2" t="str">
        <x:v>2027-02</x:v>
      </x:c>
      <x:c r="C81" s="2" t="n">
        <x:v>13</x:v>
      </x:c>
      <x:c r="D81" s="13" t="str">
        <x:v>Мүлк салығы айлық авансы</x:v>
      </x:c>
      <x:c r="E81" s="14" t="n">
        <x:v>46428</x:v>
      </x:c>
      <x:c r="F81" s="12"/>
      <x:c r="G81" s="11" t="n">
        <x:v>0</x:v>
      </x:c>
      <x:c r="H81" s="13" t="str">
        <x:v>Айланба төлеўшилерден басқа; 1/12</x:v>
      </x:c>
      <x:c r="I81" s="2" t="str">
        <x:v>J</x:v>
      </x:c>
      <x:c r="J81" s="14" t="n">
        <x:f>IF(F81="",E81-'Басшы жуўмағы'!$B$6,F81-'Басшы жуўмағы'!$B$6)</x:f>
        <x:v>46425</x:v>
      </x:c>
      <x:c r="K81" s="2" t="str">
        <x:f>IF(AND(G81=1,ISNUMBER(F81)),"Расталды","Растаў керек")</x:f>
        <x:v>Растаў керек</x:v>
      </x:c>
    </x:row>
    <x:row r="82" ht="48" customHeight="1">
      <x:c r="A82" s="2" t="n">
        <x:v>75</x:v>
      </x:c>
      <x:c r="B82" s="2" t="str">
        <x:v>2027-02</x:v>
      </x:c>
      <x:c r="C82" s="2" t="n">
        <x:v>14</x:v>
      </x:c>
      <x:c r="D82" s="13" t="str">
        <x:v>Жер салығы айлық төлеми</x:v>
      </x:c>
      <x:c r="E82" s="14" t="n">
        <x:v>46428</x:v>
      </x:c>
      <x:c r="F82" s="12"/>
      <x:c r="G82" s="11" t="n">
        <x:v>0</x:v>
      </x:c>
      <x:c r="H82" s="13" t="str">
        <x:v>Аўыл хожалығы емес жер; айланба емес; 1/12</x:v>
      </x:c>
      <x:c r="I82" s="2" t="str">
        <x:v>K</x:v>
      </x:c>
      <x:c r="J82" s="14" t="n">
        <x:f>IF(F82="",E82-'Басшы жуўмағы'!$B$6,F82-'Басшы жуўмағы'!$B$6)</x:f>
        <x:v>46425</x:v>
      </x:c>
      <x:c r="K82" s="2" t="str">
        <x:f>IF(AND(G82=1,ISNUMBER(F82)),"Расталды","Растаў керек")</x:f>
        <x:v>Растаў керек</x:v>
      </x:c>
    </x:row>
    <x:row r="83" ht="48" customHeight="1">
      <x:c r="A83" s="2" t="n">
        <x:v>76</x:v>
      </x:c>
      <x:c r="B83" s="2" t="str">
        <x:v>2027-02</x:v>
      </x:c>
      <x:c r="C83" s="2" t="n">
        <x:v>15</x:v>
      </x:c>
      <x:c r="D83" s="13" t="str">
        <x:v>Суў салығы айлық авансы</x:v>
      </x:c>
      <x:c r="E83" s="14" t="n">
        <x:v>46438</x:v>
      </x:c>
      <x:c r="F83" s="12"/>
      <x:c r="G83" s="11" t="n">
        <x:v>0</x:v>
      </x:c>
      <x:c r="H83" s="13" t="str">
        <x:v>Айланба емес; жыллық салық &gt;200 БҲМ; 1/12</x:v>
      </x:c>
      <x:c r="I83" s="2" t="str">
        <x:v>V</x:v>
      </x:c>
      <x:c r="J83" s="14" t="n">
        <x:f>IF(F83="",E83-'Басшы жуўмағы'!$B$6,F83-'Басшы жуўмағы'!$B$6)</x:f>
        <x:v>46435</x:v>
      </x:c>
      <x:c r="K83" s="2" t="str">
        <x:f>IF(AND(G83=1,ISNUMBER(F83)),"Расталды","Растаў керек")</x:f>
        <x:v>Растаў керек</x:v>
      </x:c>
    </x:row>
    <x:row r="84" ht="48" customHeight="1">
      <x:c r="A84" s="2" t="n">
        <x:v>77</x:v>
      </x:c>
      <x:c r="B84" s="2" t="str">
        <x:v>2027-02</x:v>
      </x:c>
      <x:c r="C84" s="2" t="n">
        <x:v>1</x:v>
      </x:c>
      <x:c r="D84" s="13" t="str">
        <x:v>ҚҚС есабаты</x:v>
      </x:c>
      <x:c r="E84" s="14" t="n">
        <x:v>46466</x:v>
      </x:c>
      <x:c r="F84" s="12"/>
      <x:c r="G84" s="11" t="n">
        <x:v>0</x:v>
      </x:c>
      <x:c r="H84" s="13" t="str">
        <x:v>ҚҚС төлеўши</x:v>
      </x:c>
      <x:c r="I84" s="2" t="str">
        <x:v>F</x:v>
      </x:c>
      <x:c r="J84" s="14" t="n">
        <x:f>IF(F84="",E84-'Басшы жуўмағы'!$B$6,F84-'Басшы жуўмағы'!$B$6)</x:f>
        <x:v>46463</x:v>
      </x:c>
      <x:c r="K84" s="2" t="str">
        <x:f>IF(AND(G84=1,ISNUMBER(F84)),"Расталды","Растаў керек")</x:f>
        <x:v>Растаў керек</x:v>
      </x:c>
    </x:row>
    <x:row r="85" ht="48" customHeight="1">
      <x:c r="A85" s="2" t="n">
        <x:v>78</x:v>
      </x:c>
      <x:c r="B85" s="2" t="str">
        <x:v>2027-02</x:v>
      </x:c>
      <x:c r="C85" s="2" t="n">
        <x:v>2</x:v>
      </x:c>
      <x:c r="D85" s="13" t="str">
        <x:v>ҚҚС төлеми</x:v>
      </x:c>
      <x:c r="E85" s="14" t="n">
        <x:v>46466</x:v>
      </x:c>
      <x:c r="F85" s="12"/>
      <x:c r="G85" s="11" t="n">
        <x:v>0</x:v>
      </x:c>
      <x:c r="H85" s="13" t="str">
        <x:v>Есапланған салық бойынша</x:v>
      </x:c>
      <x:c r="I85" s="2" t="str">
        <x:v>F</x:v>
      </x:c>
      <x:c r="J85" s="14" t="n">
        <x:f>IF(F85="",E85-'Басшы жуўмағы'!$B$6,F85-'Басшы жуўмағы'!$B$6)</x:f>
        <x:v>46463</x:v>
      </x:c>
      <x:c r="K85" s="2" t="str">
        <x:f>IF(AND(G85=1,ISNUMBER(F85)),"Расталды","Растаў керек")</x:f>
        <x:v>Растаў керек</x:v>
      </x:c>
    </x:row>
    <x:row r="86" ht="48" customHeight="1">
      <x:c r="A86" s="2" t="n">
        <x:v>79</x:v>
      </x:c>
      <x:c r="B86" s="2" t="str">
        <x:v>2027-02</x:v>
      </x:c>
      <x:c r="C86" s="2" t="n">
        <x:v>3</x:v>
      </x:c>
      <x:c r="D86" s="13" t="str">
        <x:v>Айланба салығы есабаты</x:v>
      </x:c>
      <x:c r="E86" s="14" t="n">
        <x:v>46461</x:v>
      </x:c>
      <x:c r="F86" s="12"/>
      <x:c r="G86" s="11" t="n">
        <x:v>0</x:v>
      </x:c>
      <x:c r="H86" s="13" t="str">
        <x:v>Айланба салығы төлеўши</x:v>
      </x:c>
      <x:c r="I86" s="2" t="str">
        <x:v>G</x:v>
      </x:c>
      <x:c r="J86" s="14" t="n">
        <x:f>IF(F86="",E86-'Басшы жуўмағы'!$B$6,F86-'Басшы жуўмағы'!$B$6)</x:f>
        <x:v>46458</x:v>
      </x:c>
      <x:c r="K86" s="2" t="str">
        <x:f>IF(AND(G86=1,ISNUMBER(F86)),"Расталды","Растаў керек")</x:f>
        <x:v>Растаў керек</x:v>
      </x:c>
    </x:row>
    <x:row r="87" ht="48" customHeight="1">
      <x:c r="A87" s="2" t="n">
        <x:v>80</x:v>
      </x:c>
      <x:c r="B87" s="2" t="str">
        <x:v>2027-02</x:v>
      </x:c>
      <x:c r="C87" s="2" t="n">
        <x:v>4</x:v>
      </x:c>
      <x:c r="D87" s="13" t="str">
        <x:v>Айланба салығы төлеми</x:v>
      </x:c>
      <x:c r="E87" s="14" t="n">
        <x:v>46461</x:v>
      </x:c>
      <x:c r="F87" s="12"/>
      <x:c r="G87" s="11" t="n">
        <x:v>0</x:v>
      </x:c>
      <x:c r="H87" s="13" t="str">
        <x:v>Салық суммасы бойынша</x:v>
      </x:c>
      <x:c r="I87" s="2" t="str">
        <x:v>G</x:v>
      </x:c>
      <x:c r="J87" s="14" t="n">
        <x:f>IF(F87="",E87-'Басшы жуўмағы'!$B$6,F87-'Басшы жуўмағы'!$B$6)</x:f>
        <x:v>46458</x:v>
      </x:c>
      <x:c r="K87" s="2" t="str">
        <x:f>IF(AND(G87=1,ISNUMBER(F87)),"Расталды","Растаў керек")</x:f>
        <x:v>Растаў керек</x:v>
      </x:c>
    </x:row>
    <x:row r="88" ht="48" customHeight="1">
      <x:c r="A88" s="2" t="n">
        <x:v>81</x:v>
      </x:c>
      <x:c r="B88" s="2" t="str">
        <x:v>2027-02</x:v>
      </x:c>
      <x:c r="C88" s="2" t="n">
        <x:v>5</x:v>
      </x:c>
      <x:c r="D88" s="13" t="str">
        <x:v>Дәрамат салығы есабаты</x:v>
      </x:c>
      <x:c r="E88" s="14" t="n">
        <x:v>46461</x:v>
      </x:c>
      <x:c r="F88" s="12"/>
      <x:c r="G88" s="11" t="n">
        <x:v>0</x:v>
      </x:c>
      <x:c r="H88" s="13" t="str">
        <x:v>Салық агенти</x:v>
      </x:c>
      <x:c r="I88" s="2" t="str">
        <x:v>I</x:v>
      </x:c>
      <x:c r="J88" s="14" t="n">
        <x:f>IF(F88="",E88-'Басшы жуўмағы'!$B$6,F88-'Басшы жуўмағы'!$B$6)</x:f>
        <x:v>46458</x:v>
      </x:c>
      <x:c r="K88" s="2" t="str">
        <x:f>IF(AND(G88=1,ISNUMBER(F88)),"Расталды","Растаў керек")</x:f>
        <x:v>Растаў керек</x:v>
      </x:c>
    </x:row>
    <x:row r="89" ht="48" customHeight="1">
      <x:c r="A89" s="2" t="n">
        <x:v>82</x:v>
      </x:c>
      <x:c r="B89" s="2" t="str">
        <x:v>2027-02</x:v>
      </x:c>
      <x:c r="C89" s="2" t="n">
        <x:v>6</x:v>
      </x:c>
      <x:c r="D89" s="13" t="str">
        <x:v>Социаллық салық есабаты</x:v>
      </x:c>
      <x:c r="E89" s="14" t="n">
        <x:v>46461</x:v>
      </x:c>
      <x:c r="F89" s="12"/>
      <x:c r="G89" s="11" t="n">
        <x:v>0</x:v>
      </x:c>
      <x:c r="H89" s="13" t="str">
        <x:v>Айлық салықлары тийисли</x:v>
      </x:c>
      <x:c r="I89" s="2" t="str">
        <x:v>I</x:v>
      </x:c>
      <x:c r="J89" s="14" t="n">
        <x:f>IF(F89="",E89-'Басшы жуўмағы'!$B$6,F89-'Басшы жуўмағы'!$B$6)</x:f>
        <x:v>46458</x:v>
      </x:c>
      <x:c r="K89" s="2" t="str">
        <x:f>IF(AND(G89=1,ISNUMBER(F89)),"Расталды","Растаў керек")</x:f>
        <x:v>Растаў керек</x:v>
      </x:c>
    </x:row>
    <x:row r="90" ht="48" customHeight="1">
      <x:c r="A90" s="2" t="n">
        <x:v>83</x:v>
      </x:c>
      <x:c r="B90" s="2" t="str">
        <x:v>2027-02</x:v>
      </x:c>
      <x:c r="C90" s="2" t="n">
        <x:v>7</x:v>
      </x:c>
      <x:c r="D90" s="13" t="str">
        <x:v>Социаллық салық төлеми</x:v>
      </x:c>
      <x:c r="E90" s="14" t="n">
        <x:v>46461</x:v>
      </x:c>
      <x:c r="F90" s="12"/>
      <x:c r="G90" s="11" t="n">
        <x:v>0</x:v>
      </x:c>
      <x:c r="H90" s="13" t="str">
        <x:v>Салық суммасы бойынша</x:v>
      </x:c>
      <x:c r="I90" s="2" t="str">
        <x:v>I</x:v>
      </x:c>
      <x:c r="J90" s="14" t="n">
        <x:f>IF(F90="",E90-'Басшы жуўмағы'!$B$6,F90-'Басшы жуўмағы'!$B$6)</x:f>
        <x:v>46458</x:v>
      </x:c>
      <x:c r="K90" s="2" t="str">
        <x:f>IF(AND(G90=1,ISNUMBER(F90)),"Расталды","Растаў керек")</x:f>
        <x:v>Растаў керек</x:v>
      </x:c>
    </x:row>
    <x:row r="91" ht="48" customHeight="1">
      <x:c r="A91" s="2" t="n">
        <x:v>84</x:v>
      </x:c>
      <x:c r="B91" s="2" t="str">
        <x:v>2027-02</x:v>
      </x:c>
      <x:c r="C91" s="2" t="n">
        <x:v>8</x:v>
      </x:c>
      <x:c r="D91" s="13" t="str">
        <x:v>Акциз есабаты ҳәм төлемин тексериў</x:v>
      </x:c>
      <x:c r="E91" s="14" t="n">
        <x:v>46456</x:v>
      </x:c>
      <x:c r="F91" s="12"/>
      <x:c r="G91" s="11" t="n">
        <x:v>0</x:v>
      </x:c>
      <x:c r="H91" s="13" t="str">
        <x:v>Акциз төлеўши</x:v>
      </x:c>
      <x:c r="I91" s="2" t="str">
        <x:v>N</x:v>
      </x:c>
      <x:c r="J91" s="14" t="n">
        <x:f>IF(F91="",E91-'Басшы жуўмағы'!$B$6,F91-'Басшы жуўмағы'!$B$6)</x:f>
        <x:v>46453</x:v>
      </x:c>
      <x:c r="K91" s="2" t="str">
        <x:f>IF(AND(G91=1,ISNUMBER(F91)),"Расталды","Растаў керек")</x:f>
        <x:v>Растаў керек</x:v>
      </x:c>
    </x:row>
    <x:row r="92" ht="48" customHeight="1">
      <x:c r="A92" s="2" t="n">
        <x:v>85</x:v>
      </x:c>
      <x:c r="B92" s="2" t="str">
        <x:v>2027-02</x:v>
      </x:c>
      <x:c r="C92" s="2" t="n">
        <x:v>9</x:v>
      </x:c>
      <x:c r="D92" s="13" t="str">
        <x:v>Дивиденд ҳәм процент салығы есабаты</x:v>
      </x:c>
      <x:c r="E92" s="14" t="n">
        <x:v>46466</x:v>
      </x:c>
      <x:c r="F92" s="12"/>
      <x:c r="G92" s="11" t="n">
        <x:v>0</x:v>
      </x:c>
      <x:c r="H92" s="13" t="str">
        <x:v>Дивиденд / процент есапланған болса</x:v>
      </x:c>
      <x:c r="I92" s="2" t="str">
        <x:v>O</x:v>
      </x:c>
      <x:c r="J92" s="14" t="n">
        <x:f>IF(F92="",E92-'Басшы жуўмағы'!$B$6,F92-'Басшы жуўмағы'!$B$6)</x:f>
        <x:v>46463</x:v>
      </x:c>
      <x:c r="K92" s="2" t="str">
        <x:f>IF(AND(G92=1,ISNUMBER(F92)),"Расталды","Растаў керек")</x:f>
        <x:v>Растаў керек</x:v>
      </x:c>
    </x:row>
    <x:row r="93" ht="48" customHeight="1">
      <x:c r="A93" s="2" t="n">
        <x:v>86</x:v>
      </x:c>
      <x:c r="B93" s="2" t="str">
        <x:v>2027-02</x:v>
      </x:c>
      <x:c r="C93" s="2" t="n">
        <x:v>10</x:v>
      </x:c>
      <x:c r="D93" s="13" t="str">
        <x:v>Норезидент дәраматы салығы есабаты</x:v>
      </x:c>
      <x:c r="E93" s="14" t="n">
        <x:v>46466</x:v>
      </x:c>
      <x:c r="F93" s="12"/>
      <x:c r="G93" s="11" t="n">
        <x:v>0</x:v>
      </x:c>
      <x:c r="H93" s="13" t="str">
        <x:v>Тийисли төлемлер болса</x:v>
      </x:c>
      <x:c r="I93" s="2" t="str">
        <x:v>P</x:v>
      </x:c>
      <x:c r="J93" s="14" t="n">
        <x:f>IF(F93="",E93-'Басшы жуўмағы'!$B$6,F93-'Басшы жуўмағы'!$B$6)</x:f>
        <x:v>46463</x:v>
      </x:c>
      <x:c r="K93" s="2" t="str">
        <x:f>IF(AND(G93=1,ISNUMBER(F93)),"Расталды","Растаў керек")</x:f>
        <x:v>Растаў керек</x:v>
      </x:c>
    </x:row>
    <x:row r="94" ht="48" customHeight="1">
      <x:c r="A94" s="2" t="n">
        <x:v>87</x:v>
      </x:c>
      <x:c r="B94" s="2" t="str">
        <x:v>2027-02</x:v>
      </x:c>
      <x:c r="C94" s="2" t="n">
        <x:v>11</x:v>
      </x:c>
      <x:c r="D94" s="13" t="str">
        <x:v>Жер қойнаўынан пайдаланыў есабаты</x:v>
      </x:c>
      <x:c r="E94" s="14" t="n">
        <x:v>46466</x:v>
      </x:c>
      <x:c r="F94" s="12"/>
      <x:c r="G94" s="11" t="n">
        <x:v>0</x:v>
      </x:c>
      <x:c r="H94" s="13" t="str">
        <x:v>Жер қойнауы ресурсы бойынша</x:v>
      </x:c>
      <x:c r="I94" s="2" t="str">
        <x:v>Q</x:v>
      </x:c>
      <x:c r="J94" s="14" t="n">
        <x:f>IF(F94="",E94-'Басшы жуўмағы'!$B$6,F94-'Басшы жуўмағы'!$B$6)</x:f>
        <x:v>46463</x:v>
      </x:c>
      <x:c r="K94" s="2" t="str">
        <x:f>IF(AND(G94=1,ISNUMBER(F94)),"Расталды","Растаў керек")</x:f>
        <x:v>Растаў керек</x:v>
      </x:c>
    </x:row>
    <x:row r="95" ht="48" customHeight="1">
      <x:c r="A95" s="2" t="n">
        <x:v>88</x:v>
      </x:c>
      <x:c r="B95" s="2" t="str">
        <x:v>2027-03</x:v>
      </x:c>
      <x:c r="C95" s="2" t="n">
        <x:v>12</x:v>
      </x:c>
      <x:c r="D95" s="13" t="str">
        <x:v>Пайда салығы авансы</x:v>
      </x:c>
      <x:c r="E95" s="14" t="n">
        <x:v>46469</x:v>
      </x:c>
      <x:c r="F95" s="12"/>
      <x:c r="G95" s="11" t="n">
        <x:v>0</x:v>
      </x:c>
      <x:c r="H95" s="13" t="str">
        <x:v>20 млрд сум шеги ҳәм басқа шартларды тексериў</x:v>
      </x:c>
      <x:c r="I95" s="2" t="str">
        <x:v>M</x:v>
      </x:c>
      <x:c r="J95" s="14" t="n">
        <x:f>IF(F95="",E95-'Басшы жуўмағы'!$B$6,F95-'Басшы жуўмағы'!$B$6)</x:f>
        <x:v>46466</x:v>
      </x:c>
      <x:c r="K95" s="2" t="str">
        <x:f>IF(AND(G95=1,ISNUMBER(F95)),"Расталды","Растаў керек")</x:f>
        <x:v>Растаў керек</x:v>
      </x:c>
    </x:row>
    <x:row r="96" ht="48" customHeight="1">
      <x:c r="A96" s="2" t="n">
        <x:v>89</x:v>
      </x:c>
      <x:c r="B96" s="2" t="str">
        <x:v>2027-03</x:v>
      </x:c>
      <x:c r="C96" s="2" t="n">
        <x:v>13</x:v>
      </x:c>
      <x:c r="D96" s="13" t="str">
        <x:v>Мүлк салығы айлық авансы</x:v>
      </x:c>
      <x:c r="E96" s="14" t="n">
        <x:v>46456</x:v>
      </x:c>
      <x:c r="F96" s="12"/>
      <x:c r="G96" s="11" t="n">
        <x:v>0</x:v>
      </x:c>
      <x:c r="H96" s="13" t="str">
        <x:v>Айланба төлеўшилерден басқа; 1/12</x:v>
      </x:c>
      <x:c r="I96" s="2" t="str">
        <x:v>J</x:v>
      </x:c>
      <x:c r="J96" s="14" t="n">
        <x:f>IF(F96="",E96-'Басшы жуўмағы'!$B$6,F96-'Басшы жуўмағы'!$B$6)</x:f>
        <x:v>46453</x:v>
      </x:c>
      <x:c r="K96" s="2" t="str">
        <x:f>IF(AND(G96=1,ISNUMBER(F96)),"Расталды","Растаў керек")</x:f>
        <x:v>Растаў керек</x:v>
      </x:c>
    </x:row>
    <x:row r="97" ht="48" customHeight="1">
      <x:c r="A97" s="2" t="n">
        <x:v>90</x:v>
      </x:c>
      <x:c r="B97" s="2" t="str">
        <x:v>2027-03</x:v>
      </x:c>
      <x:c r="C97" s="2" t="n">
        <x:v>14</x:v>
      </x:c>
      <x:c r="D97" s="13" t="str">
        <x:v>Жер салығы айлық төлеми</x:v>
      </x:c>
      <x:c r="E97" s="14" t="n">
        <x:v>46456</x:v>
      </x:c>
      <x:c r="F97" s="12"/>
      <x:c r="G97" s="11" t="n">
        <x:v>0</x:v>
      </x:c>
      <x:c r="H97" s="13" t="str">
        <x:v>Аўыл хожалығы емес жер; айланба емес; 1/12</x:v>
      </x:c>
      <x:c r="I97" s="2" t="str">
        <x:v>K</x:v>
      </x:c>
      <x:c r="J97" s="14" t="n">
        <x:f>IF(F97="",E97-'Басшы жуўмағы'!$B$6,F97-'Басшы жуўмағы'!$B$6)</x:f>
        <x:v>46453</x:v>
      </x:c>
      <x:c r="K97" s="2" t="str">
        <x:f>IF(AND(G97=1,ISNUMBER(F97)),"Расталды","Растаў керек")</x:f>
        <x:v>Растаў керек</x:v>
      </x:c>
    </x:row>
    <x:row r="98" ht="48" customHeight="1">
      <x:c r="A98" s="2" t="n">
        <x:v>91</x:v>
      </x:c>
      <x:c r="B98" s="2" t="str">
        <x:v>2027-03</x:v>
      </x:c>
      <x:c r="C98" s="2" t="n">
        <x:v>15</x:v>
      </x:c>
      <x:c r="D98" s="13" t="str">
        <x:v>Суў салығы айлық авансы</x:v>
      </x:c>
      <x:c r="E98" s="14" t="n">
        <x:v>46466</x:v>
      </x:c>
      <x:c r="F98" s="12"/>
      <x:c r="G98" s="11" t="n">
        <x:v>0</x:v>
      </x:c>
      <x:c r="H98" s="13" t="str">
        <x:v>Айланба емес; жыллық салық &gt;200 БҲМ; 1/12</x:v>
      </x:c>
      <x:c r="I98" s="2" t="str">
        <x:v>V</x:v>
      </x:c>
      <x:c r="J98" s="14" t="n">
        <x:f>IF(F98="",E98-'Басшы жуўмағы'!$B$6,F98-'Басшы жуўмағы'!$B$6)</x:f>
        <x:v>46463</x:v>
      </x:c>
      <x:c r="K98" s="2" t="str">
        <x:f>IF(AND(G98=1,ISNUMBER(F98)),"Расталды","Растаў керек")</x:f>
        <x:v>Растаў керек</x:v>
      </x:c>
    </x:row>
    <x:row r="99" ht="48" customHeight="1">
      <x:c r="A99" s="2" t="n">
        <x:v>92</x:v>
      </x:c>
      <x:c r="B99" s="2" t="str">
        <x:v>2027-03</x:v>
      </x:c>
      <x:c r="C99" s="2" t="n">
        <x:v>1</x:v>
      </x:c>
      <x:c r="D99" s="13" t="str">
        <x:v>ҚҚС есабаты</x:v>
      </x:c>
      <x:c r="E99" s="14" t="n">
        <x:v>46497</x:v>
      </x:c>
      <x:c r="F99" s="12"/>
      <x:c r="G99" s="11" t="n">
        <x:v>0</x:v>
      </x:c>
      <x:c r="H99" s="13" t="str">
        <x:v>ҚҚС төлеўши</x:v>
      </x:c>
      <x:c r="I99" s="2" t="str">
        <x:v>F</x:v>
      </x:c>
      <x:c r="J99" s="14" t="n">
        <x:f>IF(F99="",E99-'Басшы жуўмағы'!$B$6,F99-'Басшы жуўмағы'!$B$6)</x:f>
        <x:v>46494</x:v>
      </x:c>
      <x:c r="K99" s="2" t="str">
        <x:f>IF(AND(G99=1,ISNUMBER(F99)),"Расталды","Растаў керек")</x:f>
        <x:v>Растаў керек</x:v>
      </x:c>
    </x:row>
    <x:row r="100" ht="48" customHeight="1">
      <x:c r="A100" s="2" t="n">
        <x:v>93</x:v>
      </x:c>
      <x:c r="B100" s="2" t="str">
        <x:v>2027-03</x:v>
      </x:c>
      <x:c r="C100" s="2" t="n">
        <x:v>2</x:v>
      </x:c>
      <x:c r="D100" s="13" t="str">
        <x:v>ҚҚС төлеми</x:v>
      </x:c>
      <x:c r="E100" s="14" t="n">
        <x:v>46497</x:v>
      </x:c>
      <x:c r="F100" s="12"/>
      <x:c r="G100" s="11" t="n">
        <x:v>0</x:v>
      </x:c>
      <x:c r="H100" s="13" t="str">
        <x:v>Есапланған салық бойынша</x:v>
      </x:c>
      <x:c r="I100" s="2" t="str">
        <x:v>F</x:v>
      </x:c>
      <x:c r="J100" s="14" t="n">
        <x:f>IF(F100="",E100-'Басшы жуўмағы'!$B$6,F100-'Басшы жуўмағы'!$B$6)</x:f>
        <x:v>46494</x:v>
      </x:c>
      <x:c r="K100" s="2" t="str">
        <x:f>IF(AND(G100=1,ISNUMBER(F100)),"Расталды","Растаў керек")</x:f>
        <x:v>Растаў керек</x:v>
      </x:c>
    </x:row>
    <x:row r="101" ht="48" customHeight="1">
      <x:c r="A101" s="2" t="n">
        <x:v>94</x:v>
      </x:c>
      <x:c r="B101" s="2" t="str">
        <x:v>2027-03</x:v>
      </x:c>
      <x:c r="C101" s="2" t="n">
        <x:v>3</x:v>
      </x:c>
      <x:c r="D101" s="13" t="str">
        <x:v>Айланба салығы есабаты</x:v>
      </x:c>
      <x:c r="E101" s="14" t="n">
        <x:v>46492</x:v>
      </x:c>
      <x:c r="F101" s="12"/>
      <x:c r="G101" s="11" t="n">
        <x:v>0</x:v>
      </x:c>
      <x:c r="H101" s="13" t="str">
        <x:v>Айланба салығы төлеўши</x:v>
      </x:c>
      <x:c r="I101" s="2" t="str">
        <x:v>G</x:v>
      </x:c>
      <x:c r="J101" s="14" t="n">
        <x:f>IF(F101="",E101-'Басшы жуўмағы'!$B$6,F101-'Басшы жуўмағы'!$B$6)</x:f>
        <x:v>46489</x:v>
      </x:c>
      <x:c r="K101" s="2" t="str">
        <x:f>IF(AND(G101=1,ISNUMBER(F101)),"Расталды","Растаў керек")</x:f>
        <x:v>Растаў керек</x:v>
      </x:c>
    </x:row>
    <x:row r="102" ht="48" customHeight="1">
      <x:c r="A102" s="2" t="n">
        <x:v>95</x:v>
      </x:c>
      <x:c r="B102" s="2" t="str">
        <x:v>2027-03</x:v>
      </x:c>
      <x:c r="C102" s="2" t="n">
        <x:v>4</x:v>
      </x:c>
      <x:c r="D102" s="13" t="str">
        <x:v>Айланба салығы төлеми</x:v>
      </x:c>
      <x:c r="E102" s="14" t="n">
        <x:v>46492</x:v>
      </x:c>
      <x:c r="F102" s="12"/>
      <x:c r="G102" s="11" t="n">
        <x:v>0</x:v>
      </x:c>
      <x:c r="H102" s="13" t="str">
        <x:v>Салық суммасы бойынша</x:v>
      </x:c>
      <x:c r="I102" s="2" t="str">
        <x:v>G</x:v>
      </x:c>
      <x:c r="J102" s="14" t="n">
        <x:f>IF(F102="",E102-'Басшы жуўмағы'!$B$6,F102-'Басшы жуўмағы'!$B$6)</x:f>
        <x:v>46489</x:v>
      </x:c>
      <x:c r="K102" s="2" t="str">
        <x:f>IF(AND(G102=1,ISNUMBER(F102)),"Расталды","Растаў керек")</x:f>
        <x:v>Растаў керек</x:v>
      </x:c>
    </x:row>
    <x:row r="103" ht="48" customHeight="1">
      <x:c r="A103" s="2" t="n">
        <x:v>96</x:v>
      </x:c>
      <x:c r="B103" s="2" t="str">
        <x:v>2027-03</x:v>
      </x:c>
      <x:c r="C103" s="2" t="n">
        <x:v>5</x:v>
      </x:c>
      <x:c r="D103" s="13" t="str">
        <x:v>Дәрамат салығы есабаты</x:v>
      </x:c>
      <x:c r="E103" s="14" t="n">
        <x:v>46492</x:v>
      </x:c>
      <x:c r="F103" s="12"/>
      <x:c r="G103" s="11" t="n">
        <x:v>0</x:v>
      </x:c>
      <x:c r="H103" s="13" t="str">
        <x:v>Салық агенти</x:v>
      </x:c>
      <x:c r="I103" s="2" t="str">
        <x:v>I</x:v>
      </x:c>
      <x:c r="J103" s="14" t="n">
        <x:f>IF(F103="",E103-'Басшы жуўмағы'!$B$6,F103-'Басшы жуўмағы'!$B$6)</x:f>
        <x:v>46489</x:v>
      </x:c>
      <x:c r="K103" s="2" t="str">
        <x:f>IF(AND(G103=1,ISNUMBER(F103)),"Расталды","Растаў керек")</x:f>
        <x:v>Растаў керек</x:v>
      </x:c>
    </x:row>
    <x:row r="104" ht="48" customHeight="1">
      <x:c r="A104" s="2" t="n">
        <x:v>97</x:v>
      </x:c>
      <x:c r="B104" s="2" t="str">
        <x:v>2027-03</x:v>
      </x:c>
      <x:c r="C104" s="2" t="n">
        <x:v>6</x:v>
      </x:c>
      <x:c r="D104" s="13" t="str">
        <x:v>Социаллық салық есабаты</x:v>
      </x:c>
      <x:c r="E104" s="14" t="n">
        <x:v>46492</x:v>
      </x:c>
      <x:c r="F104" s="12"/>
      <x:c r="G104" s="11" t="n">
        <x:v>0</x:v>
      </x:c>
      <x:c r="H104" s="13" t="str">
        <x:v>Айлық салықлары тийисли</x:v>
      </x:c>
      <x:c r="I104" s="2" t="str">
        <x:v>I</x:v>
      </x:c>
      <x:c r="J104" s="14" t="n">
        <x:f>IF(F104="",E104-'Басшы жуўмағы'!$B$6,F104-'Басшы жуўмағы'!$B$6)</x:f>
        <x:v>46489</x:v>
      </x:c>
      <x:c r="K104" s="2" t="str">
        <x:f>IF(AND(G104=1,ISNUMBER(F104)),"Расталды","Растаў керек")</x:f>
        <x:v>Растаў керек</x:v>
      </x:c>
    </x:row>
    <x:row r="105" ht="48" customHeight="1">
      <x:c r="A105" s="2" t="n">
        <x:v>98</x:v>
      </x:c>
      <x:c r="B105" s="2" t="str">
        <x:v>2027-03</x:v>
      </x:c>
      <x:c r="C105" s="2" t="n">
        <x:v>7</x:v>
      </x:c>
      <x:c r="D105" s="13" t="str">
        <x:v>Социаллық салық төлеми</x:v>
      </x:c>
      <x:c r="E105" s="14" t="n">
        <x:v>46492</x:v>
      </x:c>
      <x:c r="F105" s="12"/>
      <x:c r="G105" s="11" t="n">
        <x:v>0</x:v>
      </x:c>
      <x:c r="H105" s="13" t="str">
        <x:v>Салық суммасы бойынша</x:v>
      </x:c>
      <x:c r="I105" s="2" t="str">
        <x:v>I</x:v>
      </x:c>
      <x:c r="J105" s="14" t="n">
        <x:f>IF(F105="",E105-'Басшы жуўмағы'!$B$6,F105-'Басшы жуўмағы'!$B$6)</x:f>
        <x:v>46489</x:v>
      </x:c>
      <x:c r="K105" s="2" t="str">
        <x:f>IF(AND(G105=1,ISNUMBER(F105)),"Расталды","Растаў керек")</x:f>
        <x:v>Растаў керек</x:v>
      </x:c>
    </x:row>
    <x:row r="106" ht="48" customHeight="1">
      <x:c r="A106" s="2" t="n">
        <x:v>99</x:v>
      </x:c>
      <x:c r="B106" s="2" t="str">
        <x:v>2027-03</x:v>
      </x:c>
      <x:c r="C106" s="2" t="n">
        <x:v>8</x:v>
      </x:c>
      <x:c r="D106" s="13" t="str">
        <x:v>Акциз есабаты ҳәм төлемин тексериў</x:v>
      </x:c>
      <x:c r="E106" s="14" t="n">
        <x:v>46487</x:v>
      </x:c>
      <x:c r="F106" s="12"/>
      <x:c r="G106" s="11" t="n">
        <x:v>0</x:v>
      </x:c>
      <x:c r="H106" s="13" t="str">
        <x:v>Акциз төлеўши</x:v>
      </x:c>
      <x:c r="I106" s="2" t="str">
        <x:v>N</x:v>
      </x:c>
      <x:c r="J106" s="14" t="n">
        <x:f>IF(F106="",E106-'Басшы жуўмағы'!$B$6,F106-'Басшы жуўмағы'!$B$6)</x:f>
        <x:v>46484</x:v>
      </x:c>
      <x:c r="K106" s="2" t="str">
        <x:f>IF(AND(G106=1,ISNUMBER(F106)),"Расталды","Растаў керек")</x:f>
        <x:v>Растаў керек</x:v>
      </x:c>
    </x:row>
    <x:row r="107" ht="48" customHeight="1">
      <x:c r="A107" s="2" t="n">
        <x:v>100</x:v>
      </x:c>
      <x:c r="B107" s="2" t="str">
        <x:v>2027-03</x:v>
      </x:c>
      <x:c r="C107" s="2" t="n">
        <x:v>9</x:v>
      </x:c>
      <x:c r="D107" s="13" t="str">
        <x:v>Дивиденд ҳәм процент салығы есабаты</x:v>
      </x:c>
      <x:c r="E107" s="14" t="n">
        <x:v>46497</x:v>
      </x:c>
      <x:c r="F107" s="12"/>
      <x:c r="G107" s="11" t="n">
        <x:v>0</x:v>
      </x:c>
      <x:c r="H107" s="13" t="str">
        <x:v>Дивиденд / процент есапланған болса</x:v>
      </x:c>
      <x:c r="I107" s="2" t="str">
        <x:v>O</x:v>
      </x:c>
      <x:c r="J107" s="14" t="n">
        <x:f>IF(F107="",E107-'Басшы жуўмағы'!$B$6,F107-'Басшы жуўмағы'!$B$6)</x:f>
        <x:v>46494</x:v>
      </x:c>
      <x:c r="K107" s="2" t="str">
        <x:f>IF(AND(G107=1,ISNUMBER(F107)),"Расталды","Растаў керек")</x:f>
        <x:v>Растаў керек</x:v>
      </x:c>
    </x:row>
    <x:row r="108" ht="48" customHeight="1">
      <x:c r="A108" s="2" t="n">
        <x:v>101</x:v>
      </x:c>
      <x:c r="B108" s="2" t="str">
        <x:v>2027-03</x:v>
      </x:c>
      <x:c r="C108" s="2" t="n">
        <x:v>10</x:v>
      </x:c>
      <x:c r="D108" s="13" t="str">
        <x:v>Норезидент дәраматы салығы есабаты</x:v>
      </x:c>
      <x:c r="E108" s="14" t="n">
        <x:v>46497</x:v>
      </x:c>
      <x:c r="F108" s="12"/>
      <x:c r="G108" s="11" t="n">
        <x:v>0</x:v>
      </x:c>
      <x:c r="H108" s="13" t="str">
        <x:v>Тийисли төлемлер болса</x:v>
      </x:c>
      <x:c r="I108" s="2" t="str">
        <x:v>P</x:v>
      </x:c>
      <x:c r="J108" s="14" t="n">
        <x:f>IF(F108="",E108-'Басшы жуўмағы'!$B$6,F108-'Басшы жуўмағы'!$B$6)</x:f>
        <x:v>46494</x:v>
      </x:c>
      <x:c r="K108" s="2" t="str">
        <x:f>IF(AND(G108=1,ISNUMBER(F108)),"Расталды","Растаў керек")</x:f>
        <x:v>Растаў керек</x:v>
      </x:c>
    </x:row>
    <x:row r="109" ht="48" customHeight="1">
      <x:c r="A109" s="2" t="n">
        <x:v>102</x:v>
      </x:c>
      <x:c r="B109" s="2" t="str">
        <x:v>2027-03</x:v>
      </x:c>
      <x:c r="C109" s="2" t="n">
        <x:v>11</x:v>
      </x:c>
      <x:c r="D109" s="13" t="str">
        <x:v>Жер қойнаўынан пайдаланыў есабаты</x:v>
      </x:c>
      <x:c r="E109" s="14" t="n">
        <x:v>46497</x:v>
      </x:c>
      <x:c r="F109" s="12"/>
      <x:c r="G109" s="11" t="n">
        <x:v>0</x:v>
      </x:c>
      <x:c r="H109" s="13" t="str">
        <x:v>Жер қойнауы ресурсы бойынша</x:v>
      </x:c>
      <x:c r="I109" s="2" t="str">
        <x:v>Q</x:v>
      </x:c>
      <x:c r="J109" s="14" t="n">
        <x:f>IF(F109="",E109-'Басшы жуўмағы'!$B$6,F109-'Басшы жуўмағы'!$B$6)</x:f>
        <x:v>46494</x:v>
      </x:c>
      <x:c r="K109" s="2" t="str">
        <x:f>IF(AND(G109=1,ISNUMBER(F109)),"Расталды","Растаў керек")</x:f>
        <x:v>Растаў керек</x:v>
      </x:c>
    </x:row>
    <x:row r="110" ht="48" customHeight="1">
      <x:c r="A110" s="2" t="n">
        <x:v>103</x:v>
      </x:c>
      <x:c r="B110" s="2" t="str">
        <x:v>2027-04</x:v>
      </x:c>
      <x:c r="C110" s="2" t="n">
        <x:v>12</x:v>
      </x:c>
      <x:c r="D110" s="13" t="str">
        <x:v>Пайда салығы авансы</x:v>
      </x:c>
      <x:c r="E110" s="14" t="n">
        <x:v>46500</x:v>
      </x:c>
      <x:c r="F110" s="12"/>
      <x:c r="G110" s="11" t="n">
        <x:v>0</x:v>
      </x:c>
      <x:c r="H110" s="13" t="str">
        <x:v>20 млрд сум шеги ҳәм басқа шартларды тексериў</x:v>
      </x:c>
      <x:c r="I110" s="2" t="str">
        <x:v>M</x:v>
      </x:c>
      <x:c r="J110" s="14" t="n">
        <x:f>IF(F110="",E110-'Басшы жуўмағы'!$B$6,F110-'Басшы жуўмағы'!$B$6)</x:f>
        <x:v>46497</x:v>
      </x:c>
      <x:c r="K110" s="2" t="str">
        <x:f>IF(AND(G110=1,ISNUMBER(F110)),"Расталды","Растаў керек")</x:f>
        <x:v>Растаў керек</x:v>
      </x:c>
    </x:row>
    <x:row r="111" ht="48" customHeight="1">
      <x:c r="A111" s="2" t="n">
        <x:v>104</x:v>
      </x:c>
      <x:c r="B111" s="2" t="str">
        <x:v>2027-04</x:v>
      </x:c>
      <x:c r="C111" s="2" t="n">
        <x:v>13</x:v>
      </x:c>
      <x:c r="D111" s="13" t="str">
        <x:v>Мүлк салығы айлық авансы</x:v>
      </x:c>
      <x:c r="E111" s="14" t="n">
        <x:v>46487</x:v>
      </x:c>
      <x:c r="F111" s="12"/>
      <x:c r="G111" s="11" t="n">
        <x:v>0</x:v>
      </x:c>
      <x:c r="H111" s="13" t="str">
        <x:v>Айланба төлеўшилерден басқа; 1/12</x:v>
      </x:c>
      <x:c r="I111" s="2" t="str">
        <x:v>J</x:v>
      </x:c>
      <x:c r="J111" s="14" t="n">
        <x:f>IF(F111="",E111-'Басшы жуўмағы'!$B$6,F111-'Басшы жуўмағы'!$B$6)</x:f>
        <x:v>46484</x:v>
      </x:c>
      <x:c r="K111" s="2" t="str">
        <x:f>IF(AND(G111=1,ISNUMBER(F111)),"Расталды","Растаў керек")</x:f>
        <x:v>Растаў керек</x:v>
      </x:c>
    </x:row>
    <x:row r="112" ht="48" customHeight="1">
      <x:c r="A112" s="2" t="n">
        <x:v>105</x:v>
      </x:c>
      <x:c r="B112" s="2" t="str">
        <x:v>2027-04</x:v>
      </x:c>
      <x:c r="C112" s="2" t="n">
        <x:v>14</x:v>
      </x:c>
      <x:c r="D112" s="13" t="str">
        <x:v>Жер салығы айлық төлеми</x:v>
      </x:c>
      <x:c r="E112" s="14" t="n">
        <x:v>46487</x:v>
      </x:c>
      <x:c r="F112" s="12"/>
      <x:c r="G112" s="11" t="n">
        <x:v>0</x:v>
      </x:c>
      <x:c r="H112" s="13" t="str">
        <x:v>Аўыл хожалығы емес жер; айланба емес; 1/12</x:v>
      </x:c>
      <x:c r="I112" s="2" t="str">
        <x:v>K</x:v>
      </x:c>
      <x:c r="J112" s="14" t="n">
        <x:f>IF(F112="",E112-'Басшы жуўмағы'!$B$6,F112-'Басшы жуўмағы'!$B$6)</x:f>
        <x:v>46484</x:v>
      </x:c>
      <x:c r="K112" s="2" t="str">
        <x:f>IF(AND(G112=1,ISNUMBER(F112)),"Расталды","Растаў керек")</x:f>
        <x:v>Растаў керек</x:v>
      </x:c>
    </x:row>
    <x:row r="113" ht="48" customHeight="1">
      <x:c r="A113" s="2" t="n">
        <x:v>106</x:v>
      </x:c>
      <x:c r="B113" s="2" t="str">
        <x:v>2027-04</x:v>
      </x:c>
      <x:c r="C113" s="2" t="n">
        <x:v>15</x:v>
      </x:c>
      <x:c r="D113" s="13" t="str">
        <x:v>Суў салығы айлық авансы</x:v>
      </x:c>
      <x:c r="E113" s="14" t="n">
        <x:v>46497</x:v>
      </x:c>
      <x:c r="F113" s="12"/>
      <x:c r="G113" s="11" t="n">
        <x:v>0</x:v>
      </x:c>
      <x:c r="H113" s="13" t="str">
        <x:v>Айланба емес; жыллық салық &gt;200 БҲМ; 1/12</x:v>
      </x:c>
      <x:c r="I113" s="2" t="str">
        <x:v>V</x:v>
      </x:c>
      <x:c r="J113" s="14" t="n">
        <x:f>IF(F113="",E113-'Басшы жуўмағы'!$B$6,F113-'Басшы жуўмағы'!$B$6)</x:f>
        <x:v>46494</x:v>
      </x:c>
      <x:c r="K113" s="2" t="str">
        <x:f>IF(AND(G113=1,ISNUMBER(F113)),"Расталды","Растаў керек")</x:f>
        <x:v>Растаў керек</x:v>
      </x:c>
    </x:row>
    <x:row r="114" ht="48" customHeight="1">
      <x:c r="A114" s="2" t="n">
        <x:v>107</x:v>
      </x:c>
      <x:c r="B114" s="2" t="str">
        <x:v>2027 / 0.33333333333333326-квартал</x:v>
      </x:c>
      <x:c r="C114" s="2" t="n">
        <x:v>16</x:v>
      </x:c>
      <x:c r="D114" s="13" t="str">
        <x:v>Пайда салығы квартал есабаты</x:v>
      </x:c>
      <x:c r="E114" s="14" t="n">
        <x:v>46497</x:v>
      </x:c>
      <x:c r="F114" s="12"/>
      <x:c r="G114" s="11" t="n">
        <x:v>0</x:v>
      </x:c>
      <x:c r="H114" s="13" t="str">
        <x:v>I–III квартал; кәдиги юридикалық шахс</x:v>
      </x:c>
      <x:c r="I114" s="2" t="str">
        <x:v>H</x:v>
      </x:c>
      <x:c r="J114" s="14" t="n">
        <x:f>IF(F114="",E114-'Басшы жуўмағы'!$B$6,F114-'Басшы жуўмағы'!$B$6)</x:f>
        <x:v>46494</x:v>
      </x:c>
      <x:c r="K114" s="2" t="str">
        <x:f>IF(AND(G114=1,ISNUMBER(F114)),"Расталды","Растаў керек")</x:f>
        <x:v>Растаў керек</x:v>
      </x:c>
    </x:row>
    <x:row r="115" ht="48" customHeight="1">
      <x:c r="A115" s="2" t="n">
        <x:v>108</x:v>
      </x:c>
      <x:c r="B115" s="2" t="str">
        <x:v>2027-04</x:v>
      </x:c>
      <x:c r="C115" s="2" t="n">
        <x:v>1</x:v>
      </x:c>
      <x:c r="D115" s="13" t="str">
        <x:v>ҚҚС есабаты</x:v>
      </x:c>
      <x:c r="E115" s="14" t="n">
        <x:v>46527</x:v>
      </x:c>
      <x:c r="F115" s="12"/>
      <x:c r="G115" s="11" t="n">
        <x:v>0</x:v>
      </x:c>
      <x:c r="H115" s="13" t="str">
        <x:v>ҚҚС төлеўши</x:v>
      </x:c>
      <x:c r="I115" s="2" t="str">
        <x:v>F</x:v>
      </x:c>
      <x:c r="J115" s="14" t="n">
        <x:f>IF(F115="",E115-'Басшы жуўмағы'!$B$6,F115-'Басшы жуўмағы'!$B$6)</x:f>
        <x:v>46524</x:v>
      </x:c>
      <x:c r="K115" s="2" t="str">
        <x:f>IF(AND(G115=1,ISNUMBER(F115)),"Расталды","Растаў керек")</x:f>
        <x:v>Растаў керек</x:v>
      </x:c>
    </x:row>
    <x:row r="116" ht="48" customHeight="1">
      <x:c r="A116" s="2" t="n">
        <x:v>109</x:v>
      </x:c>
      <x:c r="B116" s="2" t="str">
        <x:v>2027-04</x:v>
      </x:c>
      <x:c r="C116" s="2" t="n">
        <x:v>2</x:v>
      </x:c>
      <x:c r="D116" s="13" t="str">
        <x:v>ҚҚС төлеми</x:v>
      </x:c>
      <x:c r="E116" s="14" t="n">
        <x:v>46527</x:v>
      </x:c>
      <x:c r="F116" s="12"/>
      <x:c r="G116" s="11" t="n">
        <x:v>0</x:v>
      </x:c>
      <x:c r="H116" s="13" t="str">
        <x:v>Есапланған салық бойынша</x:v>
      </x:c>
      <x:c r="I116" s="2" t="str">
        <x:v>F</x:v>
      </x:c>
      <x:c r="J116" s="14" t="n">
        <x:f>IF(F116="",E116-'Басшы жуўмағы'!$B$6,F116-'Басшы жуўмағы'!$B$6)</x:f>
        <x:v>46524</x:v>
      </x:c>
      <x:c r="K116" s="2" t="str">
        <x:f>IF(AND(G116=1,ISNUMBER(F116)),"Расталды","Растаў керек")</x:f>
        <x:v>Растаў керек</x:v>
      </x:c>
    </x:row>
    <x:row r="117" ht="48" customHeight="1">
      <x:c r="A117" s="2" t="n">
        <x:v>110</x:v>
      </x:c>
      <x:c r="B117" s="2" t="str">
        <x:v>2027-04</x:v>
      </x:c>
      <x:c r="C117" s="2" t="n">
        <x:v>3</x:v>
      </x:c>
      <x:c r="D117" s="13" t="str">
        <x:v>Айланба салығы есабаты</x:v>
      </x:c>
      <x:c r="E117" s="14" t="n">
        <x:v>46522</x:v>
      </x:c>
      <x:c r="F117" s="12"/>
      <x:c r="G117" s="11" t="n">
        <x:v>0</x:v>
      </x:c>
      <x:c r="H117" s="13" t="str">
        <x:v>Айланба салығы төлеўши</x:v>
      </x:c>
      <x:c r="I117" s="2" t="str">
        <x:v>G</x:v>
      </x:c>
      <x:c r="J117" s="14" t="n">
        <x:f>IF(F117="",E117-'Басшы жуўмағы'!$B$6,F117-'Басшы жуўмағы'!$B$6)</x:f>
        <x:v>46519</x:v>
      </x:c>
      <x:c r="K117" s="2" t="str">
        <x:f>IF(AND(G117=1,ISNUMBER(F117)),"Расталды","Растаў керек")</x:f>
        <x:v>Растаў керек</x:v>
      </x:c>
    </x:row>
    <x:row r="118" ht="48" customHeight="1">
      <x:c r="A118" s="2" t="n">
        <x:v>111</x:v>
      </x:c>
      <x:c r="B118" s="2" t="str">
        <x:v>2027-04</x:v>
      </x:c>
      <x:c r="C118" s="2" t="n">
        <x:v>4</x:v>
      </x:c>
      <x:c r="D118" s="13" t="str">
        <x:v>Айланба салығы төлеми</x:v>
      </x:c>
      <x:c r="E118" s="14" t="n">
        <x:v>46522</x:v>
      </x:c>
      <x:c r="F118" s="12"/>
      <x:c r="G118" s="11" t="n">
        <x:v>0</x:v>
      </x:c>
      <x:c r="H118" s="13" t="str">
        <x:v>Салық суммасы бойынша</x:v>
      </x:c>
      <x:c r="I118" s="2" t="str">
        <x:v>G</x:v>
      </x:c>
      <x:c r="J118" s="14" t="n">
        <x:f>IF(F118="",E118-'Басшы жуўмағы'!$B$6,F118-'Басшы жуўмағы'!$B$6)</x:f>
        <x:v>46519</x:v>
      </x:c>
      <x:c r="K118" s="2" t="str">
        <x:f>IF(AND(G118=1,ISNUMBER(F118)),"Расталды","Растаў керек")</x:f>
        <x:v>Растаў керек</x:v>
      </x:c>
    </x:row>
    <x:row r="119" ht="48" customHeight="1">
      <x:c r="A119" s="2" t="n">
        <x:v>112</x:v>
      </x:c>
      <x:c r="B119" s="2" t="str">
        <x:v>2027-04</x:v>
      </x:c>
      <x:c r="C119" s="2" t="n">
        <x:v>5</x:v>
      </x:c>
      <x:c r="D119" s="13" t="str">
        <x:v>Дәрамат салығы есабаты</x:v>
      </x:c>
      <x:c r="E119" s="14" t="n">
        <x:v>46522</x:v>
      </x:c>
      <x:c r="F119" s="12"/>
      <x:c r="G119" s="11" t="n">
        <x:v>0</x:v>
      </x:c>
      <x:c r="H119" s="13" t="str">
        <x:v>Салық агенти</x:v>
      </x:c>
      <x:c r="I119" s="2" t="str">
        <x:v>I</x:v>
      </x:c>
      <x:c r="J119" s="14" t="n">
        <x:f>IF(F119="",E119-'Басшы жуўмағы'!$B$6,F119-'Басшы жуўмағы'!$B$6)</x:f>
        <x:v>46519</x:v>
      </x:c>
      <x:c r="K119" s="2" t="str">
        <x:f>IF(AND(G119=1,ISNUMBER(F119)),"Расталды","Растаў керек")</x:f>
        <x:v>Растаў керек</x:v>
      </x:c>
    </x:row>
    <x:row r="120" ht="48" customHeight="1">
      <x:c r="A120" s="2" t="n">
        <x:v>113</x:v>
      </x:c>
      <x:c r="B120" s="2" t="str">
        <x:v>2027-04</x:v>
      </x:c>
      <x:c r="C120" s="2" t="n">
        <x:v>6</x:v>
      </x:c>
      <x:c r="D120" s="13" t="str">
        <x:v>Социаллық салық есабаты</x:v>
      </x:c>
      <x:c r="E120" s="14" t="n">
        <x:v>46522</x:v>
      </x:c>
      <x:c r="F120" s="12"/>
      <x:c r="G120" s="11" t="n">
        <x:v>0</x:v>
      </x:c>
      <x:c r="H120" s="13" t="str">
        <x:v>Айлық салықлары тийисли</x:v>
      </x:c>
      <x:c r="I120" s="2" t="str">
        <x:v>I</x:v>
      </x:c>
      <x:c r="J120" s="14" t="n">
        <x:f>IF(F120="",E120-'Басшы жуўмағы'!$B$6,F120-'Басшы жуўмағы'!$B$6)</x:f>
        <x:v>46519</x:v>
      </x:c>
      <x:c r="K120" s="2" t="str">
        <x:f>IF(AND(G120=1,ISNUMBER(F120)),"Расталды","Растаў керек")</x:f>
        <x:v>Растаў керек</x:v>
      </x:c>
    </x:row>
    <x:row r="121" ht="48" customHeight="1">
      <x:c r="A121" s="2" t="n">
        <x:v>114</x:v>
      </x:c>
      <x:c r="B121" s="2" t="str">
        <x:v>2027-04</x:v>
      </x:c>
      <x:c r="C121" s="2" t="n">
        <x:v>7</x:v>
      </x:c>
      <x:c r="D121" s="13" t="str">
        <x:v>Социаллық салық төлеми</x:v>
      </x:c>
      <x:c r="E121" s="14" t="n">
        <x:v>46522</x:v>
      </x:c>
      <x:c r="F121" s="12"/>
      <x:c r="G121" s="11" t="n">
        <x:v>0</x:v>
      </x:c>
      <x:c r="H121" s="13" t="str">
        <x:v>Салық суммасы бойынша</x:v>
      </x:c>
      <x:c r="I121" s="2" t="str">
        <x:v>I</x:v>
      </x:c>
      <x:c r="J121" s="14" t="n">
        <x:f>IF(F121="",E121-'Басшы жуўмағы'!$B$6,F121-'Басшы жуўмағы'!$B$6)</x:f>
        <x:v>46519</x:v>
      </x:c>
      <x:c r="K121" s="2" t="str">
        <x:f>IF(AND(G121=1,ISNUMBER(F121)),"Расталды","Растаў керек")</x:f>
        <x:v>Растаў керек</x:v>
      </x:c>
    </x:row>
    <x:row r="122" ht="48" customHeight="1">
      <x:c r="A122" s="2" t="n">
        <x:v>115</x:v>
      </x:c>
      <x:c r="B122" s="2" t="str">
        <x:v>2027-04</x:v>
      </x:c>
      <x:c r="C122" s="2" t="n">
        <x:v>8</x:v>
      </x:c>
      <x:c r="D122" s="13" t="str">
        <x:v>Акциз есабаты ҳәм төлемин тексериў</x:v>
      </x:c>
      <x:c r="E122" s="14" t="n">
        <x:v>46517</x:v>
      </x:c>
      <x:c r="F122" s="12"/>
      <x:c r="G122" s="11" t="n">
        <x:v>0</x:v>
      </x:c>
      <x:c r="H122" s="13" t="str">
        <x:v>Акциз төлеўши</x:v>
      </x:c>
      <x:c r="I122" s="2" t="str">
        <x:v>N</x:v>
      </x:c>
      <x:c r="J122" s="14" t="n">
        <x:f>IF(F122="",E122-'Басшы жуўмағы'!$B$6,F122-'Басшы жуўмағы'!$B$6)</x:f>
        <x:v>46514</x:v>
      </x:c>
      <x:c r="K122" s="2" t="str">
        <x:f>IF(AND(G122=1,ISNUMBER(F122)),"Расталды","Растаў керек")</x:f>
        <x:v>Растаў керек</x:v>
      </x:c>
    </x:row>
    <x:row r="123" ht="48" customHeight="1">
      <x:c r="A123" s="2" t="n">
        <x:v>116</x:v>
      </x:c>
      <x:c r="B123" s="2" t="str">
        <x:v>2027-04</x:v>
      </x:c>
      <x:c r="C123" s="2" t="n">
        <x:v>9</x:v>
      </x:c>
      <x:c r="D123" s="13" t="str">
        <x:v>Дивиденд ҳәм процент салығы есабаты</x:v>
      </x:c>
      <x:c r="E123" s="14" t="n">
        <x:v>46527</x:v>
      </x:c>
      <x:c r="F123" s="12"/>
      <x:c r="G123" s="11" t="n">
        <x:v>0</x:v>
      </x:c>
      <x:c r="H123" s="13" t="str">
        <x:v>Дивиденд / процент есапланған болса</x:v>
      </x:c>
      <x:c r="I123" s="2" t="str">
        <x:v>O</x:v>
      </x:c>
      <x:c r="J123" s="14" t="n">
        <x:f>IF(F123="",E123-'Басшы жуўмағы'!$B$6,F123-'Басшы жуўмағы'!$B$6)</x:f>
        <x:v>46524</x:v>
      </x:c>
      <x:c r="K123" s="2" t="str">
        <x:f>IF(AND(G123=1,ISNUMBER(F123)),"Расталды","Растаў керек")</x:f>
        <x:v>Растаў керек</x:v>
      </x:c>
    </x:row>
    <x:row r="124" ht="48" customHeight="1">
      <x:c r="A124" s="2" t="n">
        <x:v>117</x:v>
      </x:c>
      <x:c r="B124" s="2" t="str">
        <x:v>2027-04</x:v>
      </x:c>
      <x:c r="C124" s="2" t="n">
        <x:v>10</x:v>
      </x:c>
      <x:c r="D124" s="13" t="str">
        <x:v>Норезидент дәраматы салығы есабаты</x:v>
      </x:c>
      <x:c r="E124" s="14" t="n">
        <x:v>46527</x:v>
      </x:c>
      <x:c r="F124" s="12"/>
      <x:c r="G124" s="11" t="n">
        <x:v>0</x:v>
      </x:c>
      <x:c r="H124" s="13" t="str">
        <x:v>Тийисли төлемлер болса</x:v>
      </x:c>
      <x:c r="I124" s="2" t="str">
        <x:v>P</x:v>
      </x:c>
      <x:c r="J124" s="14" t="n">
        <x:f>IF(F124="",E124-'Басшы жуўмағы'!$B$6,F124-'Басшы жуўмағы'!$B$6)</x:f>
        <x:v>46524</x:v>
      </x:c>
      <x:c r="K124" s="2" t="str">
        <x:f>IF(AND(G124=1,ISNUMBER(F124)),"Расталды","Растаў керек")</x:f>
        <x:v>Растаў керек</x:v>
      </x:c>
    </x:row>
    <x:row r="125" ht="48" customHeight="1">
      <x:c r="A125" s="2" t="n">
        <x:v>118</x:v>
      </x:c>
      <x:c r="B125" s="2" t="str">
        <x:v>2027-04</x:v>
      </x:c>
      <x:c r="C125" s="2" t="n">
        <x:v>11</x:v>
      </x:c>
      <x:c r="D125" s="13" t="str">
        <x:v>Жер қойнаўынан пайдаланыў есабаты</x:v>
      </x:c>
      <x:c r="E125" s="14" t="n">
        <x:v>46527</x:v>
      </x:c>
      <x:c r="F125" s="12"/>
      <x:c r="G125" s="11" t="n">
        <x:v>0</x:v>
      </x:c>
      <x:c r="H125" s="13" t="str">
        <x:v>Жер қойнауы ресурсы бойынша</x:v>
      </x:c>
      <x:c r="I125" s="2" t="str">
        <x:v>Q</x:v>
      </x:c>
      <x:c r="J125" s="14" t="n">
        <x:f>IF(F125="",E125-'Басшы жуўмағы'!$B$6,F125-'Басшы жуўмағы'!$B$6)</x:f>
        <x:v>46524</x:v>
      </x:c>
      <x:c r="K125" s="2" t="str">
        <x:f>IF(AND(G125=1,ISNUMBER(F125)),"Расталды","Растаў керек")</x:f>
        <x:v>Растаў керек</x:v>
      </x:c>
    </x:row>
    <x:row r="126" ht="48" customHeight="1">
      <x:c r="A126" s="2" t="n">
        <x:v>119</x:v>
      </x:c>
      <x:c r="B126" s="2" t="str">
        <x:v>2027-05</x:v>
      </x:c>
      <x:c r="C126" s="2" t="n">
        <x:v>12</x:v>
      </x:c>
      <x:c r="D126" s="13" t="str">
        <x:v>Пайда салығы авансы</x:v>
      </x:c>
      <x:c r="E126" s="14" t="n">
        <x:v>46530</x:v>
      </x:c>
      <x:c r="F126" s="12"/>
      <x:c r="G126" s="11" t="n">
        <x:v>0</x:v>
      </x:c>
      <x:c r="H126" s="13" t="str">
        <x:v>20 млрд сум шеги ҳәм басқа шартларды тексериў</x:v>
      </x:c>
      <x:c r="I126" s="2" t="str">
        <x:v>M</x:v>
      </x:c>
      <x:c r="J126" s="14" t="n">
        <x:f>IF(F126="",E126-'Басшы жуўмағы'!$B$6,F126-'Басшы жуўмағы'!$B$6)</x:f>
        <x:v>46527</x:v>
      </x:c>
      <x:c r="K126" s="2" t="str">
        <x:f>IF(AND(G126=1,ISNUMBER(F126)),"Расталды","Растаў керек")</x:f>
        <x:v>Растаў керек</x:v>
      </x:c>
    </x:row>
    <x:row r="127" ht="48" customHeight="1">
      <x:c r="A127" s="2" t="n">
        <x:v>120</x:v>
      </x:c>
      <x:c r="B127" s="2" t="str">
        <x:v>2027-05</x:v>
      </x:c>
      <x:c r="C127" s="2" t="n">
        <x:v>13</x:v>
      </x:c>
      <x:c r="D127" s="13" t="str">
        <x:v>Мүлк салығы айлық авансы</x:v>
      </x:c>
      <x:c r="E127" s="14" t="n">
        <x:v>46517</x:v>
      </x:c>
      <x:c r="F127" s="12"/>
      <x:c r="G127" s="11" t="n">
        <x:v>0</x:v>
      </x:c>
      <x:c r="H127" s="13" t="str">
        <x:v>Айланба төлеўшилерден басқа; 1/12</x:v>
      </x:c>
      <x:c r="I127" s="2" t="str">
        <x:v>J</x:v>
      </x:c>
      <x:c r="J127" s="14" t="n">
        <x:f>IF(F127="",E127-'Басшы жуўмағы'!$B$6,F127-'Басшы жуўмағы'!$B$6)</x:f>
        <x:v>46514</x:v>
      </x:c>
      <x:c r="K127" s="2" t="str">
        <x:f>IF(AND(G127=1,ISNUMBER(F127)),"Расталды","Растаў керек")</x:f>
        <x:v>Растаў керек</x:v>
      </x:c>
    </x:row>
    <x:row r="128" ht="48" customHeight="1">
      <x:c r="A128" s="2" t="n">
        <x:v>121</x:v>
      </x:c>
      <x:c r="B128" s="2" t="str">
        <x:v>2027-05</x:v>
      </x:c>
      <x:c r="C128" s="2" t="n">
        <x:v>14</x:v>
      </x:c>
      <x:c r="D128" s="13" t="str">
        <x:v>Жер салығы айлық төлеми</x:v>
      </x:c>
      <x:c r="E128" s="14" t="n">
        <x:v>46517</x:v>
      </x:c>
      <x:c r="F128" s="12"/>
      <x:c r="G128" s="11" t="n">
        <x:v>0</x:v>
      </x:c>
      <x:c r="H128" s="13" t="str">
        <x:v>Аўыл хожалығы емес жер; айланба емес; 1/12</x:v>
      </x:c>
      <x:c r="I128" s="2" t="str">
        <x:v>K</x:v>
      </x:c>
      <x:c r="J128" s="14" t="n">
        <x:f>IF(F128="",E128-'Басшы жуўмағы'!$B$6,F128-'Басшы жуўмағы'!$B$6)</x:f>
        <x:v>46514</x:v>
      </x:c>
      <x:c r="K128" s="2" t="str">
        <x:f>IF(AND(G128=1,ISNUMBER(F128)),"Расталды","Растаў керек")</x:f>
        <x:v>Растаў керек</x:v>
      </x:c>
    </x:row>
    <x:row r="129" ht="48" customHeight="1">
      <x:c r="A129" s="2" t="n">
        <x:v>122</x:v>
      </x:c>
      <x:c r="B129" s="2" t="str">
        <x:v>2027-05</x:v>
      </x:c>
      <x:c r="C129" s="2" t="n">
        <x:v>15</x:v>
      </x:c>
      <x:c r="D129" s="13" t="str">
        <x:v>Суў салығы айлық авансы</x:v>
      </x:c>
      <x:c r="E129" s="14" t="n">
        <x:v>46527</x:v>
      </x:c>
      <x:c r="F129" s="12"/>
      <x:c r="G129" s="11" t="n">
        <x:v>0</x:v>
      </x:c>
      <x:c r="H129" s="13" t="str">
        <x:v>Айланба емес; жыллық салық &gt;200 БҲМ; 1/12</x:v>
      </x:c>
      <x:c r="I129" s="2" t="str">
        <x:v>V</x:v>
      </x:c>
      <x:c r="J129" s="14" t="n">
        <x:f>IF(F129="",E129-'Басшы жуўмағы'!$B$6,F129-'Басшы жуўмағы'!$B$6)</x:f>
        <x:v>46524</x:v>
      </x:c>
      <x:c r="K129" s="2" t="str">
        <x:f>IF(AND(G129=1,ISNUMBER(F129)),"Расталды","Растаў керек")</x:f>
        <x:v>Растаў керек</x:v>
      </x:c>
    </x:row>
    <x:row r="130" ht="48" customHeight="1">
      <x:c r="A130" s="2" t="n">
        <x:v>123</x:v>
      </x:c>
      <x:c r="B130" s="2" t="str">
        <x:v>2027-05</x:v>
      </x:c>
      <x:c r="C130" s="2" t="n">
        <x:v>1</x:v>
      </x:c>
      <x:c r="D130" s="13" t="str">
        <x:v>ҚҚС есабаты</x:v>
      </x:c>
      <x:c r="E130" s="14" t="n">
        <x:v>46558</x:v>
      </x:c>
      <x:c r="F130" s="12"/>
      <x:c r="G130" s="11" t="n">
        <x:v>0</x:v>
      </x:c>
      <x:c r="H130" s="13" t="str">
        <x:v>ҚҚС төлеўши</x:v>
      </x:c>
      <x:c r="I130" s="2" t="str">
        <x:v>F</x:v>
      </x:c>
      <x:c r="J130" s="14" t="n">
        <x:f>IF(F130="",E130-'Басшы жуўмағы'!$B$6,F130-'Басшы жуўмағы'!$B$6)</x:f>
        <x:v>46555</x:v>
      </x:c>
      <x:c r="K130" s="2" t="str">
        <x:f>IF(AND(G130=1,ISNUMBER(F130)),"Расталды","Растаў керек")</x:f>
        <x:v>Растаў керек</x:v>
      </x:c>
    </x:row>
    <x:row r="131" ht="48" customHeight="1">
      <x:c r="A131" s="2" t="n">
        <x:v>124</x:v>
      </x:c>
      <x:c r="B131" s="2" t="str">
        <x:v>2027-05</x:v>
      </x:c>
      <x:c r="C131" s="2" t="n">
        <x:v>2</x:v>
      </x:c>
      <x:c r="D131" s="13" t="str">
        <x:v>ҚҚС төлеми</x:v>
      </x:c>
      <x:c r="E131" s="14" t="n">
        <x:v>46558</x:v>
      </x:c>
      <x:c r="F131" s="12"/>
      <x:c r="G131" s="11" t="n">
        <x:v>0</x:v>
      </x:c>
      <x:c r="H131" s="13" t="str">
        <x:v>Есапланған салық бойынша</x:v>
      </x:c>
      <x:c r="I131" s="2" t="str">
        <x:v>F</x:v>
      </x:c>
      <x:c r="J131" s="14" t="n">
        <x:f>IF(F131="",E131-'Басшы жуўмағы'!$B$6,F131-'Басшы жуўмағы'!$B$6)</x:f>
        <x:v>46555</x:v>
      </x:c>
      <x:c r="K131" s="2" t="str">
        <x:f>IF(AND(G131=1,ISNUMBER(F131)),"Расталды","Растаў керек")</x:f>
        <x:v>Растаў керек</x:v>
      </x:c>
    </x:row>
    <x:row r="132" ht="48" customHeight="1">
      <x:c r="A132" s="2" t="n">
        <x:v>125</x:v>
      </x:c>
      <x:c r="B132" s="2" t="str">
        <x:v>2027-05</x:v>
      </x:c>
      <x:c r="C132" s="2" t="n">
        <x:v>3</x:v>
      </x:c>
      <x:c r="D132" s="13" t="str">
        <x:v>Айланба салығы есабаты</x:v>
      </x:c>
      <x:c r="E132" s="14" t="n">
        <x:v>46553</x:v>
      </x:c>
      <x:c r="F132" s="12"/>
      <x:c r="G132" s="11" t="n">
        <x:v>0</x:v>
      </x:c>
      <x:c r="H132" s="13" t="str">
        <x:v>Айланба салығы төлеўши</x:v>
      </x:c>
      <x:c r="I132" s="2" t="str">
        <x:v>G</x:v>
      </x:c>
      <x:c r="J132" s="14" t="n">
        <x:f>IF(F132="",E132-'Басшы жуўмағы'!$B$6,F132-'Басшы жуўмағы'!$B$6)</x:f>
        <x:v>46550</x:v>
      </x:c>
      <x:c r="K132" s="2" t="str">
        <x:f>IF(AND(G132=1,ISNUMBER(F132)),"Расталды","Растаў керек")</x:f>
        <x:v>Растаў керек</x:v>
      </x:c>
    </x:row>
    <x:row r="133" ht="48" customHeight="1">
      <x:c r="A133" s="2" t="n">
        <x:v>126</x:v>
      </x:c>
      <x:c r="B133" s="2" t="str">
        <x:v>2027-05</x:v>
      </x:c>
      <x:c r="C133" s="2" t="n">
        <x:v>4</x:v>
      </x:c>
      <x:c r="D133" s="13" t="str">
        <x:v>Айланба салығы төлеми</x:v>
      </x:c>
      <x:c r="E133" s="14" t="n">
        <x:v>46553</x:v>
      </x:c>
      <x:c r="F133" s="12"/>
      <x:c r="G133" s="11" t="n">
        <x:v>0</x:v>
      </x:c>
      <x:c r="H133" s="13" t="str">
        <x:v>Салық суммасы бойынша</x:v>
      </x:c>
      <x:c r="I133" s="2" t="str">
        <x:v>G</x:v>
      </x:c>
      <x:c r="J133" s="14" t="n">
        <x:f>IF(F133="",E133-'Басшы жуўмағы'!$B$6,F133-'Басшы жуўмағы'!$B$6)</x:f>
        <x:v>46550</x:v>
      </x:c>
      <x:c r="K133" s="2" t="str">
        <x:f>IF(AND(G133=1,ISNUMBER(F133)),"Расталды","Растаў керек")</x:f>
        <x:v>Растаў керек</x:v>
      </x:c>
    </x:row>
    <x:row r="134" ht="48" customHeight="1">
      <x:c r="A134" s="2" t="n">
        <x:v>127</x:v>
      </x:c>
      <x:c r="B134" s="2" t="str">
        <x:v>2027-05</x:v>
      </x:c>
      <x:c r="C134" s="2" t="n">
        <x:v>5</x:v>
      </x:c>
      <x:c r="D134" s="13" t="str">
        <x:v>Дәрамат салығы есабаты</x:v>
      </x:c>
      <x:c r="E134" s="14" t="n">
        <x:v>46553</x:v>
      </x:c>
      <x:c r="F134" s="12"/>
      <x:c r="G134" s="11" t="n">
        <x:v>0</x:v>
      </x:c>
      <x:c r="H134" s="13" t="str">
        <x:v>Салық агенти</x:v>
      </x:c>
      <x:c r="I134" s="2" t="str">
        <x:v>I</x:v>
      </x:c>
      <x:c r="J134" s="14" t="n">
        <x:f>IF(F134="",E134-'Басшы жуўмағы'!$B$6,F134-'Басшы жуўмағы'!$B$6)</x:f>
        <x:v>46550</x:v>
      </x:c>
      <x:c r="K134" s="2" t="str">
        <x:f>IF(AND(G134=1,ISNUMBER(F134)),"Расталды","Растаў керек")</x:f>
        <x:v>Растаў керек</x:v>
      </x:c>
    </x:row>
    <x:row r="135" ht="48" customHeight="1">
      <x:c r="A135" s="2" t="n">
        <x:v>128</x:v>
      </x:c>
      <x:c r="B135" s="2" t="str">
        <x:v>2027-05</x:v>
      </x:c>
      <x:c r="C135" s="2" t="n">
        <x:v>6</x:v>
      </x:c>
      <x:c r="D135" s="13" t="str">
        <x:v>Социаллық салық есабаты</x:v>
      </x:c>
      <x:c r="E135" s="14" t="n">
        <x:v>46553</x:v>
      </x:c>
      <x:c r="F135" s="12"/>
      <x:c r="G135" s="11" t="n">
        <x:v>0</x:v>
      </x:c>
      <x:c r="H135" s="13" t="str">
        <x:v>Айлық салықлары тийисли</x:v>
      </x:c>
      <x:c r="I135" s="2" t="str">
        <x:v>I</x:v>
      </x:c>
      <x:c r="J135" s="14" t="n">
        <x:f>IF(F135="",E135-'Басшы жуўмағы'!$B$6,F135-'Басшы жуўмағы'!$B$6)</x:f>
        <x:v>46550</x:v>
      </x:c>
      <x:c r="K135" s="2" t="str">
        <x:f>IF(AND(G135=1,ISNUMBER(F135)),"Расталды","Растаў керек")</x:f>
        <x:v>Растаў керек</x:v>
      </x:c>
    </x:row>
    <x:row r="136" ht="48" customHeight="1">
      <x:c r="A136" s="2" t="n">
        <x:v>129</x:v>
      </x:c>
      <x:c r="B136" s="2" t="str">
        <x:v>2027-05</x:v>
      </x:c>
      <x:c r="C136" s="2" t="n">
        <x:v>7</x:v>
      </x:c>
      <x:c r="D136" s="13" t="str">
        <x:v>Социаллық салық төлеми</x:v>
      </x:c>
      <x:c r="E136" s="14" t="n">
        <x:v>46553</x:v>
      </x:c>
      <x:c r="F136" s="12"/>
      <x:c r="G136" s="11" t="n">
        <x:v>0</x:v>
      </x:c>
      <x:c r="H136" s="13" t="str">
        <x:v>Салық суммасы бойынша</x:v>
      </x:c>
      <x:c r="I136" s="2" t="str">
        <x:v>I</x:v>
      </x:c>
      <x:c r="J136" s="14" t="n">
        <x:f>IF(F136="",E136-'Басшы жуўмағы'!$B$6,F136-'Басшы жуўмағы'!$B$6)</x:f>
        <x:v>46550</x:v>
      </x:c>
      <x:c r="K136" s="2" t="str">
        <x:f>IF(AND(G136=1,ISNUMBER(F136)),"Расталды","Растаў керек")</x:f>
        <x:v>Растаў керек</x:v>
      </x:c>
    </x:row>
    <x:row r="137" ht="48" customHeight="1">
      <x:c r="A137" s="2" t="n">
        <x:v>130</x:v>
      </x:c>
      <x:c r="B137" s="2" t="str">
        <x:v>2027-05</x:v>
      </x:c>
      <x:c r="C137" s="2" t="n">
        <x:v>8</x:v>
      </x:c>
      <x:c r="D137" s="13" t="str">
        <x:v>Акциз есабаты ҳәм төлемин тексериў</x:v>
      </x:c>
      <x:c r="E137" s="14" t="n">
        <x:v>46548</x:v>
      </x:c>
      <x:c r="F137" s="12"/>
      <x:c r="G137" s="11" t="n">
        <x:v>0</x:v>
      </x:c>
      <x:c r="H137" s="13" t="str">
        <x:v>Акциз төлеўши</x:v>
      </x:c>
      <x:c r="I137" s="2" t="str">
        <x:v>N</x:v>
      </x:c>
      <x:c r="J137" s="14" t="n">
        <x:f>IF(F137="",E137-'Басшы жуўмағы'!$B$6,F137-'Басшы жуўмағы'!$B$6)</x:f>
        <x:v>46545</x:v>
      </x:c>
      <x:c r="K137" s="2" t="str">
        <x:f>IF(AND(G137=1,ISNUMBER(F137)),"Расталды","Растаў керек")</x:f>
        <x:v>Растаў керек</x:v>
      </x:c>
    </x:row>
    <x:row r="138" ht="48" customHeight="1">
      <x:c r="A138" s="2" t="n">
        <x:v>131</x:v>
      </x:c>
      <x:c r="B138" s="2" t="str">
        <x:v>2027-05</x:v>
      </x:c>
      <x:c r="C138" s="2" t="n">
        <x:v>9</x:v>
      </x:c>
      <x:c r="D138" s="13" t="str">
        <x:v>Дивиденд ҳәм процент салығы есабаты</x:v>
      </x:c>
      <x:c r="E138" s="14" t="n">
        <x:v>46558</x:v>
      </x:c>
      <x:c r="F138" s="12"/>
      <x:c r="G138" s="11" t="n">
        <x:v>0</x:v>
      </x:c>
      <x:c r="H138" s="13" t="str">
        <x:v>Дивиденд / процент есапланған болса</x:v>
      </x:c>
      <x:c r="I138" s="2" t="str">
        <x:v>O</x:v>
      </x:c>
      <x:c r="J138" s="14" t="n">
        <x:f>IF(F138="",E138-'Басшы жуўмағы'!$B$6,F138-'Басшы жуўмағы'!$B$6)</x:f>
        <x:v>46555</x:v>
      </x:c>
      <x:c r="K138" s="2" t="str">
        <x:f>IF(AND(G138=1,ISNUMBER(F138)),"Расталды","Растаў керек")</x:f>
        <x:v>Растаў керек</x:v>
      </x:c>
    </x:row>
    <x:row r="139" ht="48" customHeight="1">
      <x:c r="A139" s="2" t="n">
        <x:v>132</x:v>
      </x:c>
      <x:c r="B139" s="2" t="str">
        <x:v>2027-05</x:v>
      </x:c>
      <x:c r="C139" s="2" t="n">
        <x:v>10</x:v>
      </x:c>
      <x:c r="D139" s="13" t="str">
        <x:v>Норезидент дәраматы салығы есабаты</x:v>
      </x:c>
      <x:c r="E139" s="14" t="n">
        <x:v>46558</x:v>
      </x:c>
      <x:c r="F139" s="12"/>
      <x:c r="G139" s="11" t="n">
        <x:v>0</x:v>
      </x:c>
      <x:c r="H139" s="13" t="str">
        <x:v>Тийисли төлемлер болса</x:v>
      </x:c>
      <x:c r="I139" s="2" t="str">
        <x:v>P</x:v>
      </x:c>
      <x:c r="J139" s="14" t="n">
        <x:f>IF(F139="",E139-'Басшы жуўмағы'!$B$6,F139-'Басшы жуўмағы'!$B$6)</x:f>
        <x:v>46555</x:v>
      </x:c>
      <x:c r="K139" s="2" t="str">
        <x:f>IF(AND(G139=1,ISNUMBER(F139)),"Расталды","Растаў керек")</x:f>
        <x:v>Растаў керек</x:v>
      </x:c>
    </x:row>
    <x:row r="140" ht="48" customHeight="1">
      <x:c r="A140" s="2" t="n">
        <x:v>133</x:v>
      </x:c>
      <x:c r="B140" s="2" t="str">
        <x:v>2027-05</x:v>
      </x:c>
      <x:c r="C140" s="2" t="n">
        <x:v>11</x:v>
      </x:c>
      <x:c r="D140" s="13" t="str">
        <x:v>Жер қойнаўынан пайдаланыў есабаты</x:v>
      </x:c>
      <x:c r="E140" s="14" t="n">
        <x:v>46558</x:v>
      </x:c>
      <x:c r="F140" s="12"/>
      <x:c r="G140" s="11" t="n">
        <x:v>0</x:v>
      </x:c>
      <x:c r="H140" s="13" t="str">
        <x:v>Жер қойнауы ресурсы бойынша</x:v>
      </x:c>
      <x:c r="I140" s="2" t="str">
        <x:v>Q</x:v>
      </x:c>
      <x:c r="J140" s="14" t="n">
        <x:f>IF(F140="",E140-'Басшы жуўмағы'!$B$6,F140-'Басшы жуўмағы'!$B$6)</x:f>
        <x:v>46555</x:v>
      </x:c>
      <x:c r="K140" s="2" t="str">
        <x:f>IF(AND(G140=1,ISNUMBER(F140)),"Расталды","Растаў керек")</x:f>
        <x:v>Растаў керек</x:v>
      </x:c>
    </x:row>
    <x:row r="141" ht="48" customHeight="1">
      <x:c r="A141" s="2" t="n">
        <x:v>134</x:v>
      </x:c>
      <x:c r="B141" s="2" t="str">
        <x:v>2027-06</x:v>
      </x:c>
      <x:c r="C141" s="2" t="n">
        <x:v>12</x:v>
      </x:c>
      <x:c r="D141" s="13" t="str">
        <x:v>Пайда салығы авансы</x:v>
      </x:c>
      <x:c r="E141" s="14" t="n">
        <x:v>46561</x:v>
      </x:c>
      <x:c r="F141" s="12"/>
      <x:c r="G141" s="11" t="n">
        <x:v>0</x:v>
      </x:c>
      <x:c r="H141" s="13" t="str">
        <x:v>20 млрд сум шеги ҳәм басқа шартларды тексериў</x:v>
      </x:c>
      <x:c r="I141" s="2" t="str">
        <x:v>M</x:v>
      </x:c>
      <x:c r="J141" s="14" t="n">
        <x:f>IF(F141="",E141-'Басшы жуўмағы'!$B$6,F141-'Басшы жуўмағы'!$B$6)</x:f>
        <x:v>46558</x:v>
      </x:c>
      <x:c r="K141" s="2" t="str">
        <x:f>IF(AND(G141=1,ISNUMBER(F141)),"Расталды","Растаў керек")</x:f>
        <x:v>Растаў керек</x:v>
      </x:c>
    </x:row>
    <x:row r="142" ht="48" customHeight="1">
      <x:c r="A142" s="2" t="n">
        <x:v>135</x:v>
      </x:c>
      <x:c r="B142" s="2" t="str">
        <x:v>2027-06</x:v>
      </x:c>
      <x:c r="C142" s="2" t="n">
        <x:v>13</x:v>
      </x:c>
      <x:c r="D142" s="13" t="str">
        <x:v>Мүлк салығы айлық авансы</x:v>
      </x:c>
      <x:c r="E142" s="14" t="n">
        <x:v>46548</x:v>
      </x:c>
      <x:c r="F142" s="12"/>
      <x:c r="G142" s="11" t="n">
        <x:v>0</x:v>
      </x:c>
      <x:c r="H142" s="13" t="str">
        <x:v>Айланба төлеўшилерден басқа; 1/12</x:v>
      </x:c>
      <x:c r="I142" s="2" t="str">
        <x:v>J</x:v>
      </x:c>
      <x:c r="J142" s="14" t="n">
        <x:f>IF(F142="",E142-'Басшы жуўмағы'!$B$6,F142-'Басшы жуўмағы'!$B$6)</x:f>
        <x:v>46545</x:v>
      </x:c>
      <x:c r="K142" s="2" t="str">
        <x:f>IF(AND(G142=1,ISNUMBER(F142)),"Расталды","Растаў керек")</x:f>
        <x:v>Растаў керек</x:v>
      </x:c>
    </x:row>
    <x:row r="143" ht="48" customHeight="1">
      <x:c r="A143" s="2" t="n">
        <x:v>136</x:v>
      </x:c>
      <x:c r="B143" s="2" t="str">
        <x:v>2027-06</x:v>
      </x:c>
      <x:c r="C143" s="2" t="n">
        <x:v>14</x:v>
      </x:c>
      <x:c r="D143" s="13" t="str">
        <x:v>Жер салығы айлық төлеми</x:v>
      </x:c>
      <x:c r="E143" s="14" t="n">
        <x:v>46548</x:v>
      </x:c>
      <x:c r="F143" s="12"/>
      <x:c r="G143" s="11" t="n">
        <x:v>0</x:v>
      </x:c>
      <x:c r="H143" s="13" t="str">
        <x:v>Аўыл хожалығы емес жер; айланба емес; 1/12</x:v>
      </x:c>
      <x:c r="I143" s="2" t="str">
        <x:v>K</x:v>
      </x:c>
      <x:c r="J143" s="14" t="n">
        <x:f>IF(F143="",E143-'Басшы жуўмағы'!$B$6,F143-'Басшы жуўмағы'!$B$6)</x:f>
        <x:v>46545</x:v>
      </x:c>
      <x:c r="K143" s="2" t="str">
        <x:f>IF(AND(G143=1,ISNUMBER(F143)),"Расталды","Растаў керек")</x:f>
        <x:v>Растаў керек</x:v>
      </x:c>
    </x:row>
    <x:row r="144" ht="48" customHeight="1">
      <x:c r="A144" s="2" t="n">
        <x:v>137</x:v>
      </x:c>
      <x:c r="B144" s="2" t="str">
        <x:v>2027-06</x:v>
      </x:c>
      <x:c r="C144" s="2" t="n">
        <x:v>15</x:v>
      </x:c>
      <x:c r="D144" s="13" t="str">
        <x:v>Суў салығы айлық авансы</x:v>
      </x:c>
      <x:c r="E144" s="14" t="n">
        <x:v>46558</x:v>
      </x:c>
      <x:c r="F144" s="12"/>
      <x:c r="G144" s="11" t="n">
        <x:v>0</x:v>
      </x:c>
      <x:c r="H144" s="13" t="str">
        <x:v>Айланба емес; жыллық салық &gt;200 БҲМ; 1/12</x:v>
      </x:c>
      <x:c r="I144" s="2" t="str">
        <x:v>V</x:v>
      </x:c>
      <x:c r="J144" s="14" t="n">
        <x:f>IF(F144="",E144-'Басшы жуўмағы'!$B$6,F144-'Басшы жуўмағы'!$B$6)</x:f>
        <x:v>46555</x:v>
      </x:c>
      <x:c r="K144" s="2" t="str">
        <x:f>IF(AND(G144=1,ISNUMBER(F144)),"Расталды","Растаў керек")</x:f>
        <x:v>Растаў керек</x:v>
      </x:c>
    </x:row>
    <x:row r="145" ht="48" customHeight="1">
      <x:c r="A145" s="2" t="n">
        <x:v>138</x:v>
      </x:c>
      <x:c r="B145" s="2" t="str">
        <x:v>2027-06</x:v>
      </x:c>
      <x:c r="C145" s="2" t="n">
        <x:v>1</x:v>
      </x:c>
      <x:c r="D145" s="13" t="str">
        <x:v>ҚҚС есабаты</x:v>
      </x:c>
      <x:c r="E145" s="14" t="n">
        <x:v>46588</x:v>
      </x:c>
      <x:c r="F145" s="12"/>
      <x:c r="G145" s="11" t="n">
        <x:v>0</x:v>
      </x:c>
      <x:c r="H145" s="13" t="str">
        <x:v>ҚҚС төлеўши</x:v>
      </x:c>
      <x:c r="I145" s="2" t="str">
        <x:v>F</x:v>
      </x:c>
      <x:c r="J145" s="14" t="n">
        <x:f>IF(F145="",E145-'Басшы жуўмағы'!$B$6,F145-'Басшы жуўмағы'!$B$6)</x:f>
        <x:v>46585</x:v>
      </x:c>
      <x:c r="K145" s="2" t="str">
        <x:f>IF(AND(G145=1,ISNUMBER(F145)),"Расталды","Растаў керек")</x:f>
        <x:v>Растаў керек</x:v>
      </x:c>
    </x:row>
    <x:row r="146" ht="48" customHeight="1">
      <x:c r="A146" s="2" t="n">
        <x:v>139</x:v>
      </x:c>
      <x:c r="B146" s="2" t="str">
        <x:v>2027-06</x:v>
      </x:c>
      <x:c r="C146" s="2" t="n">
        <x:v>2</x:v>
      </x:c>
      <x:c r="D146" s="13" t="str">
        <x:v>ҚҚС төлеми</x:v>
      </x:c>
      <x:c r="E146" s="14" t="n">
        <x:v>46588</x:v>
      </x:c>
      <x:c r="F146" s="12"/>
      <x:c r="G146" s="11" t="n">
        <x:v>0</x:v>
      </x:c>
      <x:c r="H146" s="13" t="str">
        <x:v>Есапланған салық бойынша</x:v>
      </x:c>
      <x:c r="I146" s="2" t="str">
        <x:v>F</x:v>
      </x:c>
      <x:c r="J146" s="14" t="n">
        <x:f>IF(F146="",E146-'Басшы жуўмағы'!$B$6,F146-'Басшы жуўмағы'!$B$6)</x:f>
        <x:v>46585</x:v>
      </x:c>
      <x:c r="K146" s="2" t="str">
        <x:f>IF(AND(G146=1,ISNUMBER(F146)),"Расталды","Растаў керек")</x:f>
        <x:v>Растаў керек</x:v>
      </x:c>
    </x:row>
    <x:row r="147" ht="48" customHeight="1">
      <x:c r="A147" s="2" t="n">
        <x:v>140</x:v>
      </x:c>
      <x:c r="B147" s="2" t="str">
        <x:v>2027-06</x:v>
      </x:c>
      <x:c r="C147" s="2" t="n">
        <x:v>3</x:v>
      </x:c>
      <x:c r="D147" s="13" t="str">
        <x:v>Айланба салығы есабаты</x:v>
      </x:c>
      <x:c r="E147" s="14" t="n">
        <x:v>46583</x:v>
      </x:c>
      <x:c r="F147" s="12"/>
      <x:c r="G147" s="11" t="n">
        <x:v>0</x:v>
      </x:c>
      <x:c r="H147" s="13" t="str">
        <x:v>Айланба салығы төлеўши</x:v>
      </x:c>
      <x:c r="I147" s="2" t="str">
        <x:v>G</x:v>
      </x:c>
      <x:c r="J147" s="14" t="n">
        <x:f>IF(F147="",E147-'Басшы жуўмағы'!$B$6,F147-'Басшы жуўмағы'!$B$6)</x:f>
        <x:v>46580</x:v>
      </x:c>
      <x:c r="K147" s="2" t="str">
        <x:f>IF(AND(G147=1,ISNUMBER(F147)),"Расталды","Растаў керек")</x:f>
        <x:v>Растаў керек</x:v>
      </x:c>
    </x:row>
    <x:row r="148" ht="48" customHeight="1">
      <x:c r="A148" s="2" t="n">
        <x:v>141</x:v>
      </x:c>
      <x:c r="B148" s="2" t="str">
        <x:v>2027-06</x:v>
      </x:c>
      <x:c r="C148" s="2" t="n">
        <x:v>4</x:v>
      </x:c>
      <x:c r="D148" s="13" t="str">
        <x:v>Айланба салығы төлеми</x:v>
      </x:c>
      <x:c r="E148" s="14" t="n">
        <x:v>46583</x:v>
      </x:c>
      <x:c r="F148" s="12"/>
      <x:c r="G148" s="11" t="n">
        <x:v>0</x:v>
      </x:c>
      <x:c r="H148" s="13" t="str">
        <x:v>Салық суммасы бойынша</x:v>
      </x:c>
      <x:c r="I148" s="2" t="str">
        <x:v>G</x:v>
      </x:c>
      <x:c r="J148" s="14" t="n">
        <x:f>IF(F148="",E148-'Басшы жуўмағы'!$B$6,F148-'Басшы жуўмағы'!$B$6)</x:f>
        <x:v>46580</x:v>
      </x:c>
      <x:c r="K148" s="2" t="str">
        <x:f>IF(AND(G148=1,ISNUMBER(F148)),"Расталды","Растаў керек")</x:f>
        <x:v>Растаў керек</x:v>
      </x:c>
    </x:row>
    <x:row r="149" ht="48" customHeight="1">
      <x:c r="A149" s="2" t="n">
        <x:v>142</x:v>
      </x:c>
      <x:c r="B149" s="2" t="str">
        <x:v>2027-06</x:v>
      </x:c>
      <x:c r="C149" s="2" t="n">
        <x:v>5</x:v>
      </x:c>
      <x:c r="D149" s="13" t="str">
        <x:v>Дәрамат салығы есабаты</x:v>
      </x:c>
      <x:c r="E149" s="14" t="n">
        <x:v>46583</x:v>
      </x:c>
      <x:c r="F149" s="12"/>
      <x:c r="G149" s="11" t="n">
        <x:v>0</x:v>
      </x:c>
      <x:c r="H149" s="13" t="str">
        <x:v>Салық агенти</x:v>
      </x:c>
      <x:c r="I149" s="2" t="str">
        <x:v>I</x:v>
      </x:c>
      <x:c r="J149" s="14" t="n">
        <x:f>IF(F149="",E149-'Басшы жуўмағы'!$B$6,F149-'Басшы жуўмағы'!$B$6)</x:f>
        <x:v>46580</x:v>
      </x:c>
      <x:c r="K149" s="2" t="str">
        <x:f>IF(AND(G149=1,ISNUMBER(F149)),"Расталды","Растаў керек")</x:f>
        <x:v>Растаў керек</x:v>
      </x:c>
    </x:row>
    <x:row r="150" ht="48" customHeight="1">
      <x:c r="A150" s="2" t="n">
        <x:v>143</x:v>
      </x:c>
      <x:c r="B150" s="2" t="str">
        <x:v>2027-06</x:v>
      </x:c>
      <x:c r="C150" s="2" t="n">
        <x:v>6</x:v>
      </x:c>
      <x:c r="D150" s="13" t="str">
        <x:v>Социаллық салық есабаты</x:v>
      </x:c>
      <x:c r="E150" s="14" t="n">
        <x:v>46583</x:v>
      </x:c>
      <x:c r="F150" s="12"/>
      <x:c r="G150" s="11" t="n">
        <x:v>0</x:v>
      </x:c>
      <x:c r="H150" s="13" t="str">
        <x:v>Айлық салықлары тийисли</x:v>
      </x:c>
      <x:c r="I150" s="2" t="str">
        <x:v>I</x:v>
      </x:c>
      <x:c r="J150" s="14" t="n">
        <x:f>IF(F150="",E150-'Басшы жуўмағы'!$B$6,F150-'Басшы жуўмағы'!$B$6)</x:f>
        <x:v>46580</x:v>
      </x:c>
      <x:c r="K150" s="2" t="str">
        <x:f>IF(AND(G150=1,ISNUMBER(F150)),"Расталды","Растаў керек")</x:f>
        <x:v>Растаў керек</x:v>
      </x:c>
    </x:row>
    <x:row r="151" ht="48" customHeight="1">
      <x:c r="A151" s="2" t="n">
        <x:v>144</x:v>
      </x:c>
      <x:c r="B151" s="2" t="str">
        <x:v>2027-06</x:v>
      </x:c>
      <x:c r="C151" s="2" t="n">
        <x:v>7</x:v>
      </x:c>
      <x:c r="D151" s="13" t="str">
        <x:v>Социаллық салық төлеми</x:v>
      </x:c>
      <x:c r="E151" s="14" t="n">
        <x:v>46583</x:v>
      </x:c>
      <x:c r="F151" s="12"/>
      <x:c r="G151" s="11" t="n">
        <x:v>0</x:v>
      </x:c>
      <x:c r="H151" s="13" t="str">
        <x:v>Салық суммасы бойынша</x:v>
      </x:c>
      <x:c r="I151" s="2" t="str">
        <x:v>I</x:v>
      </x:c>
      <x:c r="J151" s="14" t="n">
        <x:f>IF(F151="",E151-'Басшы жуўмағы'!$B$6,F151-'Басшы жуўмағы'!$B$6)</x:f>
        <x:v>46580</x:v>
      </x:c>
      <x:c r="K151" s="2" t="str">
        <x:f>IF(AND(G151=1,ISNUMBER(F151)),"Расталды","Растаў керек")</x:f>
        <x:v>Растаў керек</x:v>
      </x:c>
    </x:row>
    <x:row r="152" ht="48" customHeight="1">
      <x:c r="A152" s="2" t="n">
        <x:v>145</x:v>
      </x:c>
      <x:c r="B152" s="2" t="str">
        <x:v>2027-06</x:v>
      </x:c>
      <x:c r="C152" s="2" t="n">
        <x:v>8</x:v>
      </x:c>
      <x:c r="D152" s="13" t="str">
        <x:v>Акциз есабаты ҳәм төлемин тексериў</x:v>
      </x:c>
      <x:c r="E152" s="14" t="n">
        <x:v>46578</x:v>
      </x:c>
      <x:c r="F152" s="12"/>
      <x:c r="G152" s="11" t="n">
        <x:v>0</x:v>
      </x:c>
      <x:c r="H152" s="13" t="str">
        <x:v>Акциз төлеўши</x:v>
      </x:c>
      <x:c r="I152" s="2" t="str">
        <x:v>N</x:v>
      </x:c>
      <x:c r="J152" s="14" t="n">
        <x:f>IF(F152="",E152-'Басшы жуўмағы'!$B$6,F152-'Басшы жуўмағы'!$B$6)</x:f>
        <x:v>46575</x:v>
      </x:c>
      <x:c r="K152" s="2" t="str">
        <x:f>IF(AND(G152=1,ISNUMBER(F152)),"Расталды","Растаў керек")</x:f>
        <x:v>Растаў керек</x:v>
      </x:c>
    </x:row>
    <x:row r="153" ht="48" customHeight="1">
      <x:c r="A153" s="2" t="n">
        <x:v>146</x:v>
      </x:c>
      <x:c r="B153" s="2" t="str">
        <x:v>2027-06</x:v>
      </x:c>
      <x:c r="C153" s="2" t="n">
        <x:v>9</x:v>
      </x:c>
      <x:c r="D153" s="13" t="str">
        <x:v>Дивиденд ҳәм процент салығы есабаты</x:v>
      </x:c>
      <x:c r="E153" s="14" t="n">
        <x:v>46588</x:v>
      </x:c>
      <x:c r="F153" s="12"/>
      <x:c r="G153" s="11" t="n">
        <x:v>0</x:v>
      </x:c>
      <x:c r="H153" s="13" t="str">
        <x:v>Дивиденд / процент есапланған болса</x:v>
      </x:c>
      <x:c r="I153" s="2" t="str">
        <x:v>O</x:v>
      </x:c>
      <x:c r="J153" s="14" t="n">
        <x:f>IF(F153="",E153-'Басшы жуўмағы'!$B$6,F153-'Басшы жуўмағы'!$B$6)</x:f>
        <x:v>46585</x:v>
      </x:c>
      <x:c r="K153" s="2" t="str">
        <x:f>IF(AND(G153=1,ISNUMBER(F153)),"Расталды","Растаў керек")</x:f>
        <x:v>Растаў керек</x:v>
      </x:c>
    </x:row>
    <x:row r="154" ht="48" customHeight="1">
      <x:c r="A154" s="2" t="n">
        <x:v>147</x:v>
      </x:c>
      <x:c r="B154" s="2" t="str">
        <x:v>2027-06</x:v>
      </x:c>
      <x:c r="C154" s="2" t="n">
        <x:v>10</x:v>
      </x:c>
      <x:c r="D154" s="13" t="str">
        <x:v>Норезидент дәраматы салығы есабаты</x:v>
      </x:c>
      <x:c r="E154" s="14" t="n">
        <x:v>46588</x:v>
      </x:c>
      <x:c r="F154" s="12"/>
      <x:c r="G154" s="11" t="n">
        <x:v>0</x:v>
      </x:c>
      <x:c r="H154" s="13" t="str">
        <x:v>Тийисли төлемлер болса</x:v>
      </x:c>
      <x:c r="I154" s="2" t="str">
        <x:v>P</x:v>
      </x:c>
      <x:c r="J154" s="14" t="n">
        <x:f>IF(F154="",E154-'Басшы жуўмағы'!$B$6,F154-'Басшы жуўмағы'!$B$6)</x:f>
        <x:v>46585</x:v>
      </x:c>
      <x:c r="K154" s="2" t="str">
        <x:f>IF(AND(G154=1,ISNUMBER(F154)),"Расталды","Растаў керек")</x:f>
        <x:v>Растаў керек</x:v>
      </x:c>
    </x:row>
    <x:row r="155" ht="48" customHeight="1">
      <x:c r="A155" s="2" t="n">
        <x:v>148</x:v>
      </x:c>
      <x:c r="B155" s="2" t="str">
        <x:v>2027-06</x:v>
      </x:c>
      <x:c r="C155" s="2" t="n">
        <x:v>11</x:v>
      </x:c>
      <x:c r="D155" s="13" t="str">
        <x:v>Жер қойнаўынан пайдаланыў есабаты</x:v>
      </x:c>
      <x:c r="E155" s="14" t="n">
        <x:v>46588</x:v>
      </x:c>
      <x:c r="F155" s="12"/>
      <x:c r="G155" s="11" t="n">
        <x:v>0</x:v>
      </x:c>
      <x:c r="H155" s="13" t="str">
        <x:v>Жер қойнауы ресурсы бойынша</x:v>
      </x:c>
      <x:c r="I155" s="2" t="str">
        <x:v>Q</x:v>
      </x:c>
      <x:c r="J155" s="14" t="n">
        <x:f>IF(F155="",E155-'Басшы жуўмағы'!$B$6,F155-'Басшы жуўмағы'!$B$6)</x:f>
        <x:v>46585</x:v>
      </x:c>
      <x:c r="K155" s="2" t="str">
        <x:f>IF(AND(G155=1,ISNUMBER(F155)),"Расталды","Растаў керек")</x:f>
        <x:v>Растаў керек</x:v>
      </x:c>
    </x:row>
    <x:row r="156" ht="48" customHeight="1">
      <x:c r="A156" s="2" t="n">
        <x:v>149</x:v>
      </x:c>
      <x:c r="B156" s="2" t="str">
        <x:v>2027-07</x:v>
      </x:c>
      <x:c r="C156" s="2" t="n">
        <x:v>12</x:v>
      </x:c>
      <x:c r="D156" s="13" t="str">
        <x:v>Пайда салығы авансы</x:v>
      </x:c>
      <x:c r="E156" s="14" t="n">
        <x:v>46591</x:v>
      </x:c>
      <x:c r="F156" s="12"/>
      <x:c r="G156" s="11" t="n">
        <x:v>0</x:v>
      </x:c>
      <x:c r="H156" s="13" t="str">
        <x:v>20 млрд сум шеги ҳәм басқа шартларды тексериў</x:v>
      </x:c>
      <x:c r="I156" s="2" t="str">
        <x:v>M</x:v>
      </x:c>
      <x:c r="J156" s="14" t="n">
        <x:f>IF(F156="",E156-'Басшы жуўмағы'!$B$6,F156-'Басшы жуўмағы'!$B$6)</x:f>
        <x:v>46588</x:v>
      </x:c>
      <x:c r="K156" s="2" t="str">
        <x:f>IF(AND(G156=1,ISNUMBER(F156)),"Расталды","Растаў керек")</x:f>
        <x:v>Растаў керек</x:v>
      </x:c>
    </x:row>
    <x:row r="157" ht="48" customHeight="1">
      <x:c r="A157" s="2" t="n">
        <x:v>150</x:v>
      </x:c>
      <x:c r="B157" s="2" t="str">
        <x:v>2027-07</x:v>
      </x:c>
      <x:c r="C157" s="2" t="n">
        <x:v>13</x:v>
      </x:c>
      <x:c r="D157" s="13" t="str">
        <x:v>Мүлк салығы айлық авансы</x:v>
      </x:c>
      <x:c r="E157" s="14" t="n">
        <x:v>46578</x:v>
      </x:c>
      <x:c r="F157" s="12"/>
      <x:c r="G157" s="11" t="n">
        <x:v>0</x:v>
      </x:c>
      <x:c r="H157" s="13" t="str">
        <x:v>Айланба төлеўшилерден басқа; 1/12</x:v>
      </x:c>
      <x:c r="I157" s="2" t="str">
        <x:v>J</x:v>
      </x:c>
      <x:c r="J157" s="14" t="n">
        <x:f>IF(F157="",E157-'Басшы жуўмағы'!$B$6,F157-'Басшы жуўмағы'!$B$6)</x:f>
        <x:v>46575</x:v>
      </x:c>
      <x:c r="K157" s="2" t="str">
        <x:f>IF(AND(G157=1,ISNUMBER(F157)),"Расталды","Растаў керек")</x:f>
        <x:v>Растаў керек</x:v>
      </x:c>
    </x:row>
    <x:row r="158" ht="48" customHeight="1">
      <x:c r="A158" s="2" t="n">
        <x:v>151</x:v>
      </x:c>
      <x:c r="B158" s="2" t="str">
        <x:v>2027-07</x:v>
      </x:c>
      <x:c r="C158" s="2" t="n">
        <x:v>14</x:v>
      </x:c>
      <x:c r="D158" s="13" t="str">
        <x:v>Жер салығы айлық төлеми</x:v>
      </x:c>
      <x:c r="E158" s="14" t="n">
        <x:v>46578</x:v>
      </x:c>
      <x:c r="F158" s="12"/>
      <x:c r="G158" s="11" t="n">
        <x:v>0</x:v>
      </x:c>
      <x:c r="H158" s="13" t="str">
        <x:v>Аўыл хожалығы емес жер; айланба емес; 1/12</x:v>
      </x:c>
      <x:c r="I158" s="2" t="str">
        <x:v>K</x:v>
      </x:c>
      <x:c r="J158" s="14" t="n">
        <x:f>IF(F158="",E158-'Басшы жуўмағы'!$B$6,F158-'Басшы жуўмағы'!$B$6)</x:f>
        <x:v>46575</x:v>
      </x:c>
      <x:c r="K158" s="2" t="str">
        <x:f>IF(AND(G158=1,ISNUMBER(F158)),"Расталды","Растаў керек")</x:f>
        <x:v>Растаў керек</x:v>
      </x:c>
    </x:row>
    <x:row r="159" ht="48" customHeight="1">
      <x:c r="A159" s="2" t="n">
        <x:v>152</x:v>
      </x:c>
      <x:c r="B159" s="2" t="str">
        <x:v>2027-07</x:v>
      </x:c>
      <x:c r="C159" s="2" t="n">
        <x:v>15</x:v>
      </x:c>
      <x:c r="D159" s="13" t="str">
        <x:v>Суў салығы айлық авансы</x:v>
      </x:c>
      <x:c r="E159" s="14" t="n">
        <x:v>46588</x:v>
      </x:c>
      <x:c r="F159" s="12"/>
      <x:c r="G159" s="11" t="n">
        <x:v>0</x:v>
      </x:c>
      <x:c r="H159" s="13" t="str">
        <x:v>Айланба емес; жыллық салық &gt;200 БҲМ; 1/12</x:v>
      </x:c>
      <x:c r="I159" s="2" t="str">
        <x:v>V</x:v>
      </x:c>
      <x:c r="J159" s="14" t="n">
        <x:f>IF(F159="",E159-'Басшы жуўмағы'!$B$6,F159-'Басшы жуўмағы'!$B$6)</x:f>
        <x:v>46585</x:v>
      </x:c>
      <x:c r="K159" s="2" t="str">
        <x:f>IF(AND(G159=1,ISNUMBER(F159)),"Расталды","Растаў керек")</x:f>
        <x:v>Растаў керек</x:v>
      </x:c>
    </x:row>
    <x:row r="160" ht="48" customHeight="1">
      <x:c r="A160" s="2" t="n">
        <x:v>153</x:v>
      </x:c>
      <x:c r="B160" s="2" t="str">
        <x:v>2027 / 1.3333333333333335-квартал</x:v>
      </x:c>
      <x:c r="C160" s="2" t="n">
        <x:v>16</x:v>
      </x:c>
      <x:c r="D160" s="13" t="str">
        <x:v>Пайда салығы квартал есабаты</x:v>
      </x:c>
      <x:c r="E160" s="14" t="n">
        <x:v>46588</x:v>
      </x:c>
      <x:c r="F160" s="12"/>
      <x:c r="G160" s="11" t="n">
        <x:v>0</x:v>
      </x:c>
      <x:c r="H160" s="13" t="str">
        <x:v>I–III квартал; кәдиги юридикалық шахс</x:v>
      </x:c>
      <x:c r="I160" s="2" t="str">
        <x:v>H</x:v>
      </x:c>
      <x:c r="J160" s="14" t="n">
        <x:f>IF(F160="",E160-'Басшы жуўмағы'!$B$6,F160-'Басшы жуўмағы'!$B$6)</x:f>
        <x:v>46585</x:v>
      </x:c>
      <x:c r="K160" s="2" t="str">
        <x:f>IF(AND(G160=1,ISNUMBER(F160)),"Расталды","Растаў керек")</x:f>
        <x:v>Растаў керек</x:v>
      </x:c>
    </x:row>
    <x:row r="161" ht="48" customHeight="1">
      <x:c r="A161" s="2" t="n">
        <x:v>154</x:v>
      </x:c>
      <x:c r="B161" s="2" t="str">
        <x:v>2027-07</x:v>
      </x:c>
      <x:c r="C161" s="2" t="n">
        <x:v>1</x:v>
      </x:c>
      <x:c r="D161" s="13" t="str">
        <x:v>ҚҚС есабаты</x:v>
      </x:c>
      <x:c r="E161" s="14" t="n">
        <x:v>46619</x:v>
      </x:c>
      <x:c r="F161" s="12"/>
      <x:c r="G161" s="11" t="n">
        <x:v>0</x:v>
      </x:c>
      <x:c r="H161" s="13" t="str">
        <x:v>ҚҚС төлеўши</x:v>
      </x:c>
      <x:c r="I161" s="2" t="str">
        <x:v>F</x:v>
      </x:c>
      <x:c r="J161" s="14" t="n">
        <x:f>IF(F161="",E161-'Басшы жуўмағы'!$B$6,F161-'Басшы жуўмағы'!$B$6)</x:f>
        <x:v>46616</x:v>
      </x:c>
      <x:c r="K161" s="2" t="str">
        <x:f>IF(AND(G161=1,ISNUMBER(F161)),"Расталды","Растаў керек")</x:f>
        <x:v>Растаў керек</x:v>
      </x:c>
    </x:row>
    <x:row r="162" ht="48" customHeight="1">
      <x:c r="A162" s="2" t="n">
        <x:v>155</x:v>
      </x:c>
      <x:c r="B162" s="2" t="str">
        <x:v>2027-07</x:v>
      </x:c>
      <x:c r="C162" s="2" t="n">
        <x:v>2</x:v>
      </x:c>
      <x:c r="D162" s="13" t="str">
        <x:v>ҚҚС төлеми</x:v>
      </x:c>
      <x:c r="E162" s="14" t="n">
        <x:v>46619</x:v>
      </x:c>
      <x:c r="F162" s="12"/>
      <x:c r="G162" s="11" t="n">
        <x:v>0</x:v>
      </x:c>
      <x:c r="H162" s="13" t="str">
        <x:v>Есапланған салық бойынша</x:v>
      </x:c>
      <x:c r="I162" s="2" t="str">
        <x:v>F</x:v>
      </x:c>
      <x:c r="J162" s="14" t="n">
        <x:f>IF(F162="",E162-'Басшы жуўмағы'!$B$6,F162-'Басшы жуўмағы'!$B$6)</x:f>
        <x:v>46616</x:v>
      </x:c>
      <x:c r="K162" s="2" t="str">
        <x:f>IF(AND(G162=1,ISNUMBER(F162)),"Расталды","Растаў керек")</x:f>
        <x:v>Растаў керек</x:v>
      </x:c>
    </x:row>
    <x:row r="163" ht="48" customHeight="1">
      <x:c r="A163" s="2" t="n">
        <x:v>156</x:v>
      </x:c>
      <x:c r="B163" s="2" t="str">
        <x:v>2027-07</x:v>
      </x:c>
      <x:c r="C163" s="2" t="n">
        <x:v>3</x:v>
      </x:c>
      <x:c r="D163" s="13" t="str">
        <x:v>Айланба салығы есабаты</x:v>
      </x:c>
      <x:c r="E163" s="14" t="n">
        <x:v>46614</x:v>
      </x:c>
      <x:c r="F163" s="12"/>
      <x:c r="G163" s="11" t="n">
        <x:v>0</x:v>
      </x:c>
      <x:c r="H163" s="13" t="str">
        <x:v>Айланба салығы төлеўши</x:v>
      </x:c>
      <x:c r="I163" s="2" t="str">
        <x:v>G</x:v>
      </x:c>
      <x:c r="J163" s="14" t="n">
        <x:f>IF(F163="",E163-'Басшы жуўмағы'!$B$6,F163-'Басшы жуўмағы'!$B$6)</x:f>
        <x:v>46611</x:v>
      </x:c>
      <x:c r="K163" s="2" t="str">
        <x:f>IF(AND(G163=1,ISNUMBER(F163)),"Расталды","Растаў керек")</x:f>
        <x:v>Растаў керек</x:v>
      </x:c>
    </x:row>
    <x:row r="164" ht="48" customHeight="1">
      <x:c r="A164" s="2" t="n">
        <x:v>157</x:v>
      </x:c>
      <x:c r="B164" s="2" t="str">
        <x:v>2027-07</x:v>
      </x:c>
      <x:c r="C164" s="2" t="n">
        <x:v>4</x:v>
      </x:c>
      <x:c r="D164" s="13" t="str">
        <x:v>Айланба салығы төлеми</x:v>
      </x:c>
      <x:c r="E164" s="14" t="n">
        <x:v>46614</x:v>
      </x:c>
      <x:c r="F164" s="12"/>
      <x:c r="G164" s="11" t="n">
        <x:v>0</x:v>
      </x:c>
      <x:c r="H164" s="13" t="str">
        <x:v>Салық суммасы бойынша</x:v>
      </x:c>
      <x:c r="I164" s="2" t="str">
        <x:v>G</x:v>
      </x:c>
      <x:c r="J164" s="14" t="n">
        <x:f>IF(F164="",E164-'Басшы жуўмағы'!$B$6,F164-'Басшы жуўмағы'!$B$6)</x:f>
        <x:v>46611</x:v>
      </x:c>
      <x:c r="K164" s="2" t="str">
        <x:f>IF(AND(G164=1,ISNUMBER(F164)),"Расталды","Растаў керек")</x:f>
        <x:v>Растаў керек</x:v>
      </x:c>
    </x:row>
    <x:row r="165" ht="48" customHeight="1">
      <x:c r="A165" s="2" t="n">
        <x:v>158</x:v>
      </x:c>
      <x:c r="B165" s="2" t="str">
        <x:v>2027-07</x:v>
      </x:c>
      <x:c r="C165" s="2" t="n">
        <x:v>5</x:v>
      </x:c>
      <x:c r="D165" s="13" t="str">
        <x:v>Дәрамат салығы есабаты</x:v>
      </x:c>
      <x:c r="E165" s="14" t="n">
        <x:v>46614</x:v>
      </x:c>
      <x:c r="F165" s="12"/>
      <x:c r="G165" s="11" t="n">
        <x:v>0</x:v>
      </x:c>
      <x:c r="H165" s="13" t="str">
        <x:v>Салық агенти</x:v>
      </x:c>
      <x:c r="I165" s="2" t="str">
        <x:v>I</x:v>
      </x:c>
      <x:c r="J165" s="14" t="n">
        <x:f>IF(F165="",E165-'Басшы жуўмағы'!$B$6,F165-'Басшы жуўмағы'!$B$6)</x:f>
        <x:v>46611</x:v>
      </x:c>
      <x:c r="K165" s="2" t="str">
        <x:f>IF(AND(G165=1,ISNUMBER(F165)),"Расталды","Растаў керек")</x:f>
        <x:v>Растаў керек</x:v>
      </x:c>
    </x:row>
    <x:row r="166" ht="48" customHeight="1">
      <x:c r="A166" s="2" t="n">
        <x:v>159</x:v>
      </x:c>
      <x:c r="B166" s="2" t="str">
        <x:v>2027-07</x:v>
      </x:c>
      <x:c r="C166" s="2" t="n">
        <x:v>6</x:v>
      </x:c>
      <x:c r="D166" s="13" t="str">
        <x:v>Социаллық салық есабаты</x:v>
      </x:c>
      <x:c r="E166" s="14" t="n">
        <x:v>46614</x:v>
      </x:c>
      <x:c r="F166" s="12"/>
      <x:c r="G166" s="11" t="n">
        <x:v>0</x:v>
      </x:c>
      <x:c r="H166" s="13" t="str">
        <x:v>Айлық салықлары тийисли</x:v>
      </x:c>
      <x:c r="I166" s="2" t="str">
        <x:v>I</x:v>
      </x:c>
      <x:c r="J166" s="14" t="n">
        <x:f>IF(F166="",E166-'Басшы жуўмағы'!$B$6,F166-'Басшы жуўмағы'!$B$6)</x:f>
        <x:v>46611</x:v>
      </x:c>
      <x:c r="K166" s="2" t="str">
        <x:f>IF(AND(G166=1,ISNUMBER(F166)),"Расталды","Растаў керек")</x:f>
        <x:v>Растаў керек</x:v>
      </x:c>
    </x:row>
    <x:row r="167" ht="48" customHeight="1">
      <x:c r="A167" s="2" t="n">
        <x:v>160</x:v>
      </x:c>
      <x:c r="B167" s="2" t="str">
        <x:v>2027-07</x:v>
      </x:c>
      <x:c r="C167" s="2" t="n">
        <x:v>7</x:v>
      </x:c>
      <x:c r="D167" s="13" t="str">
        <x:v>Социаллық салық төлеми</x:v>
      </x:c>
      <x:c r="E167" s="14" t="n">
        <x:v>46614</x:v>
      </x:c>
      <x:c r="F167" s="12"/>
      <x:c r="G167" s="11" t="n">
        <x:v>0</x:v>
      </x:c>
      <x:c r="H167" s="13" t="str">
        <x:v>Салық суммасы бойынша</x:v>
      </x:c>
      <x:c r="I167" s="2" t="str">
        <x:v>I</x:v>
      </x:c>
      <x:c r="J167" s="14" t="n">
        <x:f>IF(F167="",E167-'Басшы жуўмағы'!$B$6,F167-'Басшы жуўмағы'!$B$6)</x:f>
        <x:v>46611</x:v>
      </x:c>
      <x:c r="K167" s="2" t="str">
        <x:f>IF(AND(G167=1,ISNUMBER(F167)),"Расталды","Растаў керек")</x:f>
        <x:v>Растаў керек</x:v>
      </x:c>
    </x:row>
    <x:row r="168" ht="48" customHeight="1">
      <x:c r="A168" s="2" t="n">
        <x:v>161</x:v>
      </x:c>
      <x:c r="B168" s="2" t="str">
        <x:v>2027-07</x:v>
      </x:c>
      <x:c r="C168" s="2" t="n">
        <x:v>8</x:v>
      </x:c>
      <x:c r="D168" s="13" t="str">
        <x:v>Акциз есабаты ҳәм төлемин тексериў</x:v>
      </x:c>
      <x:c r="E168" s="14" t="n">
        <x:v>46609</x:v>
      </x:c>
      <x:c r="F168" s="12"/>
      <x:c r="G168" s="11" t="n">
        <x:v>0</x:v>
      </x:c>
      <x:c r="H168" s="13" t="str">
        <x:v>Акциз төлеўши</x:v>
      </x:c>
      <x:c r="I168" s="2" t="str">
        <x:v>N</x:v>
      </x:c>
      <x:c r="J168" s="14" t="n">
        <x:f>IF(F168="",E168-'Басшы жуўмағы'!$B$6,F168-'Басшы жуўмағы'!$B$6)</x:f>
        <x:v>46606</x:v>
      </x:c>
      <x:c r="K168" s="2" t="str">
        <x:f>IF(AND(G168=1,ISNUMBER(F168)),"Расталды","Растаў керек")</x:f>
        <x:v>Растаў керек</x:v>
      </x:c>
    </x:row>
    <x:row r="169" ht="48" customHeight="1">
      <x:c r="A169" s="2" t="n">
        <x:v>162</x:v>
      </x:c>
      <x:c r="B169" s="2" t="str">
        <x:v>2027-07</x:v>
      </x:c>
      <x:c r="C169" s="2" t="n">
        <x:v>9</x:v>
      </x:c>
      <x:c r="D169" s="13" t="str">
        <x:v>Дивиденд ҳәм процент салығы есабаты</x:v>
      </x:c>
      <x:c r="E169" s="14" t="n">
        <x:v>46619</x:v>
      </x:c>
      <x:c r="F169" s="12"/>
      <x:c r="G169" s="11" t="n">
        <x:v>0</x:v>
      </x:c>
      <x:c r="H169" s="13" t="str">
        <x:v>Дивиденд / процент есапланған болса</x:v>
      </x:c>
      <x:c r="I169" s="2" t="str">
        <x:v>O</x:v>
      </x:c>
      <x:c r="J169" s="14" t="n">
        <x:f>IF(F169="",E169-'Басшы жуўмағы'!$B$6,F169-'Басшы жуўмағы'!$B$6)</x:f>
        <x:v>46616</x:v>
      </x:c>
      <x:c r="K169" s="2" t="str">
        <x:f>IF(AND(G169=1,ISNUMBER(F169)),"Расталды","Растаў керек")</x:f>
        <x:v>Растаў керек</x:v>
      </x:c>
    </x:row>
    <x:row r="170" ht="48" customHeight="1">
      <x:c r="A170" s="2" t="n">
        <x:v>163</x:v>
      </x:c>
      <x:c r="B170" s="2" t="str">
        <x:v>2027-07</x:v>
      </x:c>
      <x:c r="C170" s="2" t="n">
        <x:v>10</x:v>
      </x:c>
      <x:c r="D170" s="13" t="str">
        <x:v>Норезидент дәраматы салығы есабаты</x:v>
      </x:c>
      <x:c r="E170" s="14" t="n">
        <x:v>46619</x:v>
      </x:c>
      <x:c r="F170" s="12"/>
      <x:c r="G170" s="11" t="n">
        <x:v>0</x:v>
      </x:c>
      <x:c r="H170" s="13" t="str">
        <x:v>Тийисли төлемлер болса</x:v>
      </x:c>
      <x:c r="I170" s="2" t="str">
        <x:v>P</x:v>
      </x:c>
      <x:c r="J170" s="14" t="n">
        <x:f>IF(F170="",E170-'Басшы жуўмағы'!$B$6,F170-'Басшы жуўмағы'!$B$6)</x:f>
        <x:v>46616</x:v>
      </x:c>
      <x:c r="K170" s="2" t="str">
        <x:f>IF(AND(G170=1,ISNUMBER(F170)),"Расталды","Растаў керек")</x:f>
        <x:v>Растаў керек</x:v>
      </x:c>
    </x:row>
    <x:row r="171" ht="48" customHeight="1">
      <x:c r="A171" s="2" t="n">
        <x:v>164</x:v>
      </x:c>
      <x:c r="B171" s="2" t="str">
        <x:v>2027-07</x:v>
      </x:c>
      <x:c r="C171" s="2" t="n">
        <x:v>11</x:v>
      </x:c>
      <x:c r="D171" s="13" t="str">
        <x:v>Жер қойнаўынан пайдаланыў есабаты</x:v>
      </x:c>
      <x:c r="E171" s="14" t="n">
        <x:v>46619</x:v>
      </x:c>
      <x:c r="F171" s="12"/>
      <x:c r="G171" s="11" t="n">
        <x:v>0</x:v>
      </x:c>
      <x:c r="H171" s="13" t="str">
        <x:v>Жер қойнауы ресурсы бойынша</x:v>
      </x:c>
      <x:c r="I171" s="2" t="str">
        <x:v>Q</x:v>
      </x:c>
      <x:c r="J171" s="14" t="n">
        <x:f>IF(F171="",E171-'Басшы жуўмағы'!$B$6,F171-'Басшы жуўмағы'!$B$6)</x:f>
        <x:v>46616</x:v>
      </x:c>
      <x:c r="K171" s="2" t="str">
        <x:f>IF(AND(G171=1,ISNUMBER(F171)),"Расталды","Растаў керек")</x:f>
        <x:v>Растаў керек</x:v>
      </x:c>
    </x:row>
    <x:row r="172" ht="48" customHeight="1">
      <x:c r="A172" s="2" t="n">
        <x:v>165</x:v>
      </x:c>
      <x:c r="B172" s="2" t="str">
        <x:v>2027-08</x:v>
      </x:c>
      <x:c r="C172" s="2" t="n">
        <x:v>12</x:v>
      </x:c>
      <x:c r="D172" s="13" t="str">
        <x:v>Пайда салығы авансы</x:v>
      </x:c>
      <x:c r="E172" s="14" t="n">
        <x:v>46622</x:v>
      </x:c>
      <x:c r="F172" s="12"/>
      <x:c r="G172" s="11" t="n">
        <x:v>0</x:v>
      </x:c>
      <x:c r="H172" s="13" t="str">
        <x:v>20 млрд сум шеги ҳәм басқа шартларды тексериў</x:v>
      </x:c>
      <x:c r="I172" s="2" t="str">
        <x:v>M</x:v>
      </x:c>
      <x:c r="J172" s="14" t="n">
        <x:f>IF(F172="",E172-'Басшы жуўмағы'!$B$6,F172-'Басшы жуўмағы'!$B$6)</x:f>
        <x:v>46619</x:v>
      </x:c>
      <x:c r="K172" s="2" t="str">
        <x:f>IF(AND(G172=1,ISNUMBER(F172)),"Расталды","Растаў керек")</x:f>
        <x:v>Растаў керек</x:v>
      </x:c>
    </x:row>
    <x:row r="173" ht="48" customHeight="1">
      <x:c r="A173" s="2" t="n">
        <x:v>166</x:v>
      </x:c>
      <x:c r="B173" s="2" t="str">
        <x:v>2027-08</x:v>
      </x:c>
      <x:c r="C173" s="2" t="n">
        <x:v>13</x:v>
      </x:c>
      <x:c r="D173" s="13" t="str">
        <x:v>Мүлк салығы айлық авансы</x:v>
      </x:c>
      <x:c r="E173" s="14" t="n">
        <x:v>46609</x:v>
      </x:c>
      <x:c r="F173" s="12"/>
      <x:c r="G173" s="11" t="n">
        <x:v>0</x:v>
      </x:c>
      <x:c r="H173" s="13" t="str">
        <x:v>Айланба төлеўшилерден басқа; 1/12</x:v>
      </x:c>
      <x:c r="I173" s="2" t="str">
        <x:v>J</x:v>
      </x:c>
      <x:c r="J173" s="14" t="n">
        <x:f>IF(F173="",E173-'Басшы жуўмағы'!$B$6,F173-'Басшы жуўмағы'!$B$6)</x:f>
        <x:v>46606</x:v>
      </x:c>
      <x:c r="K173" s="2" t="str">
        <x:f>IF(AND(G173=1,ISNUMBER(F173)),"Расталды","Растаў керек")</x:f>
        <x:v>Растаў керек</x:v>
      </x:c>
    </x:row>
    <x:row r="174" ht="48" customHeight="1">
      <x:c r="A174" s="2" t="n">
        <x:v>167</x:v>
      </x:c>
      <x:c r="B174" s="2" t="str">
        <x:v>2027-08</x:v>
      </x:c>
      <x:c r="C174" s="2" t="n">
        <x:v>14</x:v>
      </x:c>
      <x:c r="D174" s="13" t="str">
        <x:v>Жер салығы айлық төлеми</x:v>
      </x:c>
      <x:c r="E174" s="14" t="n">
        <x:v>46609</x:v>
      </x:c>
      <x:c r="F174" s="12"/>
      <x:c r="G174" s="11" t="n">
        <x:v>0</x:v>
      </x:c>
      <x:c r="H174" s="13" t="str">
        <x:v>Аўыл хожалығы емес жер; айланба емес; 1/12</x:v>
      </x:c>
      <x:c r="I174" s="2" t="str">
        <x:v>K</x:v>
      </x:c>
      <x:c r="J174" s="14" t="n">
        <x:f>IF(F174="",E174-'Басшы жуўмағы'!$B$6,F174-'Басшы жуўмағы'!$B$6)</x:f>
        <x:v>46606</x:v>
      </x:c>
      <x:c r="K174" s="2" t="str">
        <x:f>IF(AND(G174=1,ISNUMBER(F174)),"Расталды","Растаў керек")</x:f>
        <x:v>Растаў керек</x:v>
      </x:c>
    </x:row>
    <x:row r="175" ht="48" customHeight="1">
      <x:c r="A175" s="2" t="n">
        <x:v>168</x:v>
      </x:c>
      <x:c r="B175" s="2" t="str">
        <x:v>2027-08</x:v>
      </x:c>
      <x:c r="C175" s="2" t="n">
        <x:v>15</x:v>
      </x:c>
      <x:c r="D175" s="13" t="str">
        <x:v>Суў салығы айлық авансы</x:v>
      </x:c>
      <x:c r="E175" s="14" t="n">
        <x:v>46619</x:v>
      </x:c>
      <x:c r="F175" s="12"/>
      <x:c r="G175" s="11" t="n">
        <x:v>0</x:v>
      </x:c>
      <x:c r="H175" s="13" t="str">
        <x:v>Айланба емес; жыллық салық &gt;200 БҲМ; 1/12</x:v>
      </x:c>
      <x:c r="I175" s="2" t="str">
        <x:v>V</x:v>
      </x:c>
      <x:c r="J175" s="14" t="n">
        <x:f>IF(F175="",E175-'Басшы жуўмағы'!$B$6,F175-'Басшы жуўмағы'!$B$6)</x:f>
        <x:v>46616</x:v>
      </x:c>
      <x:c r="K175" s="2" t="str">
        <x:f>IF(AND(G175=1,ISNUMBER(F175)),"Расталды","Растаў керек")</x:f>
        <x:v>Растаў керек</x:v>
      </x:c>
    </x:row>
    <x:row r="176" ht="48" customHeight="1">
      <x:c r="A176" s="2" t="n">
        <x:v>169</x:v>
      </x:c>
      <x:c r="B176" s="2" t="str">
        <x:v>2027-08</x:v>
      </x:c>
      <x:c r="C176" s="2" t="n">
        <x:v>1</x:v>
      </x:c>
      <x:c r="D176" s="13" t="str">
        <x:v>ҚҚС есабаты</x:v>
      </x:c>
      <x:c r="E176" s="14" t="n">
        <x:v>46650</x:v>
      </x:c>
      <x:c r="F176" s="12"/>
      <x:c r="G176" s="11" t="n">
        <x:v>0</x:v>
      </x:c>
      <x:c r="H176" s="13" t="str">
        <x:v>ҚҚС төлеўши</x:v>
      </x:c>
      <x:c r="I176" s="2" t="str">
        <x:v>F</x:v>
      </x:c>
      <x:c r="J176" s="14" t="n">
        <x:f>IF(F176="",E176-'Басшы жуўмағы'!$B$6,F176-'Басшы жуўмағы'!$B$6)</x:f>
        <x:v>46647</x:v>
      </x:c>
      <x:c r="K176" s="2" t="str">
        <x:f>IF(AND(G176=1,ISNUMBER(F176)),"Расталды","Растаў керек")</x:f>
        <x:v>Растаў керек</x:v>
      </x:c>
    </x:row>
    <x:row r="177" ht="48" customHeight="1">
      <x:c r="A177" s="2" t="n">
        <x:v>170</x:v>
      </x:c>
      <x:c r="B177" s="2" t="str">
        <x:v>2027-08</x:v>
      </x:c>
      <x:c r="C177" s="2" t="n">
        <x:v>2</x:v>
      </x:c>
      <x:c r="D177" s="13" t="str">
        <x:v>ҚҚС төлеми</x:v>
      </x:c>
      <x:c r="E177" s="14" t="n">
        <x:v>46650</x:v>
      </x:c>
      <x:c r="F177" s="12"/>
      <x:c r="G177" s="11" t="n">
        <x:v>0</x:v>
      </x:c>
      <x:c r="H177" s="13" t="str">
        <x:v>Есапланған салық бойынша</x:v>
      </x:c>
      <x:c r="I177" s="2" t="str">
        <x:v>F</x:v>
      </x:c>
      <x:c r="J177" s="14" t="n">
        <x:f>IF(F177="",E177-'Басшы жуўмағы'!$B$6,F177-'Басшы жуўмағы'!$B$6)</x:f>
        <x:v>46647</x:v>
      </x:c>
      <x:c r="K177" s="2" t="str">
        <x:f>IF(AND(G177=1,ISNUMBER(F177)),"Расталды","Растаў керек")</x:f>
        <x:v>Растаў керек</x:v>
      </x:c>
    </x:row>
    <x:row r="178" ht="48" customHeight="1">
      <x:c r="A178" s="2" t="n">
        <x:v>171</x:v>
      </x:c>
      <x:c r="B178" s="2" t="str">
        <x:v>2027-08</x:v>
      </x:c>
      <x:c r="C178" s="2" t="n">
        <x:v>3</x:v>
      </x:c>
      <x:c r="D178" s="13" t="str">
        <x:v>Айланба салығы есабаты</x:v>
      </x:c>
      <x:c r="E178" s="14" t="n">
        <x:v>46645</x:v>
      </x:c>
      <x:c r="F178" s="12"/>
      <x:c r="G178" s="11" t="n">
        <x:v>0</x:v>
      </x:c>
      <x:c r="H178" s="13" t="str">
        <x:v>Айланба салығы төлеўши</x:v>
      </x:c>
      <x:c r="I178" s="2" t="str">
        <x:v>G</x:v>
      </x:c>
      <x:c r="J178" s="14" t="n">
        <x:f>IF(F178="",E178-'Басшы жуўмағы'!$B$6,F178-'Басшы жуўмағы'!$B$6)</x:f>
        <x:v>46642</x:v>
      </x:c>
      <x:c r="K178" s="2" t="str">
        <x:f>IF(AND(G178=1,ISNUMBER(F178)),"Расталды","Растаў керек")</x:f>
        <x:v>Растаў керек</x:v>
      </x:c>
    </x:row>
    <x:row r="179" ht="48" customHeight="1">
      <x:c r="A179" s="2" t="n">
        <x:v>172</x:v>
      </x:c>
      <x:c r="B179" s="2" t="str">
        <x:v>2027-08</x:v>
      </x:c>
      <x:c r="C179" s="2" t="n">
        <x:v>4</x:v>
      </x:c>
      <x:c r="D179" s="13" t="str">
        <x:v>Айланба салығы төлеми</x:v>
      </x:c>
      <x:c r="E179" s="14" t="n">
        <x:v>46645</x:v>
      </x:c>
      <x:c r="F179" s="12"/>
      <x:c r="G179" s="11" t="n">
        <x:v>0</x:v>
      </x:c>
      <x:c r="H179" s="13" t="str">
        <x:v>Салық суммасы бойынша</x:v>
      </x:c>
      <x:c r="I179" s="2" t="str">
        <x:v>G</x:v>
      </x:c>
      <x:c r="J179" s="14" t="n">
        <x:f>IF(F179="",E179-'Басшы жуўмағы'!$B$6,F179-'Басшы жуўмағы'!$B$6)</x:f>
        <x:v>46642</x:v>
      </x:c>
      <x:c r="K179" s="2" t="str">
        <x:f>IF(AND(G179=1,ISNUMBER(F179)),"Расталды","Растаў керек")</x:f>
        <x:v>Растаў керек</x:v>
      </x:c>
    </x:row>
    <x:row r="180" ht="48" customHeight="1">
      <x:c r="A180" s="2" t="n">
        <x:v>173</x:v>
      </x:c>
      <x:c r="B180" s="2" t="str">
        <x:v>2027-08</x:v>
      </x:c>
      <x:c r="C180" s="2" t="n">
        <x:v>5</x:v>
      </x:c>
      <x:c r="D180" s="13" t="str">
        <x:v>Дәрамат салығы есабаты</x:v>
      </x:c>
      <x:c r="E180" s="14" t="n">
        <x:v>46645</x:v>
      </x:c>
      <x:c r="F180" s="12"/>
      <x:c r="G180" s="11" t="n">
        <x:v>0</x:v>
      </x:c>
      <x:c r="H180" s="13" t="str">
        <x:v>Салық агенти</x:v>
      </x:c>
      <x:c r="I180" s="2" t="str">
        <x:v>I</x:v>
      </x:c>
      <x:c r="J180" s="14" t="n">
        <x:f>IF(F180="",E180-'Басшы жуўмағы'!$B$6,F180-'Басшы жуўмағы'!$B$6)</x:f>
        <x:v>46642</x:v>
      </x:c>
      <x:c r="K180" s="2" t="str">
        <x:f>IF(AND(G180=1,ISNUMBER(F180)),"Расталды","Растаў керек")</x:f>
        <x:v>Растаў керек</x:v>
      </x:c>
    </x:row>
    <x:row r="181" ht="48" customHeight="1">
      <x:c r="A181" s="2" t="n">
        <x:v>174</x:v>
      </x:c>
      <x:c r="B181" s="2" t="str">
        <x:v>2027-08</x:v>
      </x:c>
      <x:c r="C181" s="2" t="n">
        <x:v>6</x:v>
      </x:c>
      <x:c r="D181" s="13" t="str">
        <x:v>Социаллық салық есабаты</x:v>
      </x:c>
      <x:c r="E181" s="14" t="n">
        <x:v>46645</x:v>
      </x:c>
      <x:c r="F181" s="12"/>
      <x:c r="G181" s="11" t="n">
        <x:v>0</x:v>
      </x:c>
      <x:c r="H181" s="13" t="str">
        <x:v>Айлық салықлары тийисли</x:v>
      </x:c>
      <x:c r="I181" s="2" t="str">
        <x:v>I</x:v>
      </x:c>
      <x:c r="J181" s="14" t="n">
        <x:f>IF(F181="",E181-'Басшы жуўмағы'!$B$6,F181-'Басшы жуўмағы'!$B$6)</x:f>
        <x:v>46642</x:v>
      </x:c>
      <x:c r="K181" s="2" t="str">
        <x:f>IF(AND(G181=1,ISNUMBER(F181)),"Расталды","Растаў керек")</x:f>
        <x:v>Растаў керек</x:v>
      </x:c>
    </x:row>
    <x:row r="182" ht="48" customHeight="1">
      <x:c r="A182" s="2" t="n">
        <x:v>175</x:v>
      </x:c>
      <x:c r="B182" s="2" t="str">
        <x:v>2027-08</x:v>
      </x:c>
      <x:c r="C182" s="2" t="n">
        <x:v>7</x:v>
      </x:c>
      <x:c r="D182" s="13" t="str">
        <x:v>Социаллық салық төлеми</x:v>
      </x:c>
      <x:c r="E182" s="14" t="n">
        <x:v>46645</x:v>
      </x:c>
      <x:c r="F182" s="12"/>
      <x:c r="G182" s="11" t="n">
        <x:v>0</x:v>
      </x:c>
      <x:c r="H182" s="13" t="str">
        <x:v>Салық суммасы бойынша</x:v>
      </x:c>
      <x:c r="I182" s="2" t="str">
        <x:v>I</x:v>
      </x:c>
      <x:c r="J182" s="14" t="n">
        <x:f>IF(F182="",E182-'Басшы жуўмағы'!$B$6,F182-'Басшы жуўмағы'!$B$6)</x:f>
        <x:v>46642</x:v>
      </x:c>
      <x:c r="K182" s="2" t="str">
        <x:f>IF(AND(G182=1,ISNUMBER(F182)),"Расталды","Растаў керек")</x:f>
        <x:v>Растаў керек</x:v>
      </x:c>
    </x:row>
    <x:row r="183" ht="48" customHeight="1">
      <x:c r="A183" s="2" t="n">
        <x:v>176</x:v>
      </x:c>
      <x:c r="B183" s="2" t="str">
        <x:v>2027-08</x:v>
      </x:c>
      <x:c r="C183" s="2" t="n">
        <x:v>8</x:v>
      </x:c>
      <x:c r="D183" s="13" t="str">
        <x:v>Акциз есабаты ҳәм төлемин тексериў</x:v>
      </x:c>
      <x:c r="E183" s="14" t="n">
        <x:v>46640</x:v>
      </x:c>
      <x:c r="F183" s="12"/>
      <x:c r="G183" s="11" t="n">
        <x:v>0</x:v>
      </x:c>
      <x:c r="H183" s="13" t="str">
        <x:v>Акциз төлеўши</x:v>
      </x:c>
      <x:c r="I183" s="2" t="str">
        <x:v>N</x:v>
      </x:c>
      <x:c r="J183" s="14" t="n">
        <x:f>IF(F183="",E183-'Басшы жуўмағы'!$B$6,F183-'Басшы жуўмағы'!$B$6)</x:f>
        <x:v>46637</x:v>
      </x:c>
      <x:c r="K183" s="2" t="str">
        <x:f>IF(AND(G183=1,ISNUMBER(F183)),"Расталды","Растаў керек")</x:f>
        <x:v>Растаў керек</x:v>
      </x:c>
    </x:row>
    <x:row r="184" ht="48" customHeight="1">
      <x:c r="A184" s="2" t="n">
        <x:v>177</x:v>
      </x:c>
      <x:c r="B184" s="2" t="str">
        <x:v>2027-08</x:v>
      </x:c>
      <x:c r="C184" s="2" t="n">
        <x:v>9</x:v>
      </x:c>
      <x:c r="D184" s="13" t="str">
        <x:v>Дивиденд ҳәм процент салығы есабаты</x:v>
      </x:c>
      <x:c r="E184" s="14" t="n">
        <x:v>46650</x:v>
      </x:c>
      <x:c r="F184" s="12"/>
      <x:c r="G184" s="11" t="n">
        <x:v>0</x:v>
      </x:c>
      <x:c r="H184" s="13" t="str">
        <x:v>Дивиденд / процент есапланған болса</x:v>
      </x:c>
      <x:c r="I184" s="2" t="str">
        <x:v>O</x:v>
      </x:c>
      <x:c r="J184" s="14" t="n">
        <x:f>IF(F184="",E184-'Басшы жуўмағы'!$B$6,F184-'Басшы жуўмағы'!$B$6)</x:f>
        <x:v>46647</x:v>
      </x:c>
      <x:c r="K184" s="2" t="str">
        <x:f>IF(AND(G184=1,ISNUMBER(F184)),"Расталды","Растаў керек")</x:f>
        <x:v>Растаў керек</x:v>
      </x:c>
    </x:row>
    <x:row r="185" ht="48" customHeight="1">
      <x:c r="A185" s="2" t="n">
        <x:v>178</x:v>
      </x:c>
      <x:c r="B185" s="2" t="str">
        <x:v>2027-08</x:v>
      </x:c>
      <x:c r="C185" s="2" t="n">
        <x:v>10</x:v>
      </x:c>
      <x:c r="D185" s="13" t="str">
        <x:v>Норезидент дәраматы салығы есабаты</x:v>
      </x:c>
      <x:c r="E185" s="14" t="n">
        <x:v>46650</x:v>
      </x:c>
      <x:c r="F185" s="12"/>
      <x:c r="G185" s="11" t="n">
        <x:v>0</x:v>
      </x:c>
      <x:c r="H185" s="13" t="str">
        <x:v>Тийисли төлемлер болса</x:v>
      </x:c>
      <x:c r="I185" s="2" t="str">
        <x:v>P</x:v>
      </x:c>
      <x:c r="J185" s="14" t="n">
        <x:f>IF(F185="",E185-'Басшы жуўмағы'!$B$6,F185-'Басшы жуўмағы'!$B$6)</x:f>
        <x:v>46647</x:v>
      </x:c>
      <x:c r="K185" s="2" t="str">
        <x:f>IF(AND(G185=1,ISNUMBER(F185)),"Расталды","Растаў керек")</x:f>
        <x:v>Растаў керек</x:v>
      </x:c>
    </x:row>
    <x:row r="186" ht="48" customHeight="1">
      <x:c r="A186" s="2" t="n">
        <x:v>179</x:v>
      </x:c>
      <x:c r="B186" s="2" t="str">
        <x:v>2027-08</x:v>
      </x:c>
      <x:c r="C186" s="2" t="n">
        <x:v>11</x:v>
      </x:c>
      <x:c r="D186" s="13" t="str">
        <x:v>Жер қойнаўынан пайдаланыў есабаты</x:v>
      </x:c>
      <x:c r="E186" s="14" t="n">
        <x:v>46650</x:v>
      </x:c>
      <x:c r="F186" s="12"/>
      <x:c r="G186" s="11" t="n">
        <x:v>0</x:v>
      </x:c>
      <x:c r="H186" s="13" t="str">
        <x:v>Жер қойнауы ресурсы бойынша</x:v>
      </x:c>
      <x:c r="I186" s="2" t="str">
        <x:v>Q</x:v>
      </x:c>
      <x:c r="J186" s="14" t="n">
        <x:f>IF(F186="",E186-'Басшы жуўмағы'!$B$6,F186-'Басшы жуўмағы'!$B$6)</x:f>
        <x:v>46647</x:v>
      </x:c>
      <x:c r="K186" s="2" t="str">
        <x:f>IF(AND(G186=1,ISNUMBER(F186)),"Расталды","Растаў керек")</x:f>
        <x:v>Растаў керек</x:v>
      </x:c>
    </x:row>
    <x:row r="187" ht="48" customHeight="1">
      <x:c r="A187" s="2" t="n">
        <x:v>180</x:v>
      </x:c>
      <x:c r="B187" s="2" t="str">
        <x:v>2027-09</x:v>
      </x:c>
      <x:c r="C187" s="2" t="n">
        <x:v>12</x:v>
      </x:c>
      <x:c r="D187" s="13" t="str">
        <x:v>Пайда салығы авансы</x:v>
      </x:c>
      <x:c r="E187" s="14" t="n">
        <x:v>46653</x:v>
      </x:c>
      <x:c r="F187" s="12"/>
      <x:c r="G187" s="11" t="n">
        <x:v>0</x:v>
      </x:c>
      <x:c r="H187" s="13" t="str">
        <x:v>20 млрд сум шеги ҳәм басқа шартларды тексериў</x:v>
      </x:c>
      <x:c r="I187" s="2" t="str">
        <x:v>M</x:v>
      </x:c>
      <x:c r="J187" s="14" t="n">
        <x:f>IF(F187="",E187-'Басшы жуўмағы'!$B$6,F187-'Басшы жуўмағы'!$B$6)</x:f>
        <x:v>46650</x:v>
      </x:c>
      <x:c r="K187" s="2" t="str">
        <x:f>IF(AND(G187=1,ISNUMBER(F187)),"Расталды","Растаў керек")</x:f>
        <x:v>Растаў керек</x:v>
      </x:c>
    </x:row>
    <x:row r="188" ht="48" customHeight="1">
      <x:c r="A188" s="2" t="n">
        <x:v>181</x:v>
      </x:c>
      <x:c r="B188" s="2" t="str">
        <x:v>2027-09</x:v>
      </x:c>
      <x:c r="C188" s="2" t="n">
        <x:v>13</x:v>
      </x:c>
      <x:c r="D188" s="13" t="str">
        <x:v>Мүлк салығы айлық авансы</x:v>
      </x:c>
      <x:c r="E188" s="14" t="n">
        <x:v>46640</x:v>
      </x:c>
      <x:c r="F188" s="12"/>
      <x:c r="G188" s="11" t="n">
        <x:v>0</x:v>
      </x:c>
      <x:c r="H188" s="13" t="str">
        <x:v>Айланба төлеўшилерден басқа; 1/12</x:v>
      </x:c>
      <x:c r="I188" s="2" t="str">
        <x:v>J</x:v>
      </x:c>
      <x:c r="J188" s="14" t="n">
        <x:f>IF(F188="",E188-'Басшы жуўмағы'!$B$6,F188-'Басшы жуўмағы'!$B$6)</x:f>
        <x:v>46637</x:v>
      </x:c>
      <x:c r="K188" s="2" t="str">
        <x:f>IF(AND(G188=1,ISNUMBER(F188)),"Расталды","Растаў керек")</x:f>
        <x:v>Растаў керек</x:v>
      </x:c>
    </x:row>
    <x:row r="189" ht="48" customHeight="1">
      <x:c r="A189" s="2" t="n">
        <x:v>182</x:v>
      </x:c>
      <x:c r="B189" s="2" t="str">
        <x:v>2027-09</x:v>
      </x:c>
      <x:c r="C189" s="2" t="n">
        <x:v>14</x:v>
      </x:c>
      <x:c r="D189" s="13" t="str">
        <x:v>Жер салығы айлық төлеми</x:v>
      </x:c>
      <x:c r="E189" s="14" t="n">
        <x:v>46640</x:v>
      </x:c>
      <x:c r="F189" s="12"/>
      <x:c r="G189" s="11" t="n">
        <x:v>0</x:v>
      </x:c>
      <x:c r="H189" s="13" t="str">
        <x:v>Аўыл хожалығы емес жер; айланба емес; 1/12</x:v>
      </x:c>
      <x:c r="I189" s="2" t="str">
        <x:v>K</x:v>
      </x:c>
      <x:c r="J189" s="14" t="n">
        <x:f>IF(F189="",E189-'Басшы жуўмағы'!$B$6,F189-'Басшы жуўмағы'!$B$6)</x:f>
        <x:v>46637</x:v>
      </x:c>
      <x:c r="K189" s="2" t="str">
        <x:f>IF(AND(G189=1,ISNUMBER(F189)),"Расталды","Растаў керек")</x:f>
        <x:v>Растаў керек</x:v>
      </x:c>
    </x:row>
    <x:row r="190" ht="48" customHeight="1">
      <x:c r="A190" s="2" t="n">
        <x:v>183</x:v>
      </x:c>
      <x:c r="B190" s="2" t="str">
        <x:v>2027-09</x:v>
      </x:c>
      <x:c r="C190" s="2" t="n">
        <x:v>15</x:v>
      </x:c>
      <x:c r="D190" s="13" t="str">
        <x:v>Суў салығы айлық авансы</x:v>
      </x:c>
      <x:c r="E190" s="14" t="n">
        <x:v>46650</x:v>
      </x:c>
      <x:c r="F190" s="12"/>
      <x:c r="G190" s="11" t="n">
        <x:v>0</x:v>
      </x:c>
      <x:c r="H190" s="13" t="str">
        <x:v>Айланба емес; жыллық салық &gt;200 БҲМ; 1/12</x:v>
      </x:c>
      <x:c r="I190" s="2" t="str">
        <x:v>V</x:v>
      </x:c>
      <x:c r="J190" s="14" t="n">
        <x:f>IF(F190="",E190-'Басшы жуўмағы'!$B$6,F190-'Басшы жуўмағы'!$B$6)</x:f>
        <x:v>46647</x:v>
      </x:c>
      <x:c r="K190" s="2" t="str">
        <x:f>IF(AND(G190=1,ISNUMBER(F190)),"Расталды","Растаў керек")</x:f>
        <x:v>Растаў керек</x:v>
      </x:c>
    </x:row>
    <x:row r="191" ht="48" customHeight="1">
      <x:c r="A191" s="2" t="n">
        <x:v>184</x:v>
      </x:c>
      <x:c r="B191" s="2" t="str">
        <x:v>2027-09</x:v>
      </x:c>
      <x:c r="C191" s="2" t="n">
        <x:v>1</x:v>
      </x:c>
      <x:c r="D191" s="13" t="str">
        <x:v>ҚҚС есабаты</x:v>
      </x:c>
      <x:c r="E191" s="14" t="n">
        <x:v>46680</x:v>
      </x:c>
      <x:c r="F191" s="12"/>
      <x:c r="G191" s="11" t="n">
        <x:v>0</x:v>
      </x:c>
      <x:c r="H191" s="13" t="str">
        <x:v>ҚҚС төлеўши</x:v>
      </x:c>
      <x:c r="I191" s="2" t="str">
        <x:v>F</x:v>
      </x:c>
      <x:c r="J191" s="14" t="n">
        <x:f>IF(F191="",E191-'Басшы жуўмағы'!$B$6,F191-'Басшы жуўмағы'!$B$6)</x:f>
        <x:v>46677</x:v>
      </x:c>
      <x:c r="K191" s="2" t="str">
        <x:f>IF(AND(G191=1,ISNUMBER(F191)),"Расталды","Растаў керек")</x:f>
        <x:v>Растаў керек</x:v>
      </x:c>
    </x:row>
    <x:row r="192" ht="48" customHeight="1">
      <x:c r="A192" s="2" t="n">
        <x:v>185</x:v>
      </x:c>
      <x:c r="B192" s="2" t="str">
        <x:v>2027-09</x:v>
      </x:c>
      <x:c r="C192" s="2" t="n">
        <x:v>2</x:v>
      </x:c>
      <x:c r="D192" s="13" t="str">
        <x:v>ҚҚС төлеми</x:v>
      </x:c>
      <x:c r="E192" s="14" t="n">
        <x:v>46680</x:v>
      </x:c>
      <x:c r="F192" s="12"/>
      <x:c r="G192" s="11" t="n">
        <x:v>0</x:v>
      </x:c>
      <x:c r="H192" s="13" t="str">
        <x:v>Есапланған салық бойынша</x:v>
      </x:c>
      <x:c r="I192" s="2" t="str">
        <x:v>F</x:v>
      </x:c>
      <x:c r="J192" s="14" t="n">
        <x:f>IF(F192="",E192-'Басшы жуўмағы'!$B$6,F192-'Басшы жуўмағы'!$B$6)</x:f>
        <x:v>46677</x:v>
      </x:c>
      <x:c r="K192" s="2" t="str">
        <x:f>IF(AND(G192=1,ISNUMBER(F192)),"Расталды","Растаў керек")</x:f>
        <x:v>Растаў керек</x:v>
      </x:c>
    </x:row>
    <x:row r="193" ht="48" customHeight="1">
      <x:c r="A193" s="2" t="n">
        <x:v>186</x:v>
      </x:c>
      <x:c r="B193" s="2" t="str">
        <x:v>2027-09</x:v>
      </x:c>
      <x:c r="C193" s="2" t="n">
        <x:v>3</x:v>
      </x:c>
      <x:c r="D193" s="13" t="str">
        <x:v>Айланба салығы есабаты</x:v>
      </x:c>
      <x:c r="E193" s="14" t="n">
        <x:v>46675</x:v>
      </x:c>
      <x:c r="F193" s="12"/>
      <x:c r="G193" s="11" t="n">
        <x:v>0</x:v>
      </x:c>
      <x:c r="H193" s="13" t="str">
        <x:v>Айланба салығы төлеўши</x:v>
      </x:c>
      <x:c r="I193" s="2" t="str">
        <x:v>G</x:v>
      </x:c>
      <x:c r="J193" s="14" t="n">
        <x:f>IF(F193="",E193-'Басшы жуўмағы'!$B$6,F193-'Басшы жуўмағы'!$B$6)</x:f>
        <x:v>46672</x:v>
      </x:c>
      <x:c r="K193" s="2" t="str">
        <x:f>IF(AND(G193=1,ISNUMBER(F193)),"Расталды","Растаў керек")</x:f>
        <x:v>Растаў керек</x:v>
      </x:c>
    </x:row>
    <x:row r="194" ht="48" customHeight="1">
      <x:c r="A194" s="2" t="n">
        <x:v>187</x:v>
      </x:c>
      <x:c r="B194" s="2" t="str">
        <x:v>2027-09</x:v>
      </x:c>
      <x:c r="C194" s="2" t="n">
        <x:v>4</x:v>
      </x:c>
      <x:c r="D194" s="13" t="str">
        <x:v>Айланба салығы төлеми</x:v>
      </x:c>
      <x:c r="E194" s="14" t="n">
        <x:v>46675</x:v>
      </x:c>
      <x:c r="F194" s="12"/>
      <x:c r="G194" s="11" t="n">
        <x:v>0</x:v>
      </x:c>
      <x:c r="H194" s="13" t="str">
        <x:v>Салық суммасы бойынша</x:v>
      </x:c>
      <x:c r="I194" s="2" t="str">
        <x:v>G</x:v>
      </x:c>
      <x:c r="J194" s="14" t="n">
        <x:f>IF(F194="",E194-'Басшы жуўмағы'!$B$6,F194-'Басшы жуўмағы'!$B$6)</x:f>
        <x:v>46672</x:v>
      </x:c>
      <x:c r="K194" s="2" t="str">
        <x:f>IF(AND(G194=1,ISNUMBER(F194)),"Расталды","Растаў керек")</x:f>
        <x:v>Растаў керек</x:v>
      </x:c>
    </x:row>
    <x:row r="195" ht="48" customHeight="1">
      <x:c r="A195" s="2" t="n">
        <x:v>188</x:v>
      </x:c>
      <x:c r="B195" s="2" t="str">
        <x:v>2027-09</x:v>
      </x:c>
      <x:c r="C195" s="2" t="n">
        <x:v>5</x:v>
      </x:c>
      <x:c r="D195" s="13" t="str">
        <x:v>Дәрамат салығы есабаты</x:v>
      </x:c>
      <x:c r="E195" s="14" t="n">
        <x:v>46675</x:v>
      </x:c>
      <x:c r="F195" s="12"/>
      <x:c r="G195" s="11" t="n">
        <x:v>0</x:v>
      </x:c>
      <x:c r="H195" s="13" t="str">
        <x:v>Салық агенти</x:v>
      </x:c>
      <x:c r="I195" s="2" t="str">
        <x:v>I</x:v>
      </x:c>
      <x:c r="J195" s="14" t="n">
        <x:f>IF(F195="",E195-'Басшы жуўмағы'!$B$6,F195-'Басшы жуўмағы'!$B$6)</x:f>
        <x:v>46672</x:v>
      </x:c>
      <x:c r="K195" s="2" t="str">
        <x:f>IF(AND(G195=1,ISNUMBER(F195)),"Расталды","Растаў керек")</x:f>
        <x:v>Растаў керек</x:v>
      </x:c>
    </x:row>
    <x:row r="196" ht="48" customHeight="1">
      <x:c r="A196" s="2" t="n">
        <x:v>189</x:v>
      </x:c>
      <x:c r="B196" s="2" t="str">
        <x:v>2027-09</x:v>
      </x:c>
      <x:c r="C196" s="2" t="n">
        <x:v>6</x:v>
      </x:c>
      <x:c r="D196" s="13" t="str">
        <x:v>Социаллық салық есабаты</x:v>
      </x:c>
      <x:c r="E196" s="14" t="n">
        <x:v>46675</x:v>
      </x:c>
      <x:c r="F196" s="12"/>
      <x:c r="G196" s="11" t="n">
        <x:v>0</x:v>
      </x:c>
      <x:c r="H196" s="13" t="str">
        <x:v>Айлық салықлары тийисли</x:v>
      </x:c>
      <x:c r="I196" s="2" t="str">
        <x:v>I</x:v>
      </x:c>
      <x:c r="J196" s="14" t="n">
        <x:f>IF(F196="",E196-'Басшы жуўмағы'!$B$6,F196-'Басшы жуўмағы'!$B$6)</x:f>
        <x:v>46672</x:v>
      </x:c>
      <x:c r="K196" s="2" t="str">
        <x:f>IF(AND(G196=1,ISNUMBER(F196)),"Расталды","Растаў керек")</x:f>
        <x:v>Растаў керек</x:v>
      </x:c>
    </x:row>
    <x:row r="197" ht="48" customHeight="1">
      <x:c r="A197" s="2" t="n">
        <x:v>190</x:v>
      </x:c>
      <x:c r="B197" s="2" t="str">
        <x:v>2027-09</x:v>
      </x:c>
      <x:c r="C197" s="2" t="n">
        <x:v>7</x:v>
      </x:c>
      <x:c r="D197" s="13" t="str">
        <x:v>Социаллық салық төлеми</x:v>
      </x:c>
      <x:c r="E197" s="14" t="n">
        <x:v>46675</x:v>
      </x:c>
      <x:c r="F197" s="12"/>
      <x:c r="G197" s="11" t="n">
        <x:v>0</x:v>
      </x:c>
      <x:c r="H197" s="13" t="str">
        <x:v>Салық суммасы бойынша</x:v>
      </x:c>
      <x:c r="I197" s="2" t="str">
        <x:v>I</x:v>
      </x:c>
      <x:c r="J197" s="14" t="n">
        <x:f>IF(F197="",E197-'Басшы жуўмағы'!$B$6,F197-'Басшы жуўмағы'!$B$6)</x:f>
        <x:v>46672</x:v>
      </x:c>
      <x:c r="K197" s="2" t="str">
        <x:f>IF(AND(G197=1,ISNUMBER(F197)),"Расталды","Растаў керек")</x:f>
        <x:v>Растаў керек</x:v>
      </x:c>
    </x:row>
    <x:row r="198" ht="48" customHeight="1">
      <x:c r="A198" s="2" t="n">
        <x:v>191</x:v>
      </x:c>
      <x:c r="B198" s="2" t="str">
        <x:v>2027-09</x:v>
      </x:c>
      <x:c r="C198" s="2" t="n">
        <x:v>8</x:v>
      </x:c>
      <x:c r="D198" s="13" t="str">
        <x:v>Акциз есабаты ҳәм төлемин тексериў</x:v>
      </x:c>
      <x:c r="E198" s="14" t="n">
        <x:v>46670</x:v>
      </x:c>
      <x:c r="F198" s="12"/>
      <x:c r="G198" s="11" t="n">
        <x:v>0</x:v>
      </x:c>
      <x:c r="H198" s="13" t="str">
        <x:v>Акциз төлеўши</x:v>
      </x:c>
      <x:c r="I198" s="2" t="str">
        <x:v>N</x:v>
      </x:c>
      <x:c r="J198" s="14" t="n">
        <x:f>IF(F198="",E198-'Басшы жуўмағы'!$B$6,F198-'Басшы жуўмағы'!$B$6)</x:f>
        <x:v>46667</x:v>
      </x:c>
      <x:c r="K198" s="2" t="str">
        <x:f>IF(AND(G198=1,ISNUMBER(F198)),"Расталды","Растаў керек")</x:f>
        <x:v>Растаў керек</x:v>
      </x:c>
    </x:row>
    <x:row r="199" ht="48" customHeight="1">
      <x:c r="A199" s="2" t="n">
        <x:v>192</x:v>
      </x:c>
      <x:c r="B199" s="2" t="str">
        <x:v>2027-09</x:v>
      </x:c>
      <x:c r="C199" s="2" t="n">
        <x:v>9</x:v>
      </x:c>
      <x:c r="D199" s="13" t="str">
        <x:v>Дивиденд ҳәм процент салығы есабаты</x:v>
      </x:c>
      <x:c r="E199" s="14" t="n">
        <x:v>46680</x:v>
      </x:c>
      <x:c r="F199" s="12"/>
      <x:c r="G199" s="11" t="n">
        <x:v>0</x:v>
      </x:c>
      <x:c r="H199" s="13" t="str">
        <x:v>Дивиденд / процент есапланған болса</x:v>
      </x:c>
      <x:c r="I199" s="2" t="str">
        <x:v>O</x:v>
      </x:c>
      <x:c r="J199" s="14" t="n">
        <x:f>IF(F199="",E199-'Басшы жуўмағы'!$B$6,F199-'Басшы жуўмағы'!$B$6)</x:f>
        <x:v>46677</x:v>
      </x:c>
      <x:c r="K199" s="2" t="str">
        <x:f>IF(AND(G199=1,ISNUMBER(F199)),"Расталды","Растаў керек")</x:f>
        <x:v>Растаў керек</x:v>
      </x:c>
    </x:row>
    <x:row r="200" ht="48" customHeight="1">
      <x:c r="A200" s="2" t="n">
        <x:v>193</x:v>
      </x:c>
      <x:c r="B200" s="2" t="str">
        <x:v>2027-09</x:v>
      </x:c>
      <x:c r="C200" s="2" t="n">
        <x:v>10</x:v>
      </x:c>
      <x:c r="D200" s="13" t="str">
        <x:v>Норезидент дәраматы салығы есабаты</x:v>
      </x:c>
      <x:c r="E200" s="14" t="n">
        <x:v>46680</x:v>
      </x:c>
      <x:c r="F200" s="12"/>
      <x:c r="G200" s="11" t="n">
        <x:v>0</x:v>
      </x:c>
      <x:c r="H200" s="13" t="str">
        <x:v>Тийисли төлемлер болса</x:v>
      </x:c>
      <x:c r="I200" s="2" t="str">
        <x:v>P</x:v>
      </x:c>
      <x:c r="J200" s="14" t="n">
        <x:f>IF(F200="",E200-'Басшы жуўмағы'!$B$6,F200-'Басшы жуўмағы'!$B$6)</x:f>
        <x:v>46677</x:v>
      </x:c>
      <x:c r="K200" s="2" t="str">
        <x:f>IF(AND(G200=1,ISNUMBER(F200)),"Расталды","Растаў керек")</x:f>
        <x:v>Растаў керек</x:v>
      </x:c>
    </x:row>
    <x:row r="201" ht="48" customHeight="1">
      <x:c r="A201" s="2" t="n">
        <x:v>194</x:v>
      </x:c>
      <x:c r="B201" s="2" t="str">
        <x:v>2027-09</x:v>
      </x:c>
      <x:c r="C201" s="2" t="n">
        <x:v>11</x:v>
      </x:c>
      <x:c r="D201" s="13" t="str">
        <x:v>Жер қойнаўынан пайдаланыў есабаты</x:v>
      </x:c>
      <x:c r="E201" s="14" t="n">
        <x:v>46680</x:v>
      </x:c>
      <x:c r="F201" s="12"/>
      <x:c r="G201" s="11" t="n">
        <x:v>0</x:v>
      </x:c>
      <x:c r="H201" s="13" t="str">
        <x:v>Жер қойнауы ресурсы бойынша</x:v>
      </x:c>
      <x:c r="I201" s="2" t="str">
        <x:v>Q</x:v>
      </x:c>
      <x:c r="J201" s="14" t="n">
        <x:f>IF(F201="",E201-'Басшы жуўмағы'!$B$6,F201-'Басшы жуўмағы'!$B$6)</x:f>
        <x:v>46677</x:v>
      </x:c>
      <x:c r="K201" s="2" t="str">
        <x:f>IF(AND(G201=1,ISNUMBER(F201)),"Расталды","Растаў керек")</x:f>
        <x:v>Растаў керек</x:v>
      </x:c>
    </x:row>
    <x:row r="202" ht="48" customHeight="1">
      <x:c r="A202" s="2" t="n">
        <x:v>195</x:v>
      </x:c>
      <x:c r="B202" s="2" t="str">
        <x:v>2027-10</x:v>
      </x:c>
      <x:c r="C202" s="2" t="n">
        <x:v>12</x:v>
      </x:c>
      <x:c r="D202" s="13" t="str">
        <x:v>Пайда салығы авансы</x:v>
      </x:c>
      <x:c r="E202" s="14" t="n">
        <x:v>46683</x:v>
      </x:c>
      <x:c r="F202" s="12"/>
      <x:c r="G202" s="11" t="n">
        <x:v>0</x:v>
      </x:c>
      <x:c r="H202" s="13" t="str">
        <x:v>20 млрд сум шеги ҳәм басқа шартларды тексериў</x:v>
      </x:c>
      <x:c r="I202" s="2" t="str">
        <x:v>M</x:v>
      </x:c>
      <x:c r="J202" s="14" t="n">
        <x:f>IF(F202="",E202-'Басшы жуўмағы'!$B$6,F202-'Басшы жуўмағы'!$B$6)</x:f>
        <x:v>46680</x:v>
      </x:c>
      <x:c r="K202" s="2" t="str">
        <x:f>IF(AND(G202=1,ISNUMBER(F202)),"Расталды","Растаў керек")</x:f>
        <x:v>Растаў керек</x:v>
      </x:c>
    </x:row>
    <x:row r="203" ht="48" customHeight="1">
      <x:c r="A203" s="2" t="n">
        <x:v>196</x:v>
      </x:c>
      <x:c r="B203" s="2" t="str">
        <x:v>2027-10</x:v>
      </x:c>
      <x:c r="C203" s="2" t="n">
        <x:v>13</x:v>
      </x:c>
      <x:c r="D203" s="13" t="str">
        <x:v>Мүлк салығы айлық авансы</x:v>
      </x:c>
      <x:c r="E203" s="14" t="n">
        <x:v>46670</x:v>
      </x:c>
      <x:c r="F203" s="12"/>
      <x:c r="G203" s="11" t="n">
        <x:v>0</x:v>
      </x:c>
      <x:c r="H203" s="13" t="str">
        <x:v>Айланба төлеўшилерден басқа; 1/12</x:v>
      </x:c>
      <x:c r="I203" s="2" t="str">
        <x:v>J</x:v>
      </x:c>
      <x:c r="J203" s="14" t="n">
        <x:f>IF(F203="",E203-'Басшы жуўмағы'!$B$6,F203-'Басшы жуўмағы'!$B$6)</x:f>
        <x:v>46667</x:v>
      </x:c>
      <x:c r="K203" s="2" t="str">
        <x:f>IF(AND(G203=1,ISNUMBER(F203)),"Расталды","Растаў керек")</x:f>
        <x:v>Растаў керек</x:v>
      </x:c>
    </x:row>
    <x:row r="204" ht="48" customHeight="1">
      <x:c r="A204" s="2" t="n">
        <x:v>197</x:v>
      </x:c>
      <x:c r="B204" s="2" t="str">
        <x:v>2027-10</x:v>
      </x:c>
      <x:c r="C204" s="2" t="n">
        <x:v>14</x:v>
      </x:c>
      <x:c r="D204" s="13" t="str">
        <x:v>Жер салығы айлық төлеми</x:v>
      </x:c>
      <x:c r="E204" s="14" t="n">
        <x:v>46670</x:v>
      </x:c>
      <x:c r="F204" s="12"/>
      <x:c r="G204" s="11" t="n">
        <x:v>0</x:v>
      </x:c>
      <x:c r="H204" s="13" t="str">
        <x:v>Аўыл хожалығы емес жер; айланба емес; 1/12</x:v>
      </x:c>
      <x:c r="I204" s="2" t="str">
        <x:v>K</x:v>
      </x:c>
      <x:c r="J204" s="14" t="n">
        <x:f>IF(F204="",E204-'Басшы жуўмағы'!$B$6,F204-'Басшы жуўмағы'!$B$6)</x:f>
        <x:v>46667</x:v>
      </x:c>
      <x:c r="K204" s="2" t="str">
        <x:f>IF(AND(G204=1,ISNUMBER(F204)),"Расталды","Растаў керек")</x:f>
        <x:v>Растаў керек</x:v>
      </x:c>
    </x:row>
    <x:row r="205" ht="48" customHeight="1">
      <x:c r="A205" s="2" t="n">
        <x:v>198</x:v>
      </x:c>
      <x:c r="B205" s="2" t="str">
        <x:v>2027-10</x:v>
      </x:c>
      <x:c r="C205" s="2" t="n">
        <x:v>15</x:v>
      </x:c>
      <x:c r="D205" s="13" t="str">
        <x:v>Суў салығы айлық авансы</x:v>
      </x:c>
      <x:c r="E205" s="14" t="n">
        <x:v>46680</x:v>
      </x:c>
      <x:c r="F205" s="12"/>
      <x:c r="G205" s="11" t="n">
        <x:v>0</x:v>
      </x:c>
      <x:c r="H205" s="13" t="str">
        <x:v>Айланба емес; жыллық салық &gt;200 БҲМ; 1/12</x:v>
      </x:c>
      <x:c r="I205" s="2" t="str">
        <x:v>V</x:v>
      </x:c>
      <x:c r="J205" s="14" t="n">
        <x:f>IF(F205="",E205-'Басшы жуўмағы'!$B$6,F205-'Басшы жуўмағы'!$B$6)</x:f>
        <x:v>46677</x:v>
      </x:c>
      <x:c r="K205" s="2" t="str">
        <x:f>IF(AND(G205=1,ISNUMBER(F205)),"Расталды","Растаў керек")</x:f>
        <x:v>Растаў керек</x:v>
      </x:c>
    </x:row>
    <x:row r="206" ht="48" customHeight="1">
      <x:c r="A206" s="2" t="n">
        <x:v>199</x:v>
      </x:c>
      <x:c r="B206" s="2" t="str">
        <x:v>2027 / 2.3333333333333335-квартал</x:v>
      </x:c>
      <x:c r="C206" s="2" t="n">
        <x:v>16</x:v>
      </x:c>
      <x:c r="D206" s="13" t="str">
        <x:v>Пайда салығы квартал есабаты</x:v>
      </x:c>
      <x:c r="E206" s="14" t="n">
        <x:v>46680</x:v>
      </x:c>
      <x:c r="F206" s="12"/>
      <x:c r="G206" s="11" t="n">
        <x:v>0</x:v>
      </x:c>
      <x:c r="H206" s="13" t="str">
        <x:v>I–III квартал; кәдиги юридикалық шахс</x:v>
      </x:c>
      <x:c r="I206" s="2" t="str">
        <x:v>H</x:v>
      </x:c>
      <x:c r="J206" s="14" t="n">
        <x:f>IF(F206="",E206-'Басшы жуўмағы'!$B$6,F206-'Басшы жуўмағы'!$B$6)</x:f>
        <x:v>46677</x:v>
      </x:c>
      <x:c r="K206" s="2" t="str">
        <x:f>IF(AND(G206=1,ISNUMBER(F206)),"Расталды","Растаў керек")</x:f>
        <x:v>Растаў керек</x:v>
      </x:c>
    </x:row>
    <x:row r="207" ht="48" customHeight="1">
      <x:c r="A207" s="2" t="n">
        <x:v>200</x:v>
      </x:c>
      <x:c r="B207" s="2" t="str">
        <x:v>2027-10</x:v>
      </x:c>
      <x:c r="C207" s="2" t="n">
        <x:v>1</x:v>
      </x:c>
      <x:c r="D207" s="13" t="str">
        <x:v>ҚҚС есабаты</x:v>
      </x:c>
      <x:c r="E207" s="14" t="n">
        <x:v>46711</x:v>
      </x:c>
      <x:c r="F207" s="12"/>
      <x:c r="G207" s="11" t="n">
        <x:v>0</x:v>
      </x:c>
      <x:c r="H207" s="13" t="str">
        <x:v>ҚҚС төлеўши</x:v>
      </x:c>
      <x:c r="I207" s="2" t="str">
        <x:v>F</x:v>
      </x:c>
      <x:c r="J207" s="14" t="n">
        <x:f>IF(F207="",E207-'Басшы жуўмағы'!$B$6,F207-'Басшы жуўмағы'!$B$6)</x:f>
        <x:v>46708</x:v>
      </x:c>
      <x:c r="K207" s="2" t="str">
        <x:f>IF(AND(G207=1,ISNUMBER(F207)),"Расталды","Растаў керек")</x:f>
        <x:v>Растаў керек</x:v>
      </x:c>
    </x:row>
    <x:row r="208" ht="48" customHeight="1">
      <x:c r="A208" s="2" t="n">
        <x:v>201</x:v>
      </x:c>
      <x:c r="B208" s="2" t="str">
        <x:v>2027-10</x:v>
      </x:c>
      <x:c r="C208" s="2" t="n">
        <x:v>2</x:v>
      </x:c>
      <x:c r="D208" s="13" t="str">
        <x:v>ҚҚС төлеми</x:v>
      </x:c>
      <x:c r="E208" s="14" t="n">
        <x:v>46711</x:v>
      </x:c>
      <x:c r="F208" s="12"/>
      <x:c r="G208" s="11" t="n">
        <x:v>0</x:v>
      </x:c>
      <x:c r="H208" s="13" t="str">
        <x:v>Есапланған салық бойынша</x:v>
      </x:c>
      <x:c r="I208" s="2" t="str">
        <x:v>F</x:v>
      </x:c>
      <x:c r="J208" s="14" t="n">
        <x:f>IF(F208="",E208-'Басшы жуўмағы'!$B$6,F208-'Басшы жуўмағы'!$B$6)</x:f>
        <x:v>46708</x:v>
      </x:c>
      <x:c r="K208" s="2" t="str">
        <x:f>IF(AND(G208=1,ISNUMBER(F208)),"Расталды","Растаў керек")</x:f>
        <x:v>Растаў керек</x:v>
      </x:c>
    </x:row>
    <x:row r="209" ht="48" customHeight="1">
      <x:c r="A209" s="2" t="n">
        <x:v>202</x:v>
      </x:c>
      <x:c r="B209" s="2" t="str">
        <x:v>2027-10</x:v>
      </x:c>
      <x:c r="C209" s="2" t="n">
        <x:v>3</x:v>
      </x:c>
      <x:c r="D209" s="13" t="str">
        <x:v>Айланба салығы есабаты</x:v>
      </x:c>
      <x:c r="E209" s="14" t="n">
        <x:v>46706</x:v>
      </x:c>
      <x:c r="F209" s="12"/>
      <x:c r="G209" s="11" t="n">
        <x:v>0</x:v>
      </x:c>
      <x:c r="H209" s="13" t="str">
        <x:v>Айланба салығы төлеўши</x:v>
      </x:c>
      <x:c r="I209" s="2" t="str">
        <x:v>G</x:v>
      </x:c>
      <x:c r="J209" s="14" t="n">
        <x:f>IF(F209="",E209-'Басшы жуўмағы'!$B$6,F209-'Басшы жуўмағы'!$B$6)</x:f>
        <x:v>46703</x:v>
      </x:c>
      <x:c r="K209" s="2" t="str">
        <x:f>IF(AND(G209=1,ISNUMBER(F209)),"Расталды","Растаў керек")</x:f>
        <x:v>Растаў керек</x:v>
      </x:c>
    </x:row>
    <x:row r="210" ht="48" customHeight="1">
      <x:c r="A210" s="2" t="n">
        <x:v>203</x:v>
      </x:c>
      <x:c r="B210" s="2" t="str">
        <x:v>2027-10</x:v>
      </x:c>
      <x:c r="C210" s="2" t="n">
        <x:v>4</x:v>
      </x:c>
      <x:c r="D210" s="13" t="str">
        <x:v>Айланба салығы төлеми</x:v>
      </x:c>
      <x:c r="E210" s="14" t="n">
        <x:v>46706</x:v>
      </x:c>
      <x:c r="F210" s="12"/>
      <x:c r="G210" s="11" t="n">
        <x:v>0</x:v>
      </x:c>
      <x:c r="H210" s="13" t="str">
        <x:v>Салық суммасы бойынша</x:v>
      </x:c>
      <x:c r="I210" s="2" t="str">
        <x:v>G</x:v>
      </x:c>
      <x:c r="J210" s="14" t="n">
        <x:f>IF(F210="",E210-'Басшы жуўмағы'!$B$6,F210-'Басшы жуўмағы'!$B$6)</x:f>
        <x:v>46703</x:v>
      </x:c>
      <x:c r="K210" s="2" t="str">
        <x:f>IF(AND(G210=1,ISNUMBER(F210)),"Расталды","Растаў керек")</x:f>
        <x:v>Растаў керек</x:v>
      </x:c>
    </x:row>
    <x:row r="211" ht="48" customHeight="1">
      <x:c r="A211" s="2" t="n">
        <x:v>204</x:v>
      </x:c>
      <x:c r="B211" s="2" t="str">
        <x:v>2027-10</x:v>
      </x:c>
      <x:c r="C211" s="2" t="n">
        <x:v>5</x:v>
      </x:c>
      <x:c r="D211" s="13" t="str">
        <x:v>Дәрамат салығы есабаты</x:v>
      </x:c>
      <x:c r="E211" s="14" t="n">
        <x:v>46706</x:v>
      </x:c>
      <x:c r="F211" s="12"/>
      <x:c r="G211" s="11" t="n">
        <x:v>0</x:v>
      </x:c>
      <x:c r="H211" s="13" t="str">
        <x:v>Салық агенти</x:v>
      </x:c>
      <x:c r="I211" s="2" t="str">
        <x:v>I</x:v>
      </x:c>
      <x:c r="J211" s="14" t="n">
        <x:f>IF(F211="",E211-'Басшы жуўмағы'!$B$6,F211-'Басшы жуўмағы'!$B$6)</x:f>
        <x:v>46703</x:v>
      </x:c>
      <x:c r="K211" s="2" t="str">
        <x:f>IF(AND(G211=1,ISNUMBER(F211)),"Расталды","Растаў керек")</x:f>
        <x:v>Растаў керек</x:v>
      </x:c>
    </x:row>
    <x:row r="212" ht="48" customHeight="1">
      <x:c r="A212" s="2" t="n">
        <x:v>205</x:v>
      </x:c>
      <x:c r="B212" s="2" t="str">
        <x:v>2027-10</x:v>
      </x:c>
      <x:c r="C212" s="2" t="n">
        <x:v>6</x:v>
      </x:c>
      <x:c r="D212" s="13" t="str">
        <x:v>Социаллық салық есабаты</x:v>
      </x:c>
      <x:c r="E212" s="14" t="n">
        <x:v>46706</x:v>
      </x:c>
      <x:c r="F212" s="12"/>
      <x:c r="G212" s="11" t="n">
        <x:v>0</x:v>
      </x:c>
      <x:c r="H212" s="13" t="str">
        <x:v>Айлық салықлары тийисли</x:v>
      </x:c>
      <x:c r="I212" s="2" t="str">
        <x:v>I</x:v>
      </x:c>
      <x:c r="J212" s="14" t="n">
        <x:f>IF(F212="",E212-'Басшы жуўмағы'!$B$6,F212-'Басшы жуўмағы'!$B$6)</x:f>
        <x:v>46703</x:v>
      </x:c>
      <x:c r="K212" s="2" t="str">
        <x:f>IF(AND(G212=1,ISNUMBER(F212)),"Расталды","Растаў керек")</x:f>
        <x:v>Растаў керек</x:v>
      </x:c>
    </x:row>
    <x:row r="213" ht="48" customHeight="1">
      <x:c r="A213" s="2" t="n">
        <x:v>206</x:v>
      </x:c>
      <x:c r="B213" s="2" t="str">
        <x:v>2027-10</x:v>
      </x:c>
      <x:c r="C213" s="2" t="n">
        <x:v>7</x:v>
      </x:c>
      <x:c r="D213" s="13" t="str">
        <x:v>Социаллық салық төлеми</x:v>
      </x:c>
      <x:c r="E213" s="14" t="n">
        <x:v>46706</x:v>
      </x:c>
      <x:c r="F213" s="12"/>
      <x:c r="G213" s="11" t="n">
        <x:v>0</x:v>
      </x:c>
      <x:c r="H213" s="13" t="str">
        <x:v>Салық суммасы бойынша</x:v>
      </x:c>
      <x:c r="I213" s="2" t="str">
        <x:v>I</x:v>
      </x:c>
      <x:c r="J213" s="14" t="n">
        <x:f>IF(F213="",E213-'Басшы жуўмағы'!$B$6,F213-'Басшы жуўмағы'!$B$6)</x:f>
        <x:v>46703</x:v>
      </x:c>
      <x:c r="K213" s="2" t="str">
        <x:f>IF(AND(G213=1,ISNUMBER(F213)),"Расталды","Растаў керек")</x:f>
        <x:v>Растаў керек</x:v>
      </x:c>
    </x:row>
    <x:row r="214" ht="48" customHeight="1">
      <x:c r="A214" s="2" t="n">
        <x:v>207</x:v>
      </x:c>
      <x:c r="B214" s="2" t="str">
        <x:v>2027-10</x:v>
      </x:c>
      <x:c r="C214" s="2" t="n">
        <x:v>8</x:v>
      </x:c>
      <x:c r="D214" s="13" t="str">
        <x:v>Акциз есабаты ҳәм төлемин тексериў</x:v>
      </x:c>
      <x:c r="E214" s="14" t="n">
        <x:v>46701</x:v>
      </x:c>
      <x:c r="F214" s="12"/>
      <x:c r="G214" s="11" t="n">
        <x:v>0</x:v>
      </x:c>
      <x:c r="H214" s="13" t="str">
        <x:v>Акциз төлеўши</x:v>
      </x:c>
      <x:c r="I214" s="2" t="str">
        <x:v>N</x:v>
      </x:c>
      <x:c r="J214" s="14" t="n">
        <x:f>IF(F214="",E214-'Басшы жуўмағы'!$B$6,F214-'Басшы жуўмағы'!$B$6)</x:f>
        <x:v>46698</x:v>
      </x:c>
      <x:c r="K214" s="2" t="str">
        <x:f>IF(AND(G214=1,ISNUMBER(F214)),"Расталды","Растаў керек")</x:f>
        <x:v>Растаў керек</x:v>
      </x:c>
    </x:row>
    <x:row r="215" ht="48" customHeight="1">
      <x:c r="A215" s="2" t="n">
        <x:v>208</x:v>
      </x:c>
      <x:c r="B215" s="2" t="str">
        <x:v>2027-10</x:v>
      </x:c>
      <x:c r="C215" s="2" t="n">
        <x:v>9</x:v>
      </x:c>
      <x:c r="D215" s="13" t="str">
        <x:v>Дивиденд ҳәм процент салығы есабаты</x:v>
      </x:c>
      <x:c r="E215" s="14" t="n">
        <x:v>46711</x:v>
      </x:c>
      <x:c r="F215" s="12"/>
      <x:c r="G215" s="11" t="n">
        <x:v>0</x:v>
      </x:c>
      <x:c r="H215" s="13" t="str">
        <x:v>Дивиденд / процент есапланған болса</x:v>
      </x:c>
      <x:c r="I215" s="2" t="str">
        <x:v>O</x:v>
      </x:c>
      <x:c r="J215" s="14" t="n">
        <x:f>IF(F215="",E215-'Басшы жуўмағы'!$B$6,F215-'Басшы жуўмағы'!$B$6)</x:f>
        <x:v>46708</x:v>
      </x:c>
      <x:c r="K215" s="2" t="str">
        <x:f>IF(AND(G215=1,ISNUMBER(F215)),"Расталды","Растаў керек")</x:f>
        <x:v>Растаў керек</x:v>
      </x:c>
    </x:row>
    <x:row r="216" ht="48" customHeight="1">
      <x:c r="A216" s="2" t="n">
        <x:v>209</x:v>
      </x:c>
      <x:c r="B216" s="2" t="str">
        <x:v>2027-10</x:v>
      </x:c>
      <x:c r="C216" s="2" t="n">
        <x:v>10</x:v>
      </x:c>
      <x:c r="D216" s="13" t="str">
        <x:v>Норезидент дәраматы салығы есабаты</x:v>
      </x:c>
      <x:c r="E216" s="14" t="n">
        <x:v>46711</x:v>
      </x:c>
      <x:c r="F216" s="12"/>
      <x:c r="G216" s="11" t="n">
        <x:v>0</x:v>
      </x:c>
      <x:c r="H216" s="13" t="str">
        <x:v>Тийисли төлемлер болса</x:v>
      </x:c>
      <x:c r="I216" s="2" t="str">
        <x:v>P</x:v>
      </x:c>
      <x:c r="J216" s="14" t="n">
        <x:f>IF(F216="",E216-'Басшы жуўмағы'!$B$6,F216-'Басшы жуўмағы'!$B$6)</x:f>
        <x:v>46708</x:v>
      </x:c>
      <x:c r="K216" s="2" t="str">
        <x:f>IF(AND(G216=1,ISNUMBER(F216)),"Расталды","Растаў керек")</x:f>
        <x:v>Растаў керек</x:v>
      </x:c>
    </x:row>
    <x:row r="217" ht="48" customHeight="1">
      <x:c r="A217" s="2" t="n">
        <x:v>210</x:v>
      </x:c>
      <x:c r="B217" s="2" t="str">
        <x:v>2027-10</x:v>
      </x:c>
      <x:c r="C217" s="2" t="n">
        <x:v>11</x:v>
      </x:c>
      <x:c r="D217" s="13" t="str">
        <x:v>Жер қойнаўынан пайдаланыў есабаты</x:v>
      </x:c>
      <x:c r="E217" s="14" t="n">
        <x:v>46711</x:v>
      </x:c>
      <x:c r="F217" s="12"/>
      <x:c r="G217" s="11" t="n">
        <x:v>0</x:v>
      </x:c>
      <x:c r="H217" s="13" t="str">
        <x:v>Жер қойнауы ресурсы бойынша</x:v>
      </x:c>
      <x:c r="I217" s="2" t="str">
        <x:v>Q</x:v>
      </x:c>
      <x:c r="J217" s="14" t="n">
        <x:f>IF(F217="",E217-'Басшы жуўмағы'!$B$6,F217-'Басшы жуўмағы'!$B$6)</x:f>
        <x:v>46708</x:v>
      </x:c>
      <x:c r="K217" s="2" t="str">
        <x:f>IF(AND(G217=1,ISNUMBER(F217)),"Расталды","Растаў керек")</x:f>
        <x:v>Растаў керек</x:v>
      </x:c>
    </x:row>
    <x:row r="218" ht="48" customHeight="1">
      <x:c r="A218" s="2" t="n">
        <x:v>211</x:v>
      </x:c>
      <x:c r="B218" s="2" t="str">
        <x:v>2027-11</x:v>
      </x:c>
      <x:c r="C218" s="2" t="n">
        <x:v>12</x:v>
      </x:c>
      <x:c r="D218" s="13" t="str">
        <x:v>Пайда салығы авансы</x:v>
      </x:c>
      <x:c r="E218" s="14" t="n">
        <x:v>46714</x:v>
      </x:c>
      <x:c r="F218" s="12"/>
      <x:c r="G218" s="11" t="n">
        <x:v>0</x:v>
      </x:c>
      <x:c r="H218" s="13" t="str">
        <x:v>20 млрд сум шеги ҳәм басқа шартларды тексериў</x:v>
      </x:c>
      <x:c r="I218" s="2" t="str">
        <x:v>M</x:v>
      </x:c>
      <x:c r="J218" s="14" t="n">
        <x:f>IF(F218="",E218-'Басшы жуўмағы'!$B$6,F218-'Басшы жуўмағы'!$B$6)</x:f>
        <x:v>46711</x:v>
      </x:c>
      <x:c r="K218" s="2" t="str">
        <x:f>IF(AND(G218=1,ISNUMBER(F218)),"Расталды","Растаў керек")</x:f>
        <x:v>Растаў керек</x:v>
      </x:c>
    </x:row>
    <x:row r="219" ht="48" customHeight="1">
      <x:c r="A219" s="2" t="n">
        <x:v>212</x:v>
      </x:c>
      <x:c r="B219" s="2" t="str">
        <x:v>2027-11</x:v>
      </x:c>
      <x:c r="C219" s="2" t="n">
        <x:v>13</x:v>
      </x:c>
      <x:c r="D219" s="13" t="str">
        <x:v>Мүлк салығы айлық авансы</x:v>
      </x:c>
      <x:c r="E219" s="14" t="n">
        <x:v>46701</x:v>
      </x:c>
      <x:c r="F219" s="12"/>
      <x:c r="G219" s="11" t="n">
        <x:v>0</x:v>
      </x:c>
      <x:c r="H219" s="13" t="str">
        <x:v>Айланба төлеўшилерден басқа; 1/12</x:v>
      </x:c>
      <x:c r="I219" s="2" t="str">
        <x:v>J</x:v>
      </x:c>
      <x:c r="J219" s="14" t="n">
        <x:f>IF(F219="",E219-'Басшы жуўмағы'!$B$6,F219-'Басшы жуўмағы'!$B$6)</x:f>
        <x:v>46698</x:v>
      </x:c>
      <x:c r="K219" s="2" t="str">
        <x:f>IF(AND(G219=1,ISNUMBER(F219)),"Расталды","Растаў керек")</x:f>
        <x:v>Растаў керек</x:v>
      </x:c>
    </x:row>
    <x:row r="220" ht="48" customHeight="1">
      <x:c r="A220" s="2" t="n">
        <x:v>213</x:v>
      </x:c>
      <x:c r="B220" s="2" t="str">
        <x:v>2027-11</x:v>
      </x:c>
      <x:c r="C220" s="2" t="n">
        <x:v>14</x:v>
      </x:c>
      <x:c r="D220" s="13" t="str">
        <x:v>Жер салығы айлық төлеми</x:v>
      </x:c>
      <x:c r="E220" s="14" t="n">
        <x:v>46701</x:v>
      </x:c>
      <x:c r="F220" s="12"/>
      <x:c r="G220" s="11" t="n">
        <x:v>0</x:v>
      </x:c>
      <x:c r="H220" s="13" t="str">
        <x:v>Аўыл хожалығы емес жер; айланба емес; 1/12</x:v>
      </x:c>
      <x:c r="I220" s="2" t="str">
        <x:v>K</x:v>
      </x:c>
      <x:c r="J220" s="14" t="n">
        <x:f>IF(F220="",E220-'Басшы жуўмағы'!$B$6,F220-'Басшы жуўмағы'!$B$6)</x:f>
        <x:v>46698</x:v>
      </x:c>
      <x:c r="K220" s="2" t="str">
        <x:f>IF(AND(G220=1,ISNUMBER(F220)),"Расталды","Растаў керек")</x:f>
        <x:v>Растаў керек</x:v>
      </x:c>
    </x:row>
    <x:row r="221" ht="48" customHeight="1">
      <x:c r="A221" s="2" t="n">
        <x:v>214</x:v>
      </x:c>
      <x:c r="B221" s="2" t="str">
        <x:v>2027-11</x:v>
      </x:c>
      <x:c r="C221" s="2" t="n">
        <x:v>15</x:v>
      </x:c>
      <x:c r="D221" s="13" t="str">
        <x:v>Суў салығы айлық авансы</x:v>
      </x:c>
      <x:c r="E221" s="14" t="n">
        <x:v>46711</x:v>
      </x:c>
      <x:c r="F221" s="12"/>
      <x:c r="G221" s="11" t="n">
        <x:v>0</x:v>
      </x:c>
      <x:c r="H221" s="13" t="str">
        <x:v>Айланба емес; жыллық салық &gt;200 БҲМ; 1/12</x:v>
      </x:c>
      <x:c r="I221" s="2" t="str">
        <x:v>V</x:v>
      </x:c>
      <x:c r="J221" s="14" t="n">
        <x:f>IF(F221="",E221-'Басшы жуўмағы'!$B$6,F221-'Басшы жуўмағы'!$B$6)</x:f>
        <x:v>46708</x:v>
      </x:c>
      <x:c r="K221" s="2" t="str">
        <x:f>IF(AND(G221=1,ISNUMBER(F221)),"Расталды","Растаў керек")</x:f>
        <x:v>Растаў керек</x:v>
      </x:c>
    </x:row>
    <x:row r="222" ht="48" customHeight="1">
      <x:c r="A222" s="2" t="n">
        <x:v>215</x:v>
      </x:c>
      <x:c r="B222" s="2" t="str">
        <x:v>2027-11</x:v>
      </x:c>
      <x:c r="C222" s="2" t="n">
        <x:v>1</x:v>
      </x:c>
      <x:c r="D222" s="13" t="str">
        <x:v>ҚҚС есабаты</x:v>
      </x:c>
      <x:c r="E222" s="14" t="n">
        <x:v>46741</x:v>
      </x:c>
      <x:c r="F222" s="12"/>
      <x:c r="G222" s="11" t="n">
        <x:v>0</x:v>
      </x:c>
      <x:c r="H222" s="13" t="str">
        <x:v>ҚҚС төлеўши</x:v>
      </x:c>
      <x:c r="I222" s="2" t="str">
        <x:v>F</x:v>
      </x:c>
      <x:c r="J222" s="14" t="n">
        <x:f>IF(F222="",E222-'Басшы жуўмағы'!$B$6,F222-'Басшы жуўмағы'!$B$6)</x:f>
        <x:v>46738</x:v>
      </x:c>
      <x:c r="K222" s="2" t="str">
        <x:f>IF(AND(G222=1,ISNUMBER(F222)),"Расталды","Растаў керек")</x:f>
        <x:v>Растаў керек</x:v>
      </x:c>
    </x:row>
    <x:row r="223" ht="48" customHeight="1">
      <x:c r="A223" s="2" t="n">
        <x:v>216</x:v>
      </x:c>
      <x:c r="B223" s="2" t="str">
        <x:v>2027-11</x:v>
      </x:c>
      <x:c r="C223" s="2" t="n">
        <x:v>2</x:v>
      </x:c>
      <x:c r="D223" s="13" t="str">
        <x:v>ҚҚС төлеми</x:v>
      </x:c>
      <x:c r="E223" s="14" t="n">
        <x:v>46741</x:v>
      </x:c>
      <x:c r="F223" s="12"/>
      <x:c r="G223" s="11" t="n">
        <x:v>0</x:v>
      </x:c>
      <x:c r="H223" s="13" t="str">
        <x:v>Есапланған салық бойынша</x:v>
      </x:c>
      <x:c r="I223" s="2" t="str">
        <x:v>F</x:v>
      </x:c>
      <x:c r="J223" s="14" t="n">
        <x:f>IF(F223="",E223-'Басшы жуўмағы'!$B$6,F223-'Басшы жуўмағы'!$B$6)</x:f>
        <x:v>46738</x:v>
      </x:c>
      <x:c r="K223" s="2" t="str">
        <x:f>IF(AND(G223=1,ISNUMBER(F223)),"Расталды","Растаў керек")</x:f>
        <x:v>Растаў керек</x:v>
      </x:c>
    </x:row>
    <x:row r="224" ht="48" customHeight="1">
      <x:c r="A224" s="2" t="n">
        <x:v>217</x:v>
      </x:c>
      <x:c r="B224" s="2" t="str">
        <x:v>2027-11</x:v>
      </x:c>
      <x:c r="C224" s="2" t="n">
        <x:v>3</x:v>
      </x:c>
      <x:c r="D224" s="13" t="str">
        <x:v>Айланба салығы есабаты</x:v>
      </x:c>
      <x:c r="E224" s="14" t="n">
        <x:v>46736</x:v>
      </x:c>
      <x:c r="F224" s="12"/>
      <x:c r="G224" s="11" t="n">
        <x:v>0</x:v>
      </x:c>
      <x:c r="H224" s="13" t="str">
        <x:v>Айланба салығы төлеўши</x:v>
      </x:c>
      <x:c r="I224" s="2" t="str">
        <x:v>G</x:v>
      </x:c>
      <x:c r="J224" s="14" t="n">
        <x:f>IF(F224="",E224-'Басшы жуўмағы'!$B$6,F224-'Басшы жуўмағы'!$B$6)</x:f>
        <x:v>46733</x:v>
      </x:c>
      <x:c r="K224" s="2" t="str">
        <x:f>IF(AND(G224=1,ISNUMBER(F224)),"Расталды","Растаў керек")</x:f>
        <x:v>Растаў керек</x:v>
      </x:c>
    </x:row>
    <x:row r="225" ht="48" customHeight="1">
      <x:c r="A225" s="2" t="n">
        <x:v>218</x:v>
      </x:c>
      <x:c r="B225" s="2" t="str">
        <x:v>2027-11</x:v>
      </x:c>
      <x:c r="C225" s="2" t="n">
        <x:v>4</x:v>
      </x:c>
      <x:c r="D225" s="13" t="str">
        <x:v>Айланба салығы төлеми</x:v>
      </x:c>
      <x:c r="E225" s="14" t="n">
        <x:v>46736</x:v>
      </x:c>
      <x:c r="F225" s="12"/>
      <x:c r="G225" s="11" t="n">
        <x:v>0</x:v>
      </x:c>
      <x:c r="H225" s="13" t="str">
        <x:v>Салық суммасы бойынша</x:v>
      </x:c>
      <x:c r="I225" s="2" t="str">
        <x:v>G</x:v>
      </x:c>
      <x:c r="J225" s="14" t="n">
        <x:f>IF(F225="",E225-'Басшы жуўмағы'!$B$6,F225-'Басшы жуўмағы'!$B$6)</x:f>
        <x:v>46733</x:v>
      </x:c>
      <x:c r="K225" s="2" t="str">
        <x:f>IF(AND(G225=1,ISNUMBER(F225)),"Расталды","Растаў керек")</x:f>
        <x:v>Растаў керек</x:v>
      </x:c>
    </x:row>
    <x:row r="226" ht="48" customHeight="1">
      <x:c r="A226" s="2" t="n">
        <x:v>219</x:v>
      </x:c>
      <x:c r="B226" s="2" t="str">
        <x:v>2027-11</x:v>
      </x:c>
      <x:c r="C226" s="2" t="n">
        <x:v>5</x:v>
      </x:c>
      <x:c r="D226" s="13" t="str">
        <x:v>Дәрамат салығы есабаты</x:v>
      </x:c>
      <x:c r="E226" s="14" t="n">
        <x:v>46736</x:v>
      </x:c>
      <x:c r="F226" s="12"/>
      <x:c r="G226" s="11" t="n">
        <x:v>0</x:v>
      </x:c>
      <x:c r="H226" s="13" t="str">
        <x:v>Салық агенти</x:v>
      </x:c>
      <x:c r="I226" s="2" t="str">
        <x:v>I</x:v>
      </x:c>
      <x:c r="J226" s="14" t="n">
        <x:f>IF(F226="",E226-'Басшы жуўмағы'!$B$6,F226-'Басшы жуўмағы'!$B$6)</x:f>
        <x:v>46733</x:v>
      </x:c>
      <x:c r="K226" s="2" t="str">
        <x:f>IF(AND(G226=1,ISNUMBER(F226)),"Расталды","Растаў керек")</x:f>
        <x:v>Растаў керек</x:v>
      </x:c>
    </x:row>
    <x:row r="227" ht="48" customHeight="1">
      <x:c r="A227" s="2" t="n">
        <x:v>220</x:v>
      </x:c>
      <x:c r="B227" s="2" t="str">
        <x:v>2027-11</x:v>
      </x:c>
      <x:c r="C227" s="2" t="n">
        <x:v>6</x:v>
      </x:c>
      <x:c r="D227" s="13" t="str">
        <x:v>Социаллық салық есабаты</x:v>
      </x:c>
      <x:c r="E227" s="14" t="n">
        <x:v>46736</x:v>
      </x:c>
      <x:c r="F227" s="12"/>
      <x:c r="G227" s="11" t="n">
        <x:v>0</x:v>
      </x:c>
      <x:c r="H227" s="13" t="str">
        <x:v>Айлық салықлары тийисли</x:v>
      </x:c>
      <x:c r="I227" s="2" t="str">
        <x:v>I</x:v>
      </x:c>
      <x:c r="J227" s="14" t="n">
        <x:f>IF(F227="",E227-'Басшы жуўмағы'!$B$6,F227-'Басшы жуўмағы'!$B$6)</x:f>
        <x:v>46733</x:v>
      </x:c>
      <x:c r="K227" s="2" t="str">
        <x:f>IF(AND(G227=1,ISNUMBER(F227)),"Расталды","Растаў керек")</x:f>
        <x:v>Растаў керек</x:v>
      </x:c>
    </x:row>
    <x:row r="228" ht="48" customHeight="1">
      <x:c r="A228" s="2" t="n">
        <x:v>221</x:v>
      </x:c>
      <x:c r="B228" s="2" t="str">
        <x:v>2027-11</x:v>
      </x:c>
      <x:c r="C228" s="2" t="n">
        <x:v>7</x:v>
      </x:c>
      <x:c r="D228" s="13" t="str">
        <x:v>Социаллық салық төлеми</x:v>
      </x:c>
      <x:c r="E228" s="14" t="n">
        <x:v>46736</x:v>
      </x:c>
      <x:c r="F228" s="12"/>
      <x:c r="G228" s="11" t="n">
        <x:v>0</x:v>
      </x:c>
      <x:c r="H228" s="13" t="str">
        <x:v>Салық суммасы бойынша</x:v>
      </x:c>
      <x:c r="I228" s="2" t="str">
        <x:v>I</x:v>
      </x:c>
      <x:c r="J228" s="14" t="n">
        <x:f>IF(F228="",E228-'Басшы жуўмағы'!$B$6,F228-'Басшы жуўмағы'!$B$6)</x:f>
        <x:v>46733</x:v>
      </x:c>
      <x:c r="K228" s="2" t="str">
        <x:f>IF(AND(G228=1,ISNUMBER(F228)),"Расталды","Растаў керек")</x:f>
        <x:v>Растаў керек</x:v>
      </x:c>
    </x:row>
    <x:row r="229" ht="48" customHeight="1">
      <x:c r="A229" s="2" t="n">
        <x:v>222</x:v>
      </x:c>
      <x:c r="B229" s="2" t="str">
        <x:v>2027-11</x:v>
      </x:c>
      <x:c r="C229" s="2" t="n">
        <x:v>8</x:v>
      </x:c>
      <x:c r="D229" s="13" t="str">
        <x:v>Акциз есабаты ҳәм төлемин тексериў</x:v>
      </x:c>
      <x:c r="E229" s="14" t="n">
        <x:v>46731</x:v>
      </x:c>
      <x:c r="F229" s="12"/>
      <x:c r="G229" s="11" t="n">
        <x:v>0</x:v>
      </x:c>
      <x:c r="H229" s="13" t="str">
        <x:v>Акциз төлеўши</x:v>
      </x:c>
      <x:c r="I229" s="2" t="str">
        <x:v>N</x:v>
      </x:c>
      <x:c r="J229" s="14" t="n">
        <x:f>IF(F229="",E229-'Басшы жуўмағы'!$B$6,F229-'Басшы жуўмағы'!$B$6)</x:f>
        <x:v>46728</x:v>
      </x:c>
      <x:c r="K229" s="2" t="str">
        <x:f>IF(AND(G229=1,ISNUMBER(F229)),"Расталды","Растаў керек")</x:f>
        <x:v>Растаў керек</x:v>
      </x:c>
    </x:row>
    <x:row r="230" ht="48" customHeight="1">
      <x:c r="A230" s="2" t="n">
        <x:v>223</x:v>
      </x:c>
      <x:c r="B230" s="2" t="str">
        <x:v>2027-11</x:v>
      </x:c>
      <x:c r="C230" s="2" t="n">
        <x:v>9</x:v>
      </x:c>
      <x:c r="D230" s="13" t="str">
        <x:v>Дивиденд ҳәм процент салығы есабаты</x:v>
      </x:c>
      <x:c r="E230" s="14" t="n">
        <x:v>46741</x:v>
      </x:c>
      <x:c r="F230" s="12"/>
      <x:c r="G230" s="11" t="n">
        <x:v>0</x:v>
      </x:c>
      <x:c r="H230" s="13" t="str">
        <x:v>Дивиденд / процент есапланған болса</x:v>
      </x:c>
      <x:c r="I230" s="2" t="str">
        <x:v>O</x:v>
      </x:c>
      <x:c r="J230" s="14" t="n">
        <x:f>IF(F230="",E230-'Басшы жуўмағы'!$B$6,F230-'Басшы жуўмағы'!$B$6)</x:f>
        <x:v>46738</x:v>
      </x:c>
      <x:c r="K230" s="2" t="str">
        <x:f>IF(AND(G230=1,ISNUMBER(F230)),"Расталды","Растаў керек")</x:f>
        <x:v>Растаў керек</x:v>
      </x:c>
    </x:row>
    <x:row r="231" ht="48" customHeight="1">
      <x:c r="A231" s="2" t="n">
        <x:v>224</x:v>
      </x:c>
      <x:c r="B231" s="2" t="str">
        <x:v>2027-11</x:v>
      </x:c>
      <x:c r="C231" s="2" t="n">
        <x:v>10</x:v>
      </x:c>
      <x:c r="D231" s="13" t="str">
        <x:v>Норезидент дәраматы салығы есабаты</x:v>
      </x:c>
      <x:c r="E231" s="14" t="n">
        <x:v>46741</x:v>
      </x:c>
      <x:c r="F231" s="12"/>
      <x:c r="G231" s="11" t="n">
        <x:v>0</x:v>
      </x:c>
      <x:c r="H231" s="13" t="str">
        <x:v>Тийисли төлемлер болса</x:v>
      </x:c>
      <x:c r="I231" s="2" t="str">
        <x:v>P</x:v>
      </x:c>
      <x:c r="J231" s="14" t="n">
        <x:f>IF(F231="",E231-'Басшы жуўмағы'!$B$6,F231-'Басшы жуўмағы'!$B$6)</x:f>
        <x:v>46738</x:v>
      </x:c>
      <x:c r="K231" s="2" t="str">
        <x:f>IF(AND(G231=1,ISNUMBER(F231)),"Расталды","Растаў керек")</x:f>
        <x:v>Растаў керек</x:v>
      </x:c>
    </x:row>
    <x:row r="232" ht="48" customHeight="1">
      <x:c r="A232" s="2" t="n">
        <x:v>225</x:v>
      </x:c>
      <x:c r="B232" s="2" t="str">
        <x:v>2027-11</x:v>
      </x:c>
      <x:c r="C232" s="2" t="n">
        <x:v>11</x:v>
      </x:c>
      <x:c r="D232" s="13" t="str">
        <x:v>Жер қойнаўынан пайдаланыў есабаты</x:v>
      </x:c>
      <x:c r="E232" s="14" t="n">
        <x:v>46741</x:v>
      </x:c>
      <x:c r="F232" s="12"/>
      <x:c r="G232" s="11" t="n">
        <x:v>0</x:v>
      </x:c>
      <x:c r="H232" s="13" t="str">
        <x:v>Жер қойнауы ресурсы бойынша</x:v>
      </x:c>
      <x:c r="I232" s="2" t="str">
        <x:v>Q</x:v>
      </x:c>
      <x:c r="J232" s="14" t="n">
        <x:f>IF(F232="",E232-'Басшы жуўмағы'!$B$6,F232-'Басшы жуўмағы'!$B$6)</x:f>
        <x:v>46738</x:v>
      </x:c>
      <x:c r="K232" s="2" t="str">
        <x:f>IF(AND(G232=1,ISNUMBER(F232)),"Расталды","Растаў керек")</x:f>
        <x:v>Растаў керек</x:v>
      </x:c>
    </x:row>
    <x:row r="233" ht="48" customHeight="1">
      <x:c r="A233" s="2" t="n">
        <x:v>226</x:v>
      </x:c>
      <x:c r="B233" s="2" t="str">
        <x:v>2027-12</x:v>
      </x:c>
      <x:c r="C233" s="2" t="n">
        <x:v>12</x:v>
      </x:c>
      <x:c r="D233" s="13" t="str">
        <x:v>Пайда салығы авансы</x:v>
      </x:c>
      <x:c r="E233" s="14" t="n">
        <x:v>46744</x:v>
      </x:c>
      <x:c r="F233" s="12"/>
      <x:c r="G233" s="11" t="n">
        <x:v>0</x:v>
      </x:c>
      <x:c r="H233" s="13" t="str">
        <x:v>20 млрд сум шеги ҳәм басқа шартларды тексериў</x:v>
      </x:c>
      <x:c r="I233" s="2" t="str">
        <x:v>M</x:v>
      </x:c>
      <x:c r="J233" s="14" t="n">
        <x:f>IF(F233="",E233-'Басшы жуўмағы'!$B$6,F233-'Басшы жуўмағы'!$B$6)</x:f>
        <x:v>46741</x:v>
      </x:c>
      <x:c r="K233" s="2" t="str">
        <x:f>IF(AND(G233=1,ISNUMBER(F233)),"Расталды","Растаў керек")</x:f>
        <x:v>Растаў керек</x:v>
      </x:c>
    </x:row>
    <x:row r="234" ht="48" customHeight="1">
      <x:c r="A234" s="2" t="n">
        <x:v>227</x:v>
      </x:c>
      <x:c r="B234" s="2" t="str">
        <x:v>2027-12</x:v>
      </x:c>
      <x:c r="C234" s="2" t="n">
        <x:v>13</x:v>
      </x:c>
      <x:c r="D234" s="13" t="str">
        <x:v>Мүлк салығы айлық авансы</x:v>
      </x:c>
      <x:c r="E234" s="14" t="n">
        <x:v>46731</x:v>
      </x:c>
      <x:c r="F234" s="12"/>
      <x:c r="G234" s="11" t="n">
        <x:v>0</x:v>
      </x:c>
      <x:c r="H234" s="13" t="str">
        <x:v>Айланба төлеўшилерден басқа; 1/12</x:v>
      </x:c>
      <x:c r="I234" s="2" t="str">
        <x:v>J</x:v>
      </x:c>
      <x:c r="J234" s="14" t="n">
        <x:f>IF(F234="",E234-'Басшы жуўмағы'!$B$6,F234-'Басшы жуўмағы'!$B$6)</x:f>
        <x:v>46728</x:v>
      </x:c>
      <x:c r="K234" s="2" t="str">
        <x:f>IF(AND(G234=1,ISNUMBER(F234)),"Расталды","Растаў керек")</x:f>
        <x:v>Растаў керек</x:v>
      </x:c>
    </x:row>
    <x:row r="235" ht="48" customHeight="1">
      <x:c r="A235" s="2" t="n">
        <x:v>228</x:v>
      </x:c>
      <x:c r="B235" s="2" t="str">
        <x:v>2027-12</x:v>
      </x:c>
      <x:c r="C235" s="2" t="n">
        <x:v>14</x:v>
      </x:c>
      <x:c r="D235" s="13" t="str">
        <x:v>Жер салығы айлық төлеми</x:v>
      </x:c>
      <x:c r="E235" s="14" t="n">
        <x:v>46731</x:v>
      </x:c>
      <x:c r="F235" s="12"/>
      <x:c r="G235" s="11" t="n">
        <x:v>0</x:v>
      </x:c>
      <x:c r="H235" s="13" t="str">
        <x:v>Аўыл хожалығы емес жер; айланба емес; 1/12</x:v>
      </x:c>
      <x:c r="I235" s="2" t="str">
        <x:v>K</x:v>
      </x:c>
      <x:c r="J235" s="14" t="n">
        <x:f>IF(F235="",E235-'Басшы жуўмағы'!$B$6,F235-'Басшы жуўмағы'!$B$6)</x:f>
        <x:v>46728</x:v>
      </x:c>
      <x:c r="K235" s="2" t="str">
        <x:f>IF(AND(G235=1,ISNUMBER(F235)),"Расталды","Растаў керек")</x:f>
        <x:v>Растаў керек</x:v>
      </x:c>
    </x:row>
    <x:row r="236" ht="48" customHeight="1">
      <x:c r="A236" s="2" t="n">
        <x:v>229</x:v>
      </x:c>
      <x:c r="B236" s="2" t="str">
        <x:v>2027-12</x:v>
      </x:c>
      <x:c r="C236" s="2" t="n">
        <x:v>15</x:v>
      </x:c>
      <x:c r="D236" s="13" t="str">
        <x:v>Суў салығы айлық авансы</x:v>
      </x:c>
      <x:c r="E236" s="14" t="n">
        <x:v>46741</x:v>
      </x:c>
      <x:c r="F236" s="12"/>
      <x:c r="G236" s="11" t="n">
        <x:v>0</x:v>
      </x:c>
      <x:c r="H236" s="13" t="str">
        <x:v>Айланба емес; жыллық салық &gt;200 БҲМ; 1/12</x:v>
      </x:c>
      <x:c r="I236" s="2" t="str">
        <x:v>V</x:v>
      </x:c>
      <x:c r="J236" s="14" t="n">
        <x:f>IF(F236="",E236-'Басшы жуўмағы'!$B$6,F236-'Басшы жуўмағы'!$B$6)</x:f>
        <x:v>46738</x:v>
      </x:c>
      <x:c r="K236" s="2" t="str">
        <x:f>IF(AND(G236=1,ISNUMBER(F236)),"Расталды","Растаў керек")</x:f>
        <x:v>Растаў керек</x:v>
      </x:c>
    </x:row>
    <x:row r="237" ht="48" customHeight="1">
      <x:c r="A237" s="2" t="n">
        <x:v>230</x:v>
      </x:c>
      <x:c r="B237" s="2" t="str">
        <x:v>2027-12</x:v>
      </x:c>
      <x:c r="C237" s="2" t="n">
        <x:v>1</x:v>
      </x:c>
      <x:c r="D237" s="13" t="str">
        <x:v>ҚҚС есабаты</x:v>
      </x:c>
      <x:c r="E237" s="14" t="n">
        <x:v>46772</x:v>
      </x:c>
      <x:c r="F237" s="12"/>
      <x:c r="G237" s="11" t="n">
        <x:v>0</x:v>
      </x:c>
      <x:c r="H237" s="13" t="str">
        <x:v>ҚҚС төлеўши</x:v>
      </x:c>
      <x:c r="I237" s="2" t="str">
        <x:v>F</x:v>
      </x:c>
      <x:c r="J237" s="14" t="n">
        <x:f>IF(F237="",E237-'Басшы жуўмағы'!$B$6,F237-'Басшы жуўмағы'!$B$6)</x:f>
        <x:v>46769</x:v>
      </x:c>
      <x:c r="K237" s="2" t="str">
        <x:f>IF(AND(G237=1,ISNUMBER(F237)),"Расталды","Растаў керек")</x:f>
        <x:v>Растаў керек</x:v>
      </x:c>
    </x:row>
    <x:row r="238" ht="48" customHeight="1">
      <x:c r="A238" s="2" t="n">
        <x:v>231</x:v>
      </x:c>
      <x:c r="B238" s="2" t="str">
        <x:v>2027-12</x:v>
      </x:c>
      <x:c r="C238" s="2" t="n">
        <x:v>2</x:v>
      </x:c>
      <x:c r="D238" s="13" t="str">
        <x:v>ҚҚС төлеми</x:v>
      </x:c>
      <x:c r="E238" s="14" t="n">
        <x:v>46772</x:v>
      </x:c>
      <x:c r="F238" s="12"/>
      <x:c r="G238" s="11" t="n">
        <x:v>0</x:v>
      </x:c>
      <x:c r="H238" s="13" t="str">
        <x:v>Есапланған салық бойынша</x:v>
      </x:c>
      <x:c r="I238" s="2" t="str">
        <x:v>F</x:v>
      </x:c>
      <x:c r="J238" s="14" t="n">
        <x:f>IF(F238="",E238-'Басшы жуўмағы'!$B$6,F238-'Басшы жуўмағы'!$B$6)</x:f>
        <x:v>46769</x:v>
      </x:c>
      <x:c r="K238" s="2" t="str">
        <x:f>IF(AND(G238=1,ISNUMBER(F238)),"Расталды","Растаў керек")</x:f>
        <x:v>Растаў керек</x:v>
      </x:c>
    </x:row>
    <x:row r="239" ht="48" customHeight="1">
      <x:c r="A239" s="2" t="n">
        <x:v>232</x:v>
      </x:c>
      <x:c r="B239" s="2" t="str">
        <x:v>2027-12</x:v>
      </x:c>
      <x:c r="C239" s="2" t="n">
        <x:v>3</x:v>
      </x:c>
      <x:c r="D239" s="13" t="str">
        <x:v>Айланба салығы есабаты</x:v>
      </x:c>
      <x:c r="E239" s="14" t="n">
        <x:v>46767</x:v>
      </x:c>
      <x:c r="F239" s="12"/>
      <x:c r="G239" s="11" t="n">
        <x:v>0</x:v>
      </x:c>
      <x:c r="H239" s="13" t="str">
        <x:v>Айланба салығы төлеўши</x:v>
      </x:c>
      <x:c r="I239" s="2" t="str">
        <x:v>G</x:v>
      </x:c>
      <x:c r="J239" s="14" t="n">
        <x:f>IF(F239="",E239-'Басшы жуўмағы'!$B$6,F239-'Басшы жуўмағы'!$B$6)</x:f>
        <x:v>46764</x:v>
      </x:c>
      <x:c r="K239" s="2" t="str">
        <x:f>IF(AND(G239=1,ISNUMBER(F239)),"Расталды","Растаў керек")</x:f>
        <x:v>Растаў керек</x:v>
      </x:c>
    </x:row>
    <x:row r="240" ht="48" customHeight="1">
      <x:c r="A240" s="2" t="n">
        <x:v>233</x:v>
      </x:c>
      <x:c r="B240" s="2" t="str">
        <x:v>2027-12</x:v>
      </x:c>
      <x:c r="C240" s="2" t="n">
        <x:v>4</x:v>
      </x:c>
      <x:c r="D240" s="13" t="str">
        <x:v>Айланба салығы төлеми</x:v>
      </x:c>
      <x:c r="E240" s="14" t="n">
        <x:v>46767</x:v>
      </x:c>
      <x:c r="F240" s="12"/>
      <x:c r="G240" s="11" t="n">
        <x:v>0</x:v>
      </x:c>
      <x:c r="H240" s="13" t="str">
        <x:v>Салық суммасы бойынша</x:v>
      </x:c>
      <x:c r="I240" s="2" t="str">
        <x:v>G</x:v>
      </x:c>
      <x:c r="J240" s="14" t="n">
        <x:f>IF(F240="",E240-'Басшы жуўмағы'!$B$6,F240-'Басшы жуўмағы'!$B$6)</x:f>
        <x:v>46764</x:v>
      </x:c>
      <x:c r="K240" s="2" t="str">
        <x:f>IF(AND(G240=1,ISNUMBER(F240)),"Расталды","Растаў керек")</x:f>
        <x:v>Растаў керек</x:v>
      </x:c>
    </x:row>
    <x:row r="241" ht="48" customHeight="1">
      <x:c r="A241" s="2" t="n">
        <x:v>234</x:v>
      </x:c>
      <x:c r="B241" s="2" t="str">
        <x:v>2027-12</x:v>
      </x:c>
      <x:c r="C241" s="2" t="n">
        <x:v>5</x:v>
      </x:c>
      <x:c r="D241" s="13" t="str">
        <x:v>Дәрамат салығы есабаты</x:v>
      </x:c>
      <x:c r="E241" s="14" t="n">
        <x:v>46767</x:v>
      </x:c>
      <x:c r="F241" s="12"/>
      <x:c r="G241" s="11" t="n">
        <x:v>0</x:v>
      </x:c>
      <x:c r="H241" s="13" t="str">
        <x:v>Салық агенти</x:v>
      </x:c>
      <x:c r="I241" s="2" t="str">
        <x:v>I</x:v>
      </x:c>
      <x:c r="J241" s="14" t="n">
        <x:f>IF(F241="",E241-'Басшы жуўмағы'!$B$6,F241-'Басшы жуўмағы'!$B$6)</x:f>
        <x:v>46764</x:v>
      </x:c>
      <x:c r="K241" s="2" t="str">
        <x:f>IF(AND(G241=1,ISNUMBER(F241)),"Расталды","Растаў керек")</x:f>
        <x:v>Растаў керек</x:v>
      </x:c>
    </x:row>
    <x:row r="242" ht="48" customHeight="1">
      <x:c r="A242" s="2" t="n">
        <x:v>235</x:v>
      </x:c>
      <x:c r="B242" s="2" t="str">
        <x:v>2027-12</x:v>
      </x:c>
      <x:c r="C242" s="2" t="n">
        <x:v>6</x:v>
      </x:c>
      <x:c r="D242" s="13" t="str">
        <x:v>Социаллық салық есабаты</x:v>
      </x:c>
      <x:c r="E242" s="14" t="n">
        <x:v>46767</x:v>
      </x:c>
      <x:c r="F242" s="12"/>
      <x:c r="G242" s="11" t="n">
        <x:v>0</x:v>
      </x:c>
      <x:c r="H242" s="13" t="str">
        <x:v>Айлық салықлары тийисли</x:v>
      </x:c>
      <x:c r="I242" s="2" t="str">
        <x:v>I</x:v>
      </x:c>
      <x:c r="J242" s="14" t="n">
        <x:f>IF(F242="",E242-'Басшы жуўмағы'!$B$6,F242-'Басшы жуўмағы'!$B$6)</x:f>
        <x:v>46764</x:v>
      </x:c>
      <x:c r="K242" s="2" t="str">
        <x:f>IF(AND(G242=1,ISNUMBER(F242)),"Расталды","Растаў керек")</x:f>
        <x:v>Растаў керек</x:v>
      </x:c>
    </x:row>
    <x:row r="243" ht="48" customHeight="1">
      <x:c r="A243" s="2" t="n">
        <x:v>236</x:v>
      </x:c>
      <x:c r="B243" s="2" t="str">
        <x:v>2027-12</x:v>
      </x:c>
      <x:c r="C243" s="2" t="n">
        <x:v>7</x:v>
      </x:c>
      <x:c r="D243" s="13" t="str">
        <x:v>Социаллық салық төлеми</x:v>
      </x:c>
      <x:c r="E243" s="14" t="n">
        <x:v>46767</x:v>
      </x:c>
      <x:c r="F243" s="12"/>
      <x:c r="G243" s="11" t="n">
        <x:v>0</x:v>
      </x:c>
      <x:c r="H243" s="13" t="str">
        <x:v>Салық суммасы бойынша</x:v>
      </x:c>
      <x:c r="I243" s="2" t="str">
        <x:v>I</x:v>
      </x:c>
      <x:c r="J243" s="14" t="n">
        <x:f>IF(F243="",E243-'Басшы жуўмағы'!$B$6,F243-'Басшы жуўмағы'!$B$6)</x:f>
        <x:v>46764</x:v>
      </x:c>
      <x:c r="K243" s="2" t="str">
        <x:f>IF(AND(G243=1,ISNUMBER(F243)),"Расталды","Растаў керек")</x:f>
        <x:v>Растаў керек</x:v>
      </x:c>
    </x:row>
    <x:row r="244" ht="48" customHeight="1">
      <x:c r="A244" s="2" t="n">
        <x:v>237</x:v>
      </x:c>
      <x:c r="B244" s="2" t="str">
        <x:v>2027-12</x:v>
      </x:c>
      <x:c r="C244" s="2" t="n">
        <x:v>8</x:v>
      </x:c>
      <x:c r="D244" s="13" t="str">
        <x:v>Акциз есабаты ҳәм төлемин тексериў</x:v>
      </x:c>
      <x:c r="E244" s="14" t="n">
        <x:v>46762</x:v>
      </x:c>
      <x:c r="F244" s="12"/>
      <x:c r="G244" s="11" t="n">
        <x:v>0</x:v>
      </x:c>
      <x:c r="H244" s="13" t="str">
        <x:v>Акциз төлеўши</x:v>
      </x:c>
      <x:c r="I244" s="2" t="str">
        <x:v>N</x:v>
      </x:c>
      <x:c r="J244" s="14" t="n">
        <x:f>IF(F244="",E244-'Басшы жуўмағы'!$B$6,F244-'Басшы жуўмағы'!$B$6)</x:f>
        <x:v>46759</x:v>
      </x:c>
      <x:c r="K244" s="2" t="str">
        <x:f>IF(AND(G244=1,ISNUMBER(F244)),"Расталды","Растаў керек")</x:f>
        <x:v>Растаў керек</x:v>
      </x:c>
    </x:row>
    <x:row r="245" ht="48" customHeight="1">
      <x:c r="A245" s="2" t="n">
        <x:v>238</x:v>
      </x:c>
      <x:c r="B245" s="2" t="str">
        <x:v>2027-12</x:v>
      </x:c>
      <x:c r="C245" s="2" t="n">
        <x:v>9</x:v>
      </x:c>
      <x:c r="D245" s="13" t="str">
        <x:v>Дивиденд ҳәм процент салығы есабаты</x:v>
      </x:c>
      <x:c r="E245" s="14" t="n">
        <x:v>46772</x:v>
      </x:c>
      <x:c r="F245" s="12"/>
      <x:c r="G245" s="11" t="n">
        <x:v>0</x:v>
      </x:c>
      <x:c r="H245" s="13" t="str">
        <x:v>Дивиденд / процент есапланған болса</x:v>
      </x:c>
      <x:c r="I245" s="2" t="str">
        <x:v>O</x:v>
      </x:c>
      <x:c r="J245" s="14" t="n">
        <x:f>IF(F245="",E245-'Басшы жуўмағы'!$B$6,F245-'Басшы жуўмағы'!$B$6)</x:f>
        <x:v>46769</x:v>
      </x:c>
      <x:c r="K245" s="2" t="str">
        <x:f>IF(AND(G245=1,ISNUMBER(F245)),"Расталды","Растаў керек")</x:f>
        <x:v>Растаў керек</x:v>
      </x:c>
    </x:row>
    <x:row r="246" ht="48" customHeight="1">
      <x:c r="A246" s="2" t="n">
        <x:v>239</x:v>
      </x:c>
      <x:c r="B246" s="2" t="str">
        <x:v>2027-12</x:v>
      </x:c>
      <x:c r="C246" s="2" t="n">
        <x:v>10</x:v>
      </x:c>
      <x:c r="D246" s="13" t="str">
        <x:v>Норезидент дәраматы салығы есабаты</x:v>
      </x:c>
      <x:c r="E246" s="14" t="n">
        <x:v>46772</x:v>
      </x:c>
      <x:c r="F246" s="12"/>
      <x:c r="G246" s="11" t="n">
        <x:v>0</x:v>
      </x:c>
      <x:c r="H246" s="13" t="str">
        <x:v>Тийисли төлемлер болса</x:v>
      </x:c>
      <x:c r="I246" s="2" t="str">
        <x:v>P</x:v>
      </x:c>
      <x:c r="J246" s="14" t="n">
        <x:f>IF(F246="",E246-'Басшы жуўмағы'!$B$6,F246-'Басшы жуўмағы'!$B$6)</x:f>
        <x:v>46769</x:v>
      </x:c>
      <x:c r="K246" s="2" t="str">
        <x:f>IF(AND(G246=1,ISNUMBER(F246)),"Расталды","Растаў керек")</x:f>
        <x:v>Растаў керек</x:v>
      </x:c>
    </x:row>
    <x:row r="247" ht="48" customHeight="1">
      <x:c r="A247" s="2" t="n">
        <x:v>240</x:v>
      </x:c>
      <x:c r="B247" s="2" t="str">
        <x:v>2027-12</x:v>
      </x:c>
      <x:c r="C247" s="2" t="n">
        <x:v>11</x:v>
      </x:c>
      <x:c r="D247" s="13" t="str">
        <x:v>Жер қойнаўынан пайдаланыў есабаты</x:v>
      </x:c>
      <x:c r="E247" s="14" t="n">
        <x:v>46772</x:v>
      </x:c>
      <x:c r="F247" s="12"/>
      <x:c r="G247" s="11" t="n">
        <x:v>0</x:v>
      </x:c>
      <x:c r="H247" s="13" t="str">
        <x:v>Жер қойнауы ресурсы бойынша</x:v>
      </x:c>
      <x:c r="I247" s="2" t="str">
        <x:v>Q</x:v>
      </x:c>
      <x:c r="J247" s="14" t="n">
        <x:f>IF(F247="",E247-'Басшы жуўмағы'!$B$6,F247-'Басшы жуўмағы'!$B$6)</x:f>
        <x:v>46769</x:v>
      </x:c>
      <x:c r="K247" s="2" t="str">
        <x:f>IF(AND(G247=1,ISNUMBER(F247)),"Расталды","Растаў керек")</x:f>
        <x:v>Растаў керек</x:v>
      </x:c>
    </x:row>
    <x:row r="248" ht="48" customHeight="1">
      <x:c r="A248" s="2" t="n">
        <x:v>241</x:v>
      </x:c>
      <x:c r="B248" s="2" t="str">
        <x:v>2026</x:v>
      </x:c>
      <x:c r="C248" s="2" t="n">
        <x:v>17</x:v>
      </x:c>
      <x:c r="D248" s="13" t="str">
        <x:v>Пайда салығы жыллық есабаты</x:v>
      </x:c>
      <x:c r="E248" s="14" t="n">
        <x:v>46447</x:v>
      </x:c>
      <x:c r="F248" s="12"/>
      <x:c r="G248" s="11" t="n">
        <x:v>0</x:v>
      </x:c>
      <x:c r="H248" s="13" t="str">
        <x:v>Жыллық жуўмақ</x:v>
      </x:c>
      <x:c r="I248" s="2" t="str">
        <x:v>H</x:v>
      </x:c>
      <x:c r="J248" s="14" t="n">
        <x:f>IF(F248="",E248-'Басшы жуўмағы'!$B$6,F248-'Басшы жуўмағы'!$B$6)</x:f>
        <x:v>46444</x:v>
      </x:c>
      <x:c r="K248" s="2" t="str">
        <x:f>IF(AND(G248=1,ISNUMBER(F248)),"Расталды","Растаў керек")</x:f>
        <x:v>Растаў керек</x:v>
      </x:c>
    </x:row>
    <x:row r="249" ht="48" customHeight="1">
      <x:c r="A249" s="2" t="n">
        <x:v>242</x:v>
      </x:c>
      <x:c r="B249" s="2" t="str">
        <x:v>2026</x:v>
      </x:c>
      <x:c r="C249" s="2" t="n">
        <x:v>18</x:v>
      </x:c>
      <x:c r="D249" s="13" t="str">
        <x:v>Айланба салығы жыллық есабаты</x:v>
      </x:c>
      <x:c r="E249" s="14" t="n">
        <x:v>46433</x:v>
      </x:c>
      <x:c r="F249" s="12"/>
      <x:c r="G249" s="11" t="n">
        <x:v>0</x:v>
      </x:c>
      <x:c r="H249" s="13" t="str">
        <x:v>Жыллық жуўмақ</x:v>
      </x:c>
      <x:c r="I249" s="2" t="str">
        <x:v>G</x:v>
      </x:c>
      <x:c r="J249" s="14" t="n">
        <x:f>IF(F249="",E249-'Басшы жуўмағы'!$B$6,F249-'Басшы жуўмағы'!$B$6)</x:f>
        <x:v>46430</x:v>
      </x:c>
      <x:c r="K249" s="2" t="str">
        <x:f>IF(AND(G249=1,ISNUMBER(F249)),"Расталды","Растаў керек")</x:f>
        <x:v>Растаў керек</x:v>
      </x:c>
    </x:row>
    <x:row r="250" ht="48" customHeight="1">
      <x:c r="A250" s="2" t="n">
        <x:v>243</x:v>
      </x:c>
      <x:c r="B250" s="2" t="str">
        <x:v>2026</x:v>
      </x:c>
      <x:c r="C250" s="2" t="n">
        <x:v>19</x:v>
      </x:c>
      <x:c r="D250" s="13" t="str">
        <x:v>Айлық салықлары жыллық есабаты</x:v>
      </x:c>
      <x:c r="E250" s="14" t="n">
        <x:v>46433</x:v>
      </x:c>
      <x:c r="F250" s="12"/>
      <x:c r="G250" s="11" t="n">
        <x:v>0</x:v>
      </x:c>
      <x:c r="H250" s="13" t="str">
        <x:v>Дәрамат ҳәм социаллық салық</x:v>
      </x:c>
      <x:c r="I250" s="2" t="str">
        <x:v>I</x:v>
      </x:c>
      <x:c r="J250" s="14" t="n">
        <x:f>IF(F250="",E250-'Басшы жуўмағы'!$B$6,F250-'Басшы жуўмағы'!$B$6)</x:f>
        <x:v>46430</x:v>
      </x:c>
      <x:c r="K250" s="2" t="str">
        <x:f>IF(AND(G250=1,ISNUMBER(F250)),"Расталды","Растаў керек")</x:f>
        <x:v>Растаў керек</x:v>
      </x:c>
    </x:row>
    <x:row r="251" ht="48" customHeight="1">
      <x:c r="A251" s="2" t="n">
        <x:v>244</x:v>
      </x:c>
      <x:c r="B251" s="2" t="str">
        <x:v>2027</x:v>
      </x:c>
      <x:c r="C251" s="2" t="n">
        <x:v>17</x:v>
      </x:c>
      <x:c r="D251" s="13" t="str">
        <x:v>Пайда салығы жыллық есабаты</x:v>
      </x:c>
      <x:c r="E251" s="14" t="n">
        <x:v>46813</x:v>
      </x:c>
      <x:c r="F251" s="12"/>
      <x:c r="G251" s="11" t="n">
        <x:v>0</x:v>
      </x:c>
      <x:c r="H251" s="13" t="str">
        <x:v>Жыллық жуўмақ</x:v>
      </x:c>
      <x:c r="I251" s="2" t="str">
        <x:v>H</x:v>
      </x:c>
      <x:c r="J251" s="14" t="n">
        <x:f>IF(F251="",E251-'Басшы жуўмағы'!$B$6,F251-'Басшы жуўмағы'!$B$6)</x:f>
        <x:v>46810</x:v>
      </x:c>
      <x:c r="K251" s="2" t="str">
        <x:f>IF(AND(G251=1,ISNUMBER(F251)),"Расталды","Растаў керек")</x:f>
        <x:v>Растаў керек</x:v>
      </x:c>
    </x:row>
    <x:row r="252" ht="48" customHeight="1">
      <x:c r="A252" s="2" t="n">
        <x:v>245</x:v>
      </x:c>
      <x:c r="B252" s="2" t="str">
        <x:v>2027</x:v>
      </x:c>
      <x:c r="C252" s="2" t="n">
        <x:v>18</x:v>
      </x:c>
      <x:c r="D252" s="13" t="str">
        <x:v>Айланба салығы жыллық есабаты</x:v>
      </x:c>
      <x:c r="E252" s="14" t="n">
        <x:v>46798</x:v>
      </x:c>
      <x:c r="F252" s="12"/>
      <x:c r="G252" s="11" t="n">
        <x:v>0</x:v>
      </x:c>
      <x:c r="H252" s="13" t="str">
        <x:v>Жыллық жуўмақ</x:v>
      </x:c>
      <x:c r="I252" s="2" t="str">
        <x:v>G</x:v>
      </x:c>
      <x:c r="J252" s="14" t="n">
        <x:f>IF(F252="",E252-'Басшы жуўмағы'!$B$6,F252-'Басшы жуўмағы'!$B$6)</x:f>
        <x:v>46795</x:v>
      </x:c>
      <x:c r="K252" s="2" t="str">
        <x:f>IF(AND(G252=1,ISNUMBER(F252)),"Расталды","Растаў керек")</x:f>
        <x:v>Растаў керек</x:v>
      </x:c>
    </x:row>
    <x:row r="253" ht="48" customHeight="1">
      <x:c r="A253" s="2" t="n">
        <x:v>246</x:v>
      </x:c>
      <x:c r="B253" s="2" t="str">
        <x:v>2027</x:v>
      </x:c>
      <x:c r="C253" s="2" t="n">
        <x:v>19</x:v>
      </x:c>
      <x:c r="D253" s="13" t="str">
        <x:v>Айлық салықлары жыллық есабаты</x:v>
      </x:c>
      <x:c r="E253" s="14" t="n">
        <x:v>46798</x:v>
      </x:c>
      <x:c r="F253" s="12"/>
      <x:c r="G253" s="11" t="n">
        <x:v>0</x:v>
      </x:c>
      <x:c r="H253" s="13" t="str">
        <x:v>Дәрамат ҳәм социаллық салық</x:v>
      </x:c>
      <x:c r="I253" s="2" t="str">
        <x:v>I</x:v>
      </x:c>
      <x:c r="J253" s="14" t="n">
        <x:f>IF(F253="",E253-'Басшы жуўмағы'!$B$6,F253-'Басшы жуўмағы'!$B$6)</x:f>
        <x:v>46795</x:v>
      </x:c>
      <x:c r="K253" s="2" t="str">
        <x:f>IF(AND(G253=1,ISNUMBER(F253)),"Расталды","Растаў керек")</x:f>
        <x:v>Растаў керек</x:v>
      </x:c>
    </x:row>
    <x:row r="254" ht="48" customHeight="1">
      <x:c r="A254" s="2" t="n">
        <x:v>247</x:v>
      </x:c>
      <x:c r="B254" s="2" t="str">
        <x:v>2027</x:v>
      </x:c>
      <x:c r="C254" s="2" t="n">
        <x:v>20</x:v>
      </x:c>
      <x:c r="D254" s="13" t="str">
        <x:v>Жер салығы жыллық есабаты</x:v>
      </x:c>
      <x:c r="E254" s="14" t="n">
        <x:v>46407</x:v>
      </x:c>
      <x:c r="F254" s="12"/>
      <x:c r="G254" s="11" t="n">
        <x:v>0</x:v>
      </x:c>
      <x:c r="H254" s="13" t="str">
        <x:v>Аўыл хожалығы емес жер</x:v>
      </x:c>
      <x:c r="I254" s="2" t="str">
        <x:v>K</x:v>
      </x:c>
      <x:c r="J254" s="14" t="n">
        <x:f>IF(F254="",E254-'Басшы жуўмағы'!$B$6,F254-'Басшы жуўмағы'!$B$6)</x:f>
        <x:v>46404</x:v>
      </x:c>
      <x:c r="K254" s="2" t="str">
        <x:f>IF(AND(G254=1,ISNUMBER(F254)),"Расталды","Растаў керек")</x:f>
        <x:v>Растаў керек</x:v>
      </x:c>
    </x:row>
    <x:row r="255" ht="48" customHeight="1">
      <x:c r="A255" s="2" t="n">
        <x:v>248</x:v>
      </x:c>
      <x:c r="B255" s="2" t="str">
        <x:v>2027</x:v>
      </x:c>
      <x:c r="C255" s="2" t="n">
        <x:v>21</x:v>
      </x:c>
      <x:c r="D255" s="13" t="str">
        <x:v>Суў салығы аванс мағлыўматнамасы</x:v>
      </x:c>
      <x:c r="E255" s="14" t="n">
        <x:v>46407</x:v>
      </x:c>
      <x:c r="F255" s="12"/>
      <x:c r="G255" s="11" t="n">
        <x:v>0</x:v>
      </x:c>
      <x:c r="H255" s="13" t="str">
        <x:v>Күтилип атырған суў көлеми бойынша</x:v>
      </x:c>
      <x:c r="I255" s="2" t="str">
        <x:v>L</x:v>
      </x:c>
      <x:c r="J255" s="14" t="n">
        <x:f>IF(F255="",E255-'Басшы жуўмағы'!$B$6,F255-'Басшы жуўмағы'!$B$6)</x:f>
        <x:v>46404</x:v>
      </x:c>
      <x:c r="K255" s="2" t="str">
        <x:f>IF(AND(G255=1,ISNUMBER(F255)),"Расталды","Растаў керек")</x:f>
        <x:v>Растаў керек</x:v>
      </x:c>
    </x:row>
    <x:row r="256" ht="28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</x:row>
    <x:row r="257" ht="28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</x:row>
    <x:row r="258" ht="28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</x:row>
    <x:row r="259" ht="28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</x:row>
    <x:row r="260" ht="28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</x:row>
    <x:row r="261" ht="28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</x:row>
    <x:row r="262" ht="28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</x:row>
    <x:row r="263" ht="28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</x:row>
  </x:sheetData>
  <x:dataValidations count="1">
    <x:dataValidation type="whole" operator="between" sqref="G8:G25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3c1329e416a4b67"/>
  </x:tableParts>
</x:worksheet>
</file>

<file path=xl/worksheets/sheet9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40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8" customHeight="1">
      <x:c r="A2" s="3" t="str">
        <x:v>КЛИЕНТЛЕР ҲӘМ САЛЫҚ МӘРТЕБЕСИ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8" customHeight="1">
      <x:c r="A4" s="2" t="str">
        <x:v>Алдыңғы файлдағы белгілер бастапқы мағлыўмат. Шахсий кабинет ҳәм ҳүжжетлер бойынша тексериң.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8" customHeight="1">
      <x:c r="A5" s="2" t="str">
        <x:v>1 — тийисли; 0 — тийисли емес; бос — анықланбаған. T бағаны: 1 — толық тексерилди, 0 — тексерилмеди.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8" customHeight="1">
      <x:c r="A6" s="2" t="str">
        <x:v>V — суў айлық авансы шарты (&gt;200 БҲМ ҳәм тийисли режим) бөлек тексериледи.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50" customHeight="1">
      <x:c r="A7" s="8" t="str">
        <x:v>Клиент коды</x:v>
      </x:c>
      <x:c r="B7" s="8" t="str">
        <x:v>Клиент / фирма</x:v>
      </x:c>
      <x:c r="C7" s="8" t="str">
        <x:v>ИНН</x:v>
      </x:c>
      <x:c r="D7" s="8" t="str">
        <x:v>Куратор коды</x:v>
      </x:c>
      <x:c r="E7" s="8" t="str">
        <x:v>Куратор</x:v>
      </x:c>
      <x:c r="F7" s="8" t="str">
        <x:v>ҚҚС</x:v>
      </x:c>
      <x:c r="G7" s="8" t="str">
        <x:v>Айланба</x:v>
      </x:c>
      <x:c r="H7" s="8" t="str">
        <x:v>Пайда</x:v>
      </x:c>
      <x:c r="I7" s="8" t="str">
        <x:v>Айлық салықлары</x:v>
      </x:c>
      <x:c r="J7" s="8" t="str">
        <x:v>Мүлк</x:v>
      </x:c>
      <x:c r="K7" s="8" t="str">
        <x:v>Жер</x:v>
      </x:c>
      <x:c r="L7" s="8" t="str">
        <x:v>Суў</x:v>
      </x:c>
      <x:c r="M7" s="8" t="str">
        <x:v>Пайда авансы</x:v>
      </x:c>
      <x:c r="N7" s="8" t="str">
        <x:v>Акциз</x:v>
      </x:c>
      <x:c r="O7" s="8" t="str">
        <x:v>Дивиденд</x:v>
      </x:c>
      <x:c r="P7" s="8" t="str">
        <x:v>Норезидент</x:v>
      </x:c>
      <x:c r="Q7" s="8" t="str">
        <x:v>Жер қойнауы</x:v>
      </x:c>
      <x:c r="R7" s="8" t="str">
        <x:v>Арнаўлы рента</x:v>
      </x:c>
      <x:c r="S7" s="8" t="str">
        <x:v>Алкоголь жыйымы</x:v>
      </x:c>
      <x:c r="T7" s="8" t="str">
        <x:v>Тексерилди (0/1)</x:v>
      </x:c>
      <x:c r="U7" s="8" t="str">
        <x:v>Тексериў сәнеси</x:v>
      </x:c>
      <x:c r="V7" s="8" t="str">
        <x:v>Суў айлық авансы (0/1)</x:v>
      </x:c>
    </x:row>
    <x:row r="8" ht="28" customHeight="1">
      <x:c r="A8" s="2" t="n">
        <x:v>1</x:v>
      </x:c>
      <x:c r="B8" s="2" t="str">
        <x:v>SHERXAN-MONTAJ-SERVIS MCHJ</x:v>
      </x:c>
      <x:c r="C8" s="2" t="str">
        <x:v>304646387</x:v>
      </x:c>
      <x:c r="D8" s="10" t="n">
        <x:v>1</x:v>
      </x:c>
      <x:c r="E8" s="10" t="str">
        <x:v>АЛЕКСАНДР</x:v>
      </x:c>
      <x:c r="F8" s="11" t="n">
        <x:v>1</x:v>
      </x:c>
      <x:c r="G8" s="11" t="n">
        <x:v>0</x:v>
      </x:c>
      <x:c r="H8" s="11" t="n">
        <x:v>1</x:v>
      </x:c>
      <x:c r="I8" s="11" t="n">
        <x:v>1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 t="n">
        <x:v>0</x:v>
      </x:c>
      <x:c r="U8" s="12"/>
      <x:c r="V8" s="4"/>
    </x:row>
    <x:row r="9" ht="28" customHeight="1">
      <x:c r="A9" s="2" t="n">
        <x:v>2</x:v>
      </x:c>
      <x:c r="B9" s="2" t="str">
        <x:v>ZIUAR  XK</x:v>
      </x:c>
      <x:c r="C9" s="2" t="str">
        <x:v>201239351</x:v>
      </x:c>
      <x:c r="D9" s="10" t="n">
        <x:v>1</x:v>
      </x:c>
      <x:c r="E9" s="10" t="str">
        <x:v>АЛЕКСАНДР</x:v>
      </x:c>
      <x:c r="F9" s="11" t="n">
        <x:v>1</x:v>
      </x:c>
      <x:c r="G9" s="11" t="n">
        <x:v>0</x:v>
      </x:c>
      <x:c r="H9" s="11" t="n">
        <x:v>1</x:v>
      </x:c>
      <x:c r="I9" s="11" t="n">
        <x:v>1</x:v>
      </x:c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 t="n">
        <x:v>0</x:v>
      </x:c>
      <x:c r="U9" s="12"/>
      <x:c r="V9" s="4"/>
    </x:row>
    <x:row r="10" ht="28" customHeight="1">
      <x:c r="A10" s="2" t="n">
        <x:v>3</x:v>
      </x:c>
      <x:c r="B10" s="2" t="str">
        <x:v>TURAN IMPEX  MCHJ</x:v>
      </x:c>
      <x:c r="C10" s="2" t="str">
        <x:v>305656517</x:v>
      </x:c>
      <x:c r="D10" s="10" t="n">
        <x:v>1</x:v>
      </x:c>
      <x:c r="E10" s="10" t="str">
        <x:v>АЛЕКСАНДР</x:v>
      </x:c>
      <x:c r="F10" s="11" t="n">
        <x:v>1</x:v>
      </x:c>
      <x:c r="G10" s="11" t="n">
        <x:v>0</x:v>
      </x:c>
      <x:c r="H10" s="11" t="n">
        <x:v>1</x:v>
      </x:c>
      <x:c r="I10" s="11" t="n">
        <x:v>1</x:v>
      </x:c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 t="n">
        <x:v>0</x:v>
      </x:c>
      <x:c r="U10" s="12"/>
      <x:c r="V10" s="4"/>
    </x:row>
    <x:row r="11" ht="28" customHeight="1">
      <x:c r="A11" s="2" t="n">
        <x:v>4</x:v>
      </x:c>
      <x:c r="B11" s="2" t="str">
        <x:v>AVTO-MOTOR  MCHJ</x:v>
      </x:c>
      <x:c r="C11" s="2" t="str">
        <x:v>307175379</x:v>
      </x:c>
      <x:c r="D11" s="10" t="n">
        <x:v>2</x:v>
      </x:c>
      <x:c r="E11" s="10" t="str">
        <x:v>САЛАМАТ</x:v>
      </x:c>
      <x:c r="F11" s="11" t="n">
        <x:v>1</x:v>
      </x:c>
      <x:c r="G11" s="11" t="n">
        <x:v>0</x:v>
      </x:c>
      <x:c r="H11" s="11" t="n">
        <x:v>1</x:v>
      </x:c>
      <x:c r="I11" s="11" t="n">
        <x:v>1</x:v>
      </x:c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 t="n">
        <x:v>0</x:v>
      </x:c>
      <x:c r="U11" s="12"/>
      <x:c r="V11" s="4"/>
    </x:row>
    <x:row r="12" ht="28" customHeight="1">
      <x:c r="A12" s="2" t="n">
        <x:v>5</x:v>
      </x:c>
      <x:c r="B12" s="2" t="str">
        <x:v>SCAAT MCHJ</x:v>
      </x:c>
      <x:c r="C12" s="2" t="str">
        <x:v>311809568</x:v>
      </x:c>
      <x:c r="D12" s="10" t="n">
        <x:v>2</x:v>
      </x:c>
      <x:c r="E12" s="10" t="str">
        <x:v>САЛАМАТ</x:v>
      </x:c>
      <x:c r="F12" s="11" t="n">
        <x:v>1</x:v>
      </x:c>
      <x:c r="G12" s="11" t="n">
        <x:v>0</x:v>
      </x:c>
      <x:c r="H12" s="11" t="n">
        <x:v>1</x:v>
      </x:c>
      <x:c r="I12" s="11" t="n">
        <x:v>1</x:v>
      </x:c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 t="n">
        <x:v>0</x:v>
      </x:c>
      <x:c r="U12" s="12"/>
      <x:c r="V12" s="4"/>
    </x:row>
    <x:row r="13" ht="28" customHeight="1">
      <x:c r="A13" s="2" t="n">
        <x:v>6</x:v>
      </x:c>
      <x:c r="B13" s="2" t="str">
        <x:v>MUXAMMED ALIY</x:v>
      </x:c>
      <x:c r="C13" s="2" t="str">
        <x:v>311378354</x:v>
      </x:c>
      <x:c r="D13" s="10" t="n">
        <x:v>2</x:v>
      </x:c>
      <x:c r="E13" s="10" t="str">
        <x:v>САЛАМАТ</x:v>
      </x:c>
      <x:c r="F13" s="11" t="n">
        <x:v>1</x:v>
      </x:c>
      <x:c r="G13" s="11" t="n">
        <x:v>0</x:v>
      </x:c>
      <x:c r="H13" s="11" t="n">
        <x:v>1</x:v>
      </x:c>
      <x:c r="I13" s="11" t="n">
        <x:v>1</x:v>
      </x:c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 t="n">
        <x:v>0</x:v>
      </x:c>
      <x:c r="U13" s="12"/>
      <x:c r="V13" s="4"/>
    </x:row>
    <x:row r="14" ht="28" customHeight="1">
      <x:c r="A14" s="2" t="n">
        <x:v>7</x:v>
      </x:c>
      <x:c r="B14" s="2" t="str">
        <x:v>ALLAYAR STROY MIX MCHJ</x:v>
      </x:c>
      <x:c r="C14" s="2" t="str">
        <x:v>309931307</x:v>
      </x:c>
      <x:c r="D14" s="10" t="n">
        <x:v>2</x:v>
      </x:c>
      <x:c r="E14" s="10" t="str">
        <x:v>САЛАМАТ</x:v>
      </x:c>
      <x:c r="F14" s="11" t="n">
        <x:v>1</x:v>
      </x:c>
      <x:c r="G14" s="11" t="n">
        <x:v>0</x:v>
      </x:c>
      <x:c r="H14" s="11" t="n">
        <x:v>1</x:v>
      </x:c>
      <x:c r="I14" s="11" t="n">
        <x:v>1</x:v>
      </x:c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 t="n">
        <x:v>0</x:v>
      </x:c>
      <x:c r="U14" s="12"/>
      <x:c r="V14" s="4"/>
    </x:row>
    <x:row r="15" ht="28" customHeight="1">
      <x:c r="A15" s="2" t="n">
        <x:v>8</x:v>
      </x:c>
      <x:c r="B15" s="2" t="str">
        <x:v>GULXAN TURON SAUDA  MCHJ</x:v>
      </x:c>
      <x:c r="C15" s="2" t="str">
        <x:v>303264904</x:v>
      </x:c>
      <x:c r="D15" s="10" t="n">
        <x:v>2</x:v>
      </x:c>
      <x:c r="E15" s="10" t="str">
        <x:v>САЛАМАТ</x:v>
      </x:c>
      <x:c r="F15" s="11" t="n">
        <x:v>0</x:v>
      </x:c>
      <x:c r="G15" s="11" t="n">
        <x:v>1</x:v>
      </x:c>
      <x:c r="H15" s="11"/>
      <x:c r="I15" s="11" t="n">
        <x:v>1</x:v>
      </x:c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 t="n">
        <x:v>0</x:v>
      </x:c>
      <x:c r="U15" s="12"/>
      <x:c r="V15" s="4"/>
    </x:row>
    <x:row r="16" ht="28" customHeight="1">
      <x:c r="A16" s="2" t="n">
        <x:v>9</x:v>
      </x:c>
      <x:c r="B16" s="2" t="str">
        <x:v>NUKUS LAK-BO'YOQLARI  MCHJ</x:v>
      </x:c>
      <x:c r="C16" s="2" t="str">
        <x:v>305557283</x:v>
      </x:c>
      <x:c r="D16" s="10" t="n">
        <x:v>3</x:v>
      </x:c>
      <x:c r="E16" s="10" t="str">
        <x:v>ОРАЛБАЙ</x:v>
      </x:c>
      <x:c r="F16" s="11" t="n">
        <x:v>1</x:v>
      </x:c>
      <x:c r="G16" s="11" t="n">
        <x:v>0</x:v>
      </x:c>
      <x:c r="H16" s="11" t="n">
        <x:v>1</x:v>
      </x:c>
      <x:c r="I16" s="11" t="n">
        <x:v>1</x:v>
      </x:c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 t="n">
        <x:v>0</x:v>
      </x:c>
      <x:c r="U16" s="12"/>
      <x:c r="V16" s="4"/>
    </x:row>
    <x:row r="17" ht="28" customHeight="1">
      <x:c r="A17" s="2" t="n">
        <x:v>10</x:v>
      </x:c>
      <x:c r="B17" s="2" t="str">
        <x:v>ATABEK GULNUR MCHJ</x:v>
      </x:c>
      <x:c r="C17" s="2" t="str">
        <x:v>304834920</x:v>
      </x:c>
      <x:c r="D17" s="10" t="n">
        <x:v>3</x:v>
      </x:c>
      <x:c r="E17" s="10" t="str">
        <x:v>ОРАЛБАЙ</x:v>
      </x:c>
      <x:c r="F17" s="11" t="n">
        <x:v>1</x:v>
      </x:c>
      <x:c r="G17" s="11" t="n">
        <x:v>0</x:v>
      </x:c>
      <x:c r="H17" s="11" t="n">
        <x:v>1</x:v>
      </x:c>
      <x:c r="I17" s="11" t="n">
        <x:v>1</x:v>
      </x:c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 t="n">
        <x:v>0</x:v>
      </x:c>
      <x:c r="U17" s="12"/>
      <x:c r="V17" s="4"/>
    </x:row>
    <x:row r="18" ht="28" customHeight="1">
      <x:c r="A18" s="2" t="n">
        <x:v>11</x:v>
      </x:c>
      <x:c r="B18" s="2" t="str">
        <x:v>AYQUMAR ZALIEVA  MCHJ</x:v>
      </x:c>
      <x:c r="C18" s="2" t="str">
        <x:v>306553344</x:v>
      </x:c>
      <x:c r="D18" s="10" t="n">
        <x:v>4</x:v>
      </x:c>
      <x:c r="E18" s="10" t="str">
        <x:v>ЭЛДАР</x:v>
      </x:c>
      <x:c r="F18" s="11" t="n">
        <x:v>0</x:v>
      </x:c>
      <x:c r="G18" s="11" t="n">
        <x:v>1</x:v>
      </x:c>
      <x:c r="H18" s="11"/>
      <x:c r="I18" s="11" t="n">
        <x:v>1</x:v>
      </x:c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 t="n">
        <x:v>0</x:v>
      </x:c>
      <x:c r="U18" s="12"/>
      <x:c r="V18" s="4"/>
    </x:row>
    <x:row r="19" ht="28" customHeight="1">
      <x:c r="A19" s="2" t="n">
        <x:v>12</x:v>
      </x:c>
      <x:c r="B19" s="2" t="str">
        <x:v>TORT USTIN</x:v>
      </x:c>
      <x:c r="C19" s="2" t="str">
        <x:v>311813801</x:v>
      </x:c>
      <x:c r="D19" s="10" t="n">
        <x:v>4</x:v>
      </x:c>
      <x:c r="E19" s="10" t="str">
        <x:v>ЭЛДАР</x:v>
      </x:c>
      <x:c r="F19" s="11" t="n">
        <x:v>0</x:v>
      </x:c>
      <x:c r="G19" s="11" t="n">
        <x:v>1</x:v>
      </x:c>
      <x:c r="H19" s="11"/>
      <x:c r="I19" s="11" t="n">
        <x:v>1</x:v>
      </x:c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 t="n">
        <x:v>0</x:v>
      </x:c>
      <x:c r="U19" s="12"/>
      <x:c r="V19" s="4"/>
    </x:row>
    <x:row r="20" ht="28" customHeight="1">
      <x:c r="A20" s="2" t="n">
        <x:v>13</x:v>
      </x:c>
      <x:c r="B20" s="2" t="str">
        <x:v>ALIXAN AYLIN MCHJ</x:v>
      </x:c>
      <x:c r="C20" s="2" t="str">
        <x:v>312012943</x:v>
      </x:c>
      <x:c r="D20" s="10" t="n">
        <x:v>3</x:v>
      </x:c>
      <x:c r="E20" s="10" t="str">
        <x:v>ОРАЛБАЙ</x:v>
      </x:c>
      <x:c r="F20" s="11" t="n">
        <x:v>1</x:v>
      </x:c>
      <x:c r="G20" s="11" t="n">
        <x:v>0</x:v>
      </x:c>
      <x:c r="H20" s="11" t="n">
        <x:v>1</x:v>
      </x:c>
      <x:c r="I20" s="11" t="n">
        <x:v>1</x:v>
      </x:c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 t="n">
        <x:v>0</x:v>
      </x:c>
      <x:c r="U20" s="12"/>
      <x:c r="V20" s="4"/>
    </x:row>
    <x:row r="21" ht="28" customHeight="1">
      <x:c r="A21" s="2" t="n">
        <x:v>14</x:v>
      </x:c>
      <x:c r="B21" s="2" t="str">
        <x:v>"BIZNES AZIYA KR"</x:v>
      </x:c>
      <x:c r="C21" s="2" t="str">
        <x:v>310265274</x:v>
      </x:c>
      <x:c r="D21" s="10" t="n">
        <x:v>3</x:v>
      </x:c>
      <x:c r="E21" s="10" t="str">
        <x:v>ОРАЛБАЙ</x:v>
      </x:c>
      <x:c r="F21" s="11" t="n">
        <x:v>1</x:v>
      </x:c>
      <x:c r="G21" s="11" t="n">
        <x:v>0</x:v>
      </x:c>
      <x:c r="H21" s="11" t="n">
        <x:v>1</x:v>
      </x:c>
      <x:c r="I21" s="11" t="n">
        <x:v>1</x:v>
      </x:c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 t="n">
        <x:v>0</x:v>
      </x:c>
      <x:c r="U21" s="12"/>
      <x:c r="V21" s="4"/>
    </x:row>
    <x:row r="22" ht="28" customHeight="1">
      <x:c r="A22" s="2" t="n">
        <x:v>15</x:v>
      </x:c>
      <x:c r="B22" s="2" t="str">
        <x:v>ANNA DILLER GROUP</x:v>
      </x:c>
      <x:c r="C22" s="2" t="str">
        <x:v>312960650</x:v>
      </x:c>
      <x:c r="D22" s="10" t="n">
        <x:v>4</x:v>
      </x:c>
      <x:c r="E22" s="10" t="str">
        <x:v>ЭЛДАР</x:v>
      </x:c>
      <x:c r="F22" s="11" t="n">
        <x:v>1</x:v>
      </x:c>
      <x:c r="G22" s="11" t="n">
        <x:v>0</x:v>
      </x:c>
      <x:c r="H22" s="11" t="n">
        <x:v>1</x:v>
      </x:c>
      <x:c r="I22" s="11" t="n">
        <x:v>1</x:v>
      </x:c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 t="n">
        <x:v>0</x:v>
      </x:c>
      <x:c r="U22" s="12"/>
      <x:c r="V22" s="4"/>
    </x:row>
    <x:row r="23" ht="28" customHeight="1">
      <x:c r="A23" s="2" t="n">
        <x:v>16</x:v>
      </x:c>
      <x:c r="B23" s="2" t="str">
        <x:v>AZAMAT SARDAR ЖШЖ</x:v>
      </x:c>
      <x:c r="C23" s="2" t="str">
        <x:v>312267816</x:v>
      </x:c>
      <x:c r="D23" s="10" t="n">
        <x:v>4</x:v>
      </x:c>
      <x:c r="E23" s="10" t="str">
        <x:v>ЭЛДАР</x:v>
      </x:c>
      <x:c r="F23" s="11" t="n">
        <x:v>0</x:v>
      </x:c>
      <x:c r="G23" s="11" t="n">
        <x:v>1</x:v>
      </x:c>
      <x:c r="H23" s="11"/>
      <x:c r="I23" s="11" t="n">
        <x:v>1</x:v>
      </x:c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 t="n">
        <x:v>0</x:v>
      </x:c>
      <x:c r="U23" s="12"/>
      <x:c r="V23" s="4"/>
    </x:row>
    <x:row r="24" ht="28" customHeight="1">
      <x:c r="A24" s="2" t="n">
        <x:v>17</x:v>
      </x:c>
      <x:c r="B24" s="2" t="str">
        <x:v>CHIMBAY UNITED SERVICES</x:v>
      </x:c>
      <x:c r="C24" s="2" t="str">
        <x:v>312237425</x:v>
      </x:c>
      <x:c r="D24" s="10" t="n">
        <x:v>2</x:v>
      </x:c>
      <x:c r="E24" s="10" t="str">
        <x:v>САЛАМАТ</x:v>
      </x:c>
      <x:c r="F24" s="11" t="n">
        <x:v>1</x:v>
      </x:c>
      <x:c r="G24" s="11" t="n">
        <x:v>0</x:v>
      </x:c>
      <x:c r="H24" s="11" t="n">
        <x:v>1</x:v>
      </x:c>
      <x:c r="I24" s="11" t="n">
        <x:v>1</x:v>
      </x:c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 t="n">
        <x:v>0</x:v>
      </x:c>
      <x:c r="U24" s="12"/>
      <x:c r="V24" s="4"/>
    </x:row>
    <x:row r="25" ht="28" customHeight="1">
      <x:c r="A25" s="2" t="n">
        <x:v>18</x:v>
      </x:c>
      <x:c r="B25" s="2" t="str">
        <x:v>QOŃIRAT UNITED INVESTMENT GROUP</x:v>
      </x:c>
      <x:c r="C25" s="2" t="str">
        <x:v>312713427</x:v>
      </x:c>
      <x:c r="D25" s="10" t="n">
        <x:v>2</x:v>
      </x:c>
      <x:c r="E25" s="10" t="str">
        <x:v>САЛАМАТ</x:v>
      </x:c>
      <x:c r="F25" s="11" t="n">
        <x:v>1</x:v>
      </x:c>
      <x:c r="G25" s="11" t="n">
        <x:v>0</x:v>
      </x:c>
      <x:c r="H25" s="11" t="n">
        <x:v>1</x:v>
      </x:c>
      <x:c r="I25" s="11" t="n">
        <x:v>1</x:v>
      </x:c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 t="n">
        <x:v>0</x:v>
      </x:c>
      <x:c r="U25" s="12"/>
      <x:c r="V25" s="4"/>
    </x:row>
    <x:row r="26" ht="28" customHeight="1">
      <x:c r="A26" s="2" t="n">
        <x:v>19</x:v>
      </x:c>
      <x:c r="B26" s="2" t="str">
        <x:v>DURDANA AYLIN</x:v>
      </x:c>
      <x:c r="C26" s="2" t="str">
        <x:v>311725998</x:v>
      </x:c>
      <x:c r="D26" s="10" t="n">
        <x:v>3</x:v>
      </x:c>
      <x:c r="E26" s="10" t="str">
        <x:v>ОРАЛБАЙ</x:v>
      </x:c>
      <x:c r="F26" s="11" t="n">
        <x:v>1</x:v>
      </x:c>
      <x:c r="G26" s="11" t="n">
        <x:v>0</x:v>
      </x:c>
      <x:c r="H26" s="11" t="n">
        <x:v>1</x:v>
      </x:c>
      <x:c r="I26" s="11" t="n">
        <x:v>1</x:v>
      </x:c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 t="n">
        <x:v>0</x:v>
      </x:c>
      <x:c r="U26" s="12"/>
      <x:c r="V26" s="4"/>
    </x:row>
    <x:row r="27" ht="28" customHeight="1">
      <x:c r="A27" s="2" t="n">
        <x:v>20</x:v>
      </x:c>
      <x:c r="B27" s="2" t="str">
        <x:v>RAMZAN MANSUROVICH</x:v>
      </x:c>
      <x:c r="C27" s="2" t="str">
        <x:v>312713427</x:v>
      </x:c>
      <x:c r="D27" s="10" t="n">
        <x:v>3</x:v>
      </x:c>
      <x:c r="E27" s="10" t="str">
        <x:v>ОРАЛБАЙ</x:v>
      </x:c>
      <x:c r="F27" s="11" t="n">
        <x:v>0</x:v>
      </x:c>
      <x:c r="G27" s="11" t="n">
        <x:v>1</x:v>
      </x:c>
      <x:c r="H27" s="11"/>
      <x:c r="I27" s="11" t="n">
        <x:v>1</x:v>
      </x:c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 t="n">
        <x:v>0</x:v>
      </x:c>
      <x:c r="U27" s="12"/>
      <x:c r="V27" s="4"/>
    </x:row>
    <x:row r="28" ht="28" customHeight="1">
      <x:c r="A28" s="2" t="n">
        <x:v>21</x:v>
      </x:c>
      <x:c r="B28" s="2" t="str">
        <x:v>SILVERBERRY</x:v>
      </x:c>
      <x:c r="C28" s="2" t="str">
        <x:v>303439368</x:v>
      </x:c>
      <x:c r="D28" s="10" t="n">
        <x:v>1</x:v>
      </x:c>
      <x:c r="E28" s="10" t="str">
        <x:v>АЛЕКСАНДР</x:v>
      </x:c>
      <x:c r="F28" s="11" t="n">
        <x:v>1</x:v>
      </x:c>
      <x:c r="G28" s="11" t="n">
        <x:v>0</x:v>
      </x:c>
      <x:c r="H28" s="11" t="n">
        <x:v>1</x:v>
      </x:c>
      <x:c r="I28" s="11" t="n">
        <x:v>1</x:v>
      </x:c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 t="n">
        <x:v>0</x:v>
      </x:c>
      <x:c r="U28" s="12"/>
      <x:c r="V28" s="4"/>
    </x:row>
    <x:row r="29" ht="28" customHeight="1">
      <x:c r="A29" s="2" t="n">
        <x:v>22</x:v>
      </x:c>
      <x:c r="B29" s="2" t="str">
        <x:v>WORLD DISTRIBUTION INVESTMENT</x:v>
      </x:c>
      <x:c r="C29" s="2" t="str">
        <x:v>310926850</x:v>
      </x:c>
      <x:c r="D29" s="10" t="n">
        <x:v>1</x:v>
      </x:c>
      <x:c r="E29" s="10" t="str">
        <x:v>АЛЕКСАНДР</x:v>
      </x:c>
      <x:c r="F29" s="11" t="n">
        <x:v>1</x:v>
      </x:c>
      <x:c r="G29" s="11" t="n">
        <x:v>0</x:v>
      </x:c>
      <x:c r="H29" s="11" t="n">
        <x:v>1</x:v>
      </x:c>
      <x:c r="I29" s="11" t="n">
        <x:v>1</x:v>
      </x:c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 t="n">
        <x:v>0</x:v>
      </x:c>
      <x:c r="U29" s="12"/>
      <x:c r="V29" s="4"/>
    </x:row>
    <x:row r="30" ht="28" customHeight="1">
      <x:c r="A30" s="2" t="n">
        <x:v>23</x:v>
      </x:c>
      <x:c r="B30" s="2" t="str">
        <x:v>AIZER FINANCIER</x:v>
      </x:c>
      <x:c r="C30" s="2" t="str">
        <x:v>313147759</x:v>
      </x:c>
      <x:c r="D30" s="10" t="n">
        <x:v>4</x:v>
      </x:c>
      <x:c r="E30" s="10" t="str">
        <x:v>ЭЛДАР</x:v>
      </x:c>
      <x:c r="F30" s="11" t="n">
        <x:v>0</x:v>
      </x:c>
      <x:c r="G30" s="11" t="n">
        <x:v>1</x:v>
      </x:c>
      <x:c r="H30" s="11"/>
      <x:c r="I30" s="11" t="n">
        <x:v>1</x:v>
      </x:c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 t="n">
        <x:v>0</x:v>
      </x:c>
      <x:c r="U30" s="12"/>
      <x:c r="V30" s="4"/>
    </x:row>
    <x:row r="31" ht="28" customHeight="1">
      <x:c r="A31" s="2" t="n">
        <x:v>24</x:v>
      </x:c>
      <x:c r="B31" s="2" t="str">
        <x:v>ENTER AZIYA KR MCHJ</x:v>
      </x:c>
      <x:c r="C31" s="2" t="str">
        <x:v>312693144</x:v>
      </x:c>
      <x:c r="D31" s="10" t="n">
        <x:v>4</x:v>
      </x:c>
      <x:c r="E31" s="10" t="str">
        <x:v>ЭЛДАР</x:v>
      </x:c>
      <x:c r="F31" s="11" t="n">
        <x:v>1</x:v>
      </x:c>
      <x:c r="G31" s="11" t="n">
        <x:v>0</x:v>
      </x:c>
      <x:c r="H31" s="11" t="n">
        <x:v>1</x:v>
      </x:c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 t="n">
        <x:v>0</x:v>
      </x:c>
      <x:c r="U31" s="12"/>
      <x:c r="V31" s="4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</x:sheetData>
  <x:dataValidations count="2">
    <x:dataValidation type="whole" operator="between" sqref="V8:V31">
      <x:formula1>0</x:formula1>
      <x:formula2>1</x:formula2>
    </x:dataValidation>
    <x:dataValidation type="whole" operator="between" sqref="F8:T31">
      <x:formula1>0</x:formula1>
      <x:formula2>1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САЛЫҚ СУММАСЫН ЕСАПЛАЎ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8" customHeight="1">
      <x:c r="A4" s="2" t="str">
        <x:v>База, ставка, жеңиллик ҳәм аванс суммасын клиент ҳүжжетлеринен киргизиң. Нақты мағлыўматсыз салық суммасы есапланбайды.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8" customHeight="1">
      <x:c r="A5" s="2" t="str">
        <x:v>Процент ставкасын 12% түринде киргизиң; суў / жер ушын ставка бир өлшемге сум менен. ҚҚСты бул үлгиде есапламаң.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50" customHeight="1">
      <x:c r="A7" s="8" t="str">
        <x:v>Клиент коды</x:v>
      </x:c>
      <x:c r="B7" s="8" t="str">
        <x:v>Салық аты</x:v>
      </x:c>
      <x:c r="C7" s="8" t="str">
        <x:v>Дәўир</x:v>
      </x:c>
      <x:c r="D7" s="8" t="str">
        <x:v>База</x:v>
      </x:c>
      <x:c r="E7" s="8" t="str">
        <x:v>Ставка</x:v>
      </x:c>
      <x:c r="F7" s="8" t="str">
        <x:v>Түр коды</x:v>
      </x:c>
      <x:c r="G7" s="8" t="str">
        <x:v>Есапланған салық</x:v>
      </x:c>
      <x:c r="H7" s="8" t="str">
        <x:v>Жеңиллик суммасы</x:v>
      </x:c>
      <x:c r="I7" s="8" t="str">
        <x:v>Аванс / төленген</x:v>
      </x:c>
      <x:c r="J7" s="8" t="str">
        <x:v>Қалған төлем</x:v>
      </x:c>
      <x:c r="K7" s="8" t="str">
        <x:v>Артық төлем</x:v>
      </x:c>
      <x:c r="L7" s="8" t="str">
        <x:v>Тексерилди (0/1)</x:v>
      </x:c>
      <x:c r="M7" s="8" t="str">
        <x:v>Норматив / ескертпе</x:v>
      </x:c>
    </x:row>
    <x:row r="8" ht="28" customHeight="1">
      <x:c r="A8" s="10"/>
      <x:c r="B8" s="10"/>
      <x:c r="C8" s="10"/>
      <x:c r="D8" s="18"/>
      <x:c r="E8" s="18"/>
      <x:c r="F8" s="18"/>
      <x:c r="G8" s="19" t="str">
        <x:f>IF(AND(COUNT(D8:F8)=3,L8=1),D8*E8,"")</x:f>
      </x:c>
      <x:c r="H8" s="18"/>
      <x:c r="I8" s="18"/>
      <x:c r="J8" s="19" t="str">
        <x:f>IF(AND(ISNUMBER(G8),COUNT(H8:I8)=2),MAX(G8-H8-I8,0),"")</x:f>
      </x:c>
      <x:c r="K8" s="19" t="str">
        <x:f>IF(AND(ISNUMBER(G8),COUNT(H8:I8)=2),MAX(H8+I8-G8,0),"")</x:f>
      </x:c>
      <x:c r="L8" s="11"/>
      <x:c r="M8" s="10"/>
    </x:row>
    <x:row r="9" ht="28" customHeight="1">
      <x:c r="A9" s="10"/>
      <x:c r="B9" s="10"/>
      <x:c r="C9" s="10"/>
      <x:c r="D9" s="18"/>
      <x:c r="E9" s="18"/>
      <x:c r="F9" s="18"/>
      <x:c r="G9" s="19" t="str">
        <x:f>IF(AND(COUNT(D9:F9)=3,L9=1),D9*E9,"")</x:f>
      </x:c>
      <x:c r="H9" s="18"/>
      <x:c r="I9" s="18"/>
      <x:c r="J9" s="19" t="str">
        <x:f>IF(AND(ISNUMBER(G9),COUNT(H9:I9)=2),MAX(G9-H9-I9,0),"")</x:f>
      </x:c>
      <x:c r="K9" s="19" t="str">
        <x:f>IF(AND(ISNUMBER(G9),COUNT(H9:I9)=2),MAX(H9+I9-G9,0),"")</x:f>
      </x:c>
      <x:c r="L9" s="11"/>
      <x:c r="M9" s="10"/>
    </x:row>
    <x:row r="10" ht="28" customHeight="1">
      <x:c r="A10" s="10"/>
      <x:c r="B10" s="10"/>
      <x:c r="C10" s="10"/>
      <x:c r="D10" s="18"/>
      <x:c r="E10" s="18"/>
      <x:c r="F10" s="18"/>
      <x:c r="G10" s="19" t="str">
        <x:f>IF(AND(COUNT(D10:F10)=3,L10=1),D10*E10,"")</x:f>
      </x:c>
      <x:c r="H10" s="18"/>
      <x:c r="I10" s="18"/>
      <x:c r="J10" s="19" t="str">
        <x:f>IF(AND(ISNUMBER(G10),COUNT(H10:I10)=2),MAX(G10-H10-I10,0),"")</x:f>
      </x:c>
      <x:c r="K10" s="19" t="str">
        <x:f>IF(AND(ISNUMBER(G10),COUNT(H10:I10)=2),MAX(H10+I10-G10,0),"")</x:f>
      </x:c>
      <x:c r="L10" s="11"/>
      <x:c r="M10" s="10"/>
    </x:row>
    <x:row r="11" ht="28" customHeight="1">
      <x:c r="A11" s="10"/>
      <x:c r="B11" s="10"/>
      <x:c r="C11" s="10"/>
      <x:c r="D11" s="18"/>
      <x:c r="E11" s="18"/>
      <x:c r="F11" s="18"/>
      <x:c r="G11" s="19" t="str">
        <x:f>IF(AND(COUNT(D11:F11)=3,L11=1),D11*E11,"")</x:f>
      </x:c>
      <x:c r="H11" s="18"/>
      <x:c r="I11" s="18"/>
      <x:c r="J11" s="19" t="str">
        <x:f>IF(AND(ISNUMBER(G11),COUNT(H11:I11)=2),MAX(G11-H11-I11,0),"")</x:f>
      </x:c>
      <x:c r="K11" s="19" t="str">
        <x:f>IF(AND(ISNUMBER(G11),COUNT(H11:I11)=2),MAX(H11+I11-G11,0),"")</x:f>
      </x:c>
      <x:c r="L11" s="11"/>
      <x:c r="M11" s="10"/>
    </x:row>
    <x:row r="12" ht="28" customHeight="1">
      <x:c r="A12" s="10"/>
      <x:c r="B12" s="10"/>
      <x:c r="C12" s="10"/>
      <x:c r="D12" s="18"/>
      <x:c r="E12" s="18"/>
      <x:c r="F12" s="18"/>
      <x:c r="G12" s="19" t="str">
        <x:f>IF(AND(COUNT(D12:F12)=3,L12=1),D12*E12,"")</x:f>
      </x:c>
      <x:c r="H12" s="18"/>
      <x:c r="I12" s="18"/>
      <x:c r="J12" s="19" t="str">
        <x:f>IF(AND(ISNUMBER(G12),COUNT(H12:I12)=2),MAX(G12-H12-I12,0),"")</x:f>
      </x:c>
      <x:c r="K12" s="19" t="str">
        <x:f>IF(AND(ISNUMBER(G12),COUNT(H12:I12)=2),MAX(H12+I12-G12,0),"")</x:f>
      </x:c>
      <x:c r="L12" s="11"/>
      <x:c r="M12" s="10"/>
    </x:row>
    <x:row r="13" ht="28" customHeight="1">
      <x:c r="A13" s="10"/>
      <x:c r="B13" s="10"/>
      <x:c r="C13" s="10"/>
      <x:c r="D13" s="18"/>
      <x:c r="E13" s="18"/>
      <x:c r="F13" s="18"/>
      <x:c r="G13" s="19" t="str">
        <x:f>IF(AND(COUNT(D13:F13)=3,L13=1),D13*E13,"")</x:f>
      </x:c>
      <x:c r="H13" s="18"/>
      <x:c r="I13" s="18"/>
      <x:c r="J13" s="19" t="str">
        <x:f>IF(AND(ISNUMBER(G13),COUNT(H13:I13)=2),MAX(G13-H13-I13,0),"")</x:f>
      </x:c>
      <x:c r="K13" s="19" t="str">
        <x:f>IF(AND(ISNUMBER(G13),COUNT(H13:I13)=2),MAX(H13+I13-G13,0),"")</x:f>
      </x:c>
      <x:c r="L13" s="11"/>
      <x:c r="M13" s="10"/>
    </x:row>
    <x:row r="14" ht="28" customHeight="1">
      <x:c r="A14" s="10"/>
      <x:c r="B14" s="10"/>
      <x:c r="C14" s="10"/>
      <x:c r="D14" s="18"/>
      <x:c r="E14" s="18"/>
      <x:c r="F14" s="18"/>
      <x:c r="G14" s="19" t="str">
        <x:f>IF(AND(COUNT(D14:F14)=3,L14=1),D14*E14,"")</x:f>
      </x:c>
      <x:c r="H14" s="18"/>
      <x:c r="I14" s="18"/>
      <x:c r="J14" s="19" t="str">
        <x:f>IF(AND(ISNUMBER(G14),COUNT(H14:I14)=2),MAX(G14-H14-I14,0),"")</x:f>
      </x:c>
      <x:c r="K14" s="19" t="str">
        <x:f>IF(AND(ISNUMBER(G14),COUNT(H14:I14)=2),MAX(H14+I14-G14,0),"")</x:f>
      </x:c>
      <x:c r="L14" s="11"/>
      <x:c r="M14" s="10"/>
    </x:row>
    <x:row r="15" ht="28" customHeight="1">
      <x:c r="A15" s="10"/>
      <x:c r="B15" s="10"/>
      <x:c r="C15" s="10"/>
      <x:c r="D15" s="18"/>
      <x:c r="E15" s="18"/>
      <x:c r="F15" s="18"/>
      <x:c r="G15" s="19" t="str">
        <x:f>IF(AND(COUNT(D15:F15)=3,L15=1),D15*E15,"")</x:f>
      </x:c>
      <x:c r="H15" s="18"/>
      <x:c r="I15" s="18"/>
      <x:c r="J15" s="19" t="str">
        <x:f>IF(AND(ISNUMBER(G15),COUNT(H15:I15)=2),MAX(G15-H15-I15,0),"")</x:f>
      </x:c>
      <x:c r="K15" s="19" t="str">
        <x:f>IF(AND(ISNUMBER(G15),COUNT(H15:I15)=2),MAX(H15+I15-G15,0),"")</x:f>
      </x:c>
      <x:c r="L15" s="11"/>
      <x:c r="M15" s="10"/>
    </x:row>
    <x:row r="16" ht="28" customHeight="1">
      <x:c r="A16" s="10"/>
      <x:c r="B16" s="10"/>
      <x:c r="C16" s="10"/>
      <x:c r="D16" s="18"/>
      <x:c r="E16" s="18"/>
      <x:c r="F16" s="18"/>
      <x:c r="G16" s="19" t="str">
        <x:f>IF(AND(COUNT(D16:F16)=3,L16=1),D16*E16,"")</x:f>
      </x:c>
      <x:c r="H16" s="18"/>
      <x:c r="I16" s="18"/>
      <x:c r="J16" s="19" t="str">
        <x:f>IF(AND(ISNUMBER(G16),COUNT(H16:I16)=2),MAX(G16-H16-I16,0),"")</x:f>
      </x:c>
      <x:c r="K16" s="19" t="str">
        <x:f>IF(AND(ISNUMBER(G16),COUNT(H16:I16)=2),MAX(H16+I16-G16,0),"")</x:f>
      </x:c>
      <x:c r="L16" s="11"/>
      <x:c r="M16" s="10"/>
    </x:row>
    <x:row r="17" ht="28" customHeight="1">
      <x:c r="A17" s="10"/>
      <x:c r="B17" s="10"/>
      <x:c r="C17" s="10"/>
      <x:c r="D17" s="18"/>
      <x:c r="E17" s="18"/>
      <x:c r="F17" s="18"/>
      <x:c r="G17" s="19" t="str">
        <x:f>IF(AND(COUNT(D17:F17)=3,L17=1),D17*E17,"")</x:f>
      </x:c>
      <x:c r="H17" s="18"/>
      <x:c r="I17" s="18"/>
      <x:c r="J17" s="19" t="str">
        <x:f>IF(AND(ISNUMBER(G17),COUNT(H17:I17)=2),MAX(G17-H17-I17,0),"")</x:f>
      </x:c>
      <x:c r="K17" s="19" t="str">
        <x:f>IF(AND(ISNUMBER(G17),COUNT(H17:I17)=2),MAX(H17+I17-G17,0),"")</x:f>
      </x:c>
      <x:c r="L17" s="11"/>
      <x:c r="M17" s="10"/>
    </x:row>
    <x:row r="18" ht="28" customHeight="1">
      <x:c r="A18" s="10"/>
      <x:c r="B18" s="10"/>
      <x:c r="C18" s="10"/>
      <x:c r="D18" s="18"/>
      <x:c r="E18" s="18"/>
      <x:c r="F18" s="18"/>
      <x:c r="G18" s="19" t="str">
        <x:f>IF(AND(COUNT(D18:F18)=3,L18=1),D18*E18,"")</x:f>
      </x:c>
      <x:c r="H18" s="18"/>
      <x:c r="I18" s="18"/>
      <x:c r="J18" s="19" t="str">
        <x:f>IF(AND(ISNUMBER(G18),COUNT(H18:I18)=2),MAX(G18-H18-I18,0),"")</x:f>
      </x:c>
      <x:c r="K18" s="19" t="str">
        <x:f>IF(AND(ISNUMBER(G18),COUNT(H18:I18)=2),MAX(H18+I18-G18,0),"")</x:f>
      </x:c>
      <x:c r="L18" s="11"/>
      <x:c r="M18" s="10"/>
    </x:row>
    <x:row r="19" ht="28" customHeight="1">
      <x:c r="A19" s="10"/>
      <x:c r="B19" s="10"/>
      <x:c r="C19" s="10"/>
      <x:c r="D19" s="18"/>
      <x:c r="E19" s="18"/>
      <x:c r="F19" s="18"/>
      <x:c r="G19" s="19" t="str">
        <x:f>IF(AND(COUNT(D19:F19)=3,L19=1),D19*E19,"")</x:f>
      </x:c>
      <x:c r="H19" s="18"/>
      <x:c r="I19" s="18"/>
      <x:c r="J19" s="19" t="str">
        <x:f>IF(AND(ISNUMBER(G19),COUNT(H19:I19)=2),MAX(G19-H19-I19,0),"")</x:f>
      </x:c>
      <x:c r="K19" s="19" t="str">
        <x:f>IF(AND(ISNUMBER(G19),COUNT(H19:I19)=2),MAX(H19+I19-G19,0),"")</x:f>
      </x:c>
      <x:c r="L19" s="11"/>
      <x:c r="M19" s="10"/>
    </x:row>
    <x:row r="20" ht="28" customHeight="1">
      <x:c r="A20" s="10"/>
      <x:c r="B20" s="10"/>
      <x:c r="C20" s="10"/>
      <x:c r="D20" s="18"/>
      <x:c r="E20" s="18"/>
      <x:c r="F20" s="18"/>
      <x:c r="G20" s="19" t="str">
        <x:f>IF(AND(COUNT(D20:F20)=3,L20=1),D20*E20,"")</x:f>
      </x:c>
      <x:c r="H20" s="18"/>
      <x:c r="I20" s="18"/>
      <x:c r="J20" s="19" t="str">
        <x:f>IF(AND(ISNUMBER(G20),COUNT(H20:I20)=2),MAX(G20-H20-I20,0),"")</x:f>
      </x:c>
      <x:c r="K20" s="19" t="str">
        <x:f>IF(AND(ISNUMBER(G20),COUNT(H20:I20)=2),MAX(H20+I20-G20,0),"")</x:f>
      </x:c>
      <x:c r="L20" s="11"/>
      <x:c r="M20" s="10"/>
    </x:row>
    <x:row r="21" ht="28" customHeight="1">
      <x:c r="A21" s="10"/>
      <x:c r="B21" s="10"/>
      <x:c r="C21" s="10"/>
      <x:c r="D21" s="18"/>
      <x:c r="E21" s="18"/>
      <x:c r="F21" s="18"/>
      <x:c r="G21" s="19" t="str">
        <x:f>IF(AND(COUNT(D21:F21)=3,L21=1),D21*E21,"")</x:f>
      </x:c>
      <x:c r="H21" s="18"/>
      <x:c r="I21" s="18"/>
      <x:c r="J21" s="19" t="str">
        <x:f>IF(AND(ISNUMBER(G21),COUNT(H21:I21)=2),MAX(G21-H21-I21,0),"")</x:f>
      </x:c>
      <x:c r="K21" s="19" t="str">
        <x:f>IF(AND(ISNUMBER(G21),COUNT(H21:I21)=2),MAX(H21+I21-G21,0),"")</x:f>
      </x:c>
      <x:c r="L21" s="11"/>
      <x:c r="M21" s="10"/>
    </x:row>
    <x:row r="22" ht="28" customHeight="1">
      <x:c r="A22" s="10"/>
      <x:c r="B22" s="10"/>
      <x:c r="C22" s="10"/>
      <x:c r="D22" s="18"/>
      <x:c r="E22" s="18"/>
      <x:c r="F22" s="18"/>
      <x:c r="G22" s="19" t="str">
        <x:f>IF(AND(COUNT(D22:F22)=3,L22=1),D22*E22,"")</x:f>
      </x:c>
      <x:c r="H22" s="18"/>
      <x:c r="I22" s="18"/>
      <x:c r="J22" s="19" t="str">
        <x:f>IF(AND(ISNUMBER(G22),COUNT(H22:I22)=2),MAX(G22-H22-I22,0),"")</x:f>
      </x:c>
      <x:c r="K22" s="19" t="str">
        <x:f>IF(AND(ISNUMBER(G22),COUNT(H22:I22)=2),MAX(H22+I22-G22,0),"")</x:f>
      </x:c>
      <x:c r="L22" s="11"/>
      <x:c r="M22" s="10"/>
    </x:row>
    <x:row r="23" ht="28" customHeight="1">
      <x:c r="A23" s="10"/>
      <x:c r="B23" s="10"/>
      <x:c r="C23" s="10"/>
      <x:c r="D23" s="18"/>
      <x:c r="E23" s="18"/>
      <x:c r="F23" s="18"/>
      <x:c r="G23" s="19" t="str">
        <x:f>IF(AND(COUNT(D23:F23)=3,L23=1),D23*E23,"")</x:f>
      </x:c>
      <x:c r="H23" s="18"/>
      <x:c r="I23" s="18"/>
      <x:c r="J23" s="19" t="str">
        <x:f>IF(AND(ISNUMBER(G23),COUNT(H23:I23)=2),MAX(G23-H23-I23,0),"")</x:f>
      </x:c>
      <x:c r="K23" s="19" t="str">
        <x:f>IF(AND(ISNUMBER(G23),COUNT(H23:I23)=2),MAX(H23+I23-G23,0),"")</x:f>
      </x:c>
      <x:c r="L23" s="11"/>
      <x:c r="M23" s="10"/>
    </x:row>
    <x:row r="24" ht="28" customHeight="1">
      <x:c r="A24" s="10"/>
      <x:c r="B24" s="10"/>
      <x:c r="C24" s="10"/>
      <x:c r="D24" s="18"/>
      <x:c r="E24" s="18"/>
      <x:c r="F24" s="18"/>
      <x:c r="G24" s="19" t="str">
        <x:f>IF(AND(COUNT(D24:F24)=3,L24=1),D24*E24,"")</x:f>
      </x:c>
      <x:c r="H24" s="18"/>
      <x:c r="I24" s="18"/>
      <x:c r="J24" s="19" t="str">
        <x:f>IF(AND(ISNUMBER(G24),COUNT(H24:I24)=2),MAX(G24-H24-I24,0),"")</x:f>
      </x:c>
      <x:c r="K24" s="19" t="str">
        <x:f>IF(AND(ISNUMBER(G24),COUNT(H24:I24)=2),MAX(H24+I24-G24,0),"")</x:f>
      </x:c>
      <x:c r="L24" s="11"/>
      <x:c r="M24" s="10"/>
    </x:row>
    <x:row r="25" ht="28" customHeight="1">
      <x:c r="A25" s="10"/>
      <x:c r="B25" s="10"/>
      <x:c r="C25" s="10"/>
      <x:c r="D25" s="18"/>
      <x:c r="E25" s="18"/>
      <x:c r="F25" s="18"/>
      <x:c r="G25" s="19" t="str">
        <x:f>IF(AND(COUNT(D25:F25)=3,L25=1),D25*E25,"")</x:f>
      </x:c>
      <x:c r="H25" s="18"/>
      <x:c r="I25" s="18"/>
      <x:c r="J25" s="19" t="str">
        <x:f>IF(AND(ISNUMBER(G25),COUNT(H25:I25)=2),MAX(G25-H25-I25,0),"")</x:f>
      </x:c>
      <x:c r="K25" s="19" t="str">
        <x:f>IF(AND(ISNUMBER(G25),COUNT(H25:I25)=2),MAX(H25+I25-G25,0),"")</x:f>
      </x:c>
      <x:c r="L25" s="11"/>
      <x:c r="M25" s="10"/>
    </x:row>
    <x:row r="26" ht="28" customHeight="1">
      <x:c r="A26" s="10"/>
      <x:c r="B26" s="10"/>
      <x:c r="C26" s="10"/>
      <x:c r="D26" s="18"/>
      <x:c r="E26" s="18"/>
      <x:c r="F26" s="18"/>
      <x:c r="G26" s="19" t="str">
        <x:f>IF(AND(COUNT(D26:F26)=3,L26=1),D26*E26,"")</x:f>
      </x:c>
      <x:c r="H26" s="18"/>
      <x:c r="I26" s="18"/>
      <x:c r="J26" s="19" t="str">
        <x:f>IF(AND(ISNUMBER(G26),COUNT(H26:I26)=2),MAX(G26-H26-I26,0),"")</x:f>
      </x:c>
      <x:c r="K26" s="19" t="str">
        <x:f>IF(AND(ISNUMBER(G26),COUNT(H26:I26)=2),MAX(H26+I26-G26,0),"")</x:f>
      </x:c>
      <x:c r="L26" s="11"/>
      <x:c r="M26" s="10"/>
    </x:row>
    <x:row r="27" ht="28" customHeight="1">
      <x:c r="A27" s="10"/>
      <x:c r="B27" s="10"/>
      <x:c r="C27" s="10"/>
      <x:c r="D27" s="18"/>
      <x:c r="E27" s="18"/>
      <x:c r="F27" s="18"/>
      <x:c r="G27" s="19" t="str">
        <x:f>IF(AND(COUNT(D27:F27)=3,L27=1),D27*E27,"")</x:f>
      </x:c>
      <x:c r="H27" s="18"/>
      <x:c r="I27" s="18"/>
      <x:c r="J27" s="19" t="str">
        <x:f>IF(AND(ISNUMBER(G27),COUNT(H27:I27)=2),MAX(G27-H27-I27,0),"")</x:f>
      </x:c>
      <x:c r="K27" s="19" t="str">
        <x:f>IF(AND(ISNUMBER(G27),COUNT(H27:I27)=2),MAX(H27+I27-G27,0),"")</x:f>
      </x:c>
      <x:c r="L27" s="11"/>
      <x:c r="M27" s="10"/>
    </x:row>
    <x:row r="28" ht="28" customHeight="1">
      <x:c r="A28" s="10"/>
      <x:c r="B28" s="10"/>
      <x:c r="C28" s="10"/>
      <x:c r="D28" s="18"/>
      <x:c r="E28" s="18"/>
      <x:c r="F28" s="18"/>
      <x:c r="G28" s="19" t="str">
        <x:f>IF(AND(COUNT(D28:F28)=3,L28=1),D28*E28,"")</x:f>
      </x:c>
      <x:c r="H28" s="18"/>
      <x:c r="I28" s="18"/>
      <x:c r="J28" s="19" t="str">
        <x:f>IF(AND(ISNUMBER(G28),COUNT(H28:I28)=2),MAX(G28-H28-I28,0),"")</x:f>
      </x:c>
      <x:c r="K28" s="19" t="str">
        <x:f>IF(AND(ISNUMBER(G28),COUNT(H28:I28)=2),MAX(H28+I28-G28,0),"")</x:f>
      </x:c>
      <x:c r="L28" s="11"/>
      <x:c r="M28" s="10"/>
    </x:row>
    <x:row r="29" ht="28" customHeight="1">
      <x:c r="A29" s="10"/>
      <x:c r="B29" s="10"/>
      <x:c r="C29" s="10"/>
      <x:c r="D29" s="18"/>
      <x:c r="E29" s="18"/>
      <x:c r="F29" s="18"/>
      <x:c r="G29" s="19" t="str">
        <x:f>IF(AND(COUNT(D29:F29)=3,L29=1),D29*E29,"")</x:f>
      </x:c>
      <x:c r="H29" s="18"/>
      <x:c r="I29" s="18"/>
      <x:c r="J29" s="19" t="str">
        <x:f>IF(AND(ISNUMBER(G29),COUNT(H29:I29)=2),MAX(G29-H29-I29,0),"")</x:f>
      </x:c>
      <x:c r="K29" s="19" t="str">
        <x:f>IF(AND(ISNUMBER(G29),COUNT(H29:I29)=2),MAX(H29+I29-G29,0),"")</x:f>
      </x:c>
      <x:c r="L29" s="11"/>
      <x:c r="M29" s="10"/>
    </x:row>
    <x:row r="30" ht="28" customHeight="1">
      <x:c r="A30" s="10"/>
      <x:c r="B30" s="10"/>
      <x:c r="C30" s="10"/>
      <x:c r="D30" s="18"/>
      <x:c r="E30" s="18"/>
      <x:c r="F30" s="18"/>
      <x:c r="G30" s="19" t="str">
        <x:f>IF(AND(COUNT(D30:F30)=3,L30=1),D30*E30,"")</x:f>
      </x:c>
      <x:c r="H30" s="18"/>
      <x:c r="I30" s="18"/>
      <x:c r="J30" s="19" t="str">
        <x:f>IF(AND(ISNUMBER(G30),COUNT(H30:I30)=2),MAX(G30-H30-I30,0),"")</x:f>
      </x:c>
      <x:c r="K30" s="19" t="str">
        <x:f>IF(AND(ISNUMBER(G30),COUNT(H30:I30)=2),MAX(H30+I30-G30,0),"")</x:f>
      </x:c>
      <x:c r="L30" s="11"/>
      <x:c r="M30" s="10"/>
    </x:row>
    <x:row r="31" ht="28" customHeight="1">
      <x:c r="A31" s="10"/>
      <x:c r="B31" s="10"/>
      <x:c r="C31" s="10"/>
      <x:c r="D31" s="18"/>
      <x:c r="E31" s="18"/>
      <x:c r="F31" s="18"/>
      <x:c r="G31" s="19" t="str">
        <x:f>IF(AND(COUNT(D31:F31)=3,L31=1),D31*E31,"")</x:f>
      </x:c>
      <x:c r="H31" s="18"/>
      <x:c r="I31" s="18"/>
      <x:c r="J31" s="19" t="str">
        <x:f>IF(AND(ISNUMBER(G31),COUNT(H31:I31)=2),MAX(G31-H31-I31,0),"")</x:f>
      </x:c>
      <x:c r="K31" s="19" t="str">
        <x:f>IF(AND(ISNUMBER(G31),COUNT(H31:I31)=2),MAX(H31+I31-G31,0),"")</x:f>
      </x:c>
      <x:c r="L31" s="11"/>
      <x:c r="M31" s="10"/>
    </x:row>
    <x:row r="32" ht="28" customHeight="1">
      <x:c r="A32" s="10"/>
      <x:c r="B32" s="10"/>
      <x:c r="C32" s="10"/>
      <x:c r="D32" s="18"/>
      <x:c r="E32" s="18"/>
      <x:c r="F32" s="18"/>
      <x:c r="G32" s="19" t="str">
        <x:f>IF(AND(COUNT(D32:F32)=3,L32=1),D32*E32,"")</x:f>
      </x:c>
      <x:c r="H32" s="18"/>
      <x:c r="I32" s="18"/>
      <x:c r="J32" s="19" t="str">
        <x:f>IF(AND(ISNUMBER(G32),COUNT(H32:I32)=2),MAX(G32-H32-I32,0),"")</x:f>
      </x:c>
      <x:c r="K32" s="19" t="str">
        <x:f>IF(AND(ISNUMBER(G32),COUNT(H32:I32)=2),MAX(H32+I32-G32,0),"")</x:f>
      </x:c>
      <x:c r="L32" s="11"/>
      <x:c r="M32" s="10"/>
    </x:row>
    <x:row r="33" ht="28" customHeight="1">
      <x:c r="A33" s="10"/>
      <x:c r="B33" s="10"/>
      <x:c r="C33" s="10"/>
      <x:c r="D33" s="18"/>
      <x:c r="E33" s="18"/>
      <x:c r="F33" s="18"/>
      <x:c r="G33" s="19" t="str">
        <x:f>IF(AND(COUNT(D33:F33)=3,L33=1),D33*E33,"")</x:f>
      </x:c>
      <x:c r="H33" s="18"/>
      <x:c r="I33" s="18"/>
      <x:c r="J33" s="19" t="str">
        <x:f>IF(AND(ISNUMBER(G33),COUNT(H33:I33)=2),MAX(G33-H33-I33,0),"")</x:f>
      </x:c>
      <x:c r="K33" s="19" t="str">
        <x:f>IF(AND(ISNUMBER(G33),COUNT(H33:I33)=2),MAX(H33+I33-G33,0),"")</x:f>
      </x:c>
      <x:c r="L33" s="11"/>
      <x:c r="M33" s="10"/>
    </x:row>
    <x:row r="34" ht="28" customHeight="1">
      <x:c r="A34" s="10"/>
      <x:c r="B34" s="10"/>
      <x:c r="C34" s="10"/>
      <x:c r="D34" s="18"/>
      <x:c r="E34" s="18"/>
      <x:c r="F34" s="18"/>
      <x:c r="G34" s="19" t="str">
        <x:f>IF(AND(COUNT(D34:F34)=3,L34=1),D34*E34,"")</x:f>
      </x:c>
      <x:c r="H34" s="18"/>
      <x:c r="I34" s="18"/>
      <x:c r="J34" s="19" t="str">
        <x:f>IF(AND(ISNUMBER(G34),COUNT(H34:I34)=2),MAX(G34-H34-I34,0),"")</x:f>
      </x:c>
      <x:c r="K34" s="19" t="str">
        <x:f>IF(AND(ISNUMBER(G34),COUNT(H34:I34)=2),MAX(H34+I34-G34,0),"")</x:f>
      </x:c>
      <x:c r="L34" s="11"/>
      <x:c r="M34" s="10"/>
    </x:row>
    <x:row r="35" ht="28" customHeight="1">
      <x:c r="A35" s="10"/>
      <x:c r="B35" s="10"/>
      <x:c r="C35" s="10"/>
      <x:c r="D35" s="18"/>
      <x:c r="E35" s="18"/>
      <x:c r="F35" s="18"/>
      <x:c r="G35" s="19" t="str">
        <x:f>IF(AND(COUNT(D35:F35)=3,L35=1),D35*E35,"")</x:f>
      </x:c>
      <x:c r="H35" s="18"/>
      <x:c r="I35" s="18"/>
      <x:c r="J35" s="19" t="str">
        <x:f>IF(AND(ISNUMBER(G35),COUNT(H35:I35)=2),MAX(G35-H35-I35,0),"")</x:f>
      </x:c>
      <x:c r="K35" s="19" t="str">
        <x:f>IF(AND(ISNUMBER(G35),COUNT(H35:I35)=2),MAX(H35+I35-G35,0),"")</x:f>
      </x:c>
      <x:c r="L35" s="11"/>
      <x:c r="M35" s="10"/>
    </x:row>
    <x:row r="36" ht="28" customHeight="1">
      <x:c r="A36" s="10"/>
      <x:c r="B36" s="10"/>
      <x:c r="C36" s="10"/>
      <x:c r="D36" s="18"/>
      <x:c r="E36" s="18"/>
      <x:c r="F36" s="18"/>
      <x:c r="G36" s="19" t="str">
        <x:f>IF(AND(COUNT(D36:F36)=3,L36=1),D36*E36,"")</x:f>
      </x:c>
      <x:c r="H36" s="18"/>
      <x:c r="I36" s="18"/>
      <x:c r="J36" s="19" t="str">
        <x:f>IF(AND(ISNUMBER(G36),COUNT(H36:I36)=2),MAX(G36-H36-I36,0),"")</x:f>
      </x:c>
      <x:c r="K36" s="19" t="str">
        <x:f>IF(AND(ISNUMBER(G36),COUNT(H36:I36)=2),MAX(H36+I36-G36,0),"")</x:f>
      </x:c>
      <x:c r="L36" s="11"/>
      <x:c r="M36" s="10"/>
    </x:row>
    <x:row r="37" ht="28" customHeight="1">
      <x:c r="A37" s="10"/>
      <x:c r="B37" s="10"/>
      <x:c r="C37" s="10"/>
      <x:c r="D37" s="18"/>
      <x:c r="E37" s="18"/>
      <x:c r="F37" s="18"/>
      <x:c r="G37" s="19" t="str">
        <x:f>IF(AND(COUNT(D37:F37)=3,L37=1),D37*E37,"")</x:f>
      </x:c>
      <x:c r="H37" s="18"/>
      <x:c r="I37" s="18"/>
      <x:c r="J37" s="19" t="str">
        <x:f>IF(AND(ISNUMBER(G37),COUNT(H37:I37)=2),MAX(G37-H37-I37,0),"")</x:f>
      </x:c>
      <x:c r="K37" s="19" t="str">
        <x:f>IF(AND(ISNUMBER(G37),COUNT(H37:I37)=2),MAX(H37+I37-G37,0),"")</x:f>
      </x:c>
      <x:c r="L37" s="11"/>
      <x:c r="M37" s="10"/>
    </x:row>
    <x:row r="38" ht="28" customHeight="1">
      <x:c r="A38" s="10"/>
      <x:c r="B38" s="10"/>
      <x:c r="C38" s="10"/>
      <x:c r="D38" s="18"/>
      <x:c r="E38" s="18"/>
      <x:c r="F38" s="18"/>
      <x:c r="G38" s="19" t="str">
        <x:f>IF(AND(COUNT(D38:F38)=3,L38=1),D38*E38,"")</x:f>
      </x:c>
      <x:c r="H38" s="18"/>
      <x:c r="I38" s="18"/>
      <x:c r="J38" s="19" t="str">
        <x:f>IF(AND(ISNUMBER(G38),COUNT(H38:I38)=2),MAX(G38-H38-I38,0),"")</x:f>
      </x:c>
      <x:c r="K38" s="19" t="str">
        <x:f>IF(AND(ISNUMBER(G38),COUNT(H38:I38)=2),MAX(H38+I38-G38,0),"")</x:f>
      </x:c>
      <x:c r="L38" s="11"/>
      <x:c r="M38" s="10"/>
    </x:row>
    <x:row r="39" ht="28" customHeight="1">
      <x:c r="A39" s="10"/>
      <x:c r="B39" s="10"/>
      <x:c r="C39" s="10"/>
      <x:c r="D39" s="18"/>
      <x:c r="E39" s="18"/>
      <x:c r="F39" s="18"/>
      <x:c r="G39" s="19" t="str">
        <x:f>IF(AND(COUNT(D39:F39)=3,L39=1),D39*E39,"")</x:f>
      </x:c>
      <x:c r="H39" s="18"/>
      <x:c r="I39" s="18"/>
      <x:c r="J39" s="19" t="str">
        <x:f>IF(AND(ISNUMBER(G39),COUNT(H39:I39)=2),MAX(G39-H39-I39,0),"")</x:f>
      </x:c>
      <x:c r="K39" s="19" t="str">
        <x:f>IF(AND(ISNUMBER(G39),COUNT(H39:I39)=2),MAX(H39+I39-G39,0),"")</x:f>
      </x:c>
      <x:c r="L39" s="11"/>
      <x:c r="M39" s="10"/>
    </x:row>
    <x:row r="40" ht="28" customHeight="1">
      <x:c r="A40" s="10"/>
      <x:c r="B40" s="10"/>
      <x:c r="C40" s="10"/>
      <x:c r="D40" s="18"/>
      <x:c r="E40" s="18"/>
      <x:c r="F40" s="18"/>
      <x:c r="G40" s="19" t="str">
        <x:f>IF(AND(COUNT(D40:F40)=3,L40=1),D40*E40,"")</x:f>
      </x:c>
      <x:c r="H40" s="18"/>
      <x:c r="I40" s="18"/>
      <x:c r="J40" s="19" t="str">
        <x:f>IF(AND(ISNUMBER(G40),COUNT(H40:I40)=2),MAX(G40-H40-I40,0),"")</x:f>
      </x:c>
      <x:c r="K40" s="19" t="str">
        <x:f>IF(AND(ISNUMBER(G40),COUNT(H40:I40)=2),MAX(H40+I40-G40,0),"")</x:f>
      </x:c>
      <x:c r="L40" s="11"/>
      <x:c r="M40" s="10"/>
    </x:row>
    <x:row r="41" ht="28" customHeight="1">
      <x:c r="A41" s="10"/>
      <x:c r="B41" s="10"/>
      <x:c r="C41" s="10"/>
      <x:c r="D41" s="18"/>
      <x:c r="E41" s="18"/>
      <x:c r="F41" s="18"/>
      <x:c r="G41" s="19" t="str">
        <x:f>IF(AND(COUNT(D41:F41)=3,L41=1),D41*E41,"")</x:f>
      </x:c>
      <x:c r="H41" s="18"/>
      <x:c r="I41" s="18"/>
      <x:c r="J41" s="19" t="str">
        <x:f>IF(AND(ISNUMBER(G41),COUNT(H41:I41)=2),MAX(G41-H41-I41,0),"")</x:f>
      </x:c>
      <x:c r="K41" s="19" t="str">
        <x:f>IF(AND(ISNUMBER(G41),COUNT(H41:I41)=2),MAX(H41+I41-G41,0),"")</x:f>
      </x:c>
      <x:c r="L41" s="11"/>
      <x:c r="M41" s="10"/>
    </x:row>
    <x:row r="42" ht="28" customHeight="1">
      <x:c r="A42" s="10"/>
      <x:c r="B42" s="10"/>
      <x:c r="C42" s="10"/>
      <x:c r="D42" s="18"/>
      <x:c r="E42" s="18"/>
      <x:c r="F42" s="18"/>
      <x:c r="G42" s="19" t="str">
        <x:f>IF(AND(COUNT(D42:F42)=3,L42=1),D42*E42,"")</x:f>
      </x:c>
      <x:c r="H42" s="18"/>
      <x:c r="I42" s="18"/>
      <x:c r="J42" s="19" t="str">
        <x:f>IF(AND(ISNUMBER(G42),COUNT(H42:I42)=2),MAX(G42-H42-I42,0),"")</x:f>
      </x:c>
      <x:c r="K42" s="19" t="str">
        <x:f>IF(AND(ISNUMBER(G42),COUNT(H42:I42)=2),MAX(H42+I42-G42,0),"")</x:f>
      </x:c>
      <x:c r="L42" s="11"/>
      <x:c r="M42" s="10"/>
    </x:row>
    <x:row r="43" ht="28" customHeight="1">
      <x:c r="A43" s="10"/>
      <x:c r="B43" s="10"/>
      <x:c r="C43" s="10"/>
      <x:c r="D43" s="18"/>
      <x:c r="E43" s="18"/>
      <x:c r="F43" s="18"/>
      <x:c r="G43" s="19" t="str">
        <x:f>IF(AND(COUNT(D43:F43)=3,L43=1),D43*E43,"")</x:f>
      </x:c>
      <x:c r="H43" s="18"/>
      <x:c r="I43" s="18"/>
      <x:c r="J43" s="19" t="str">
        <x:f>IF(AND(ISNUMBER(G43),COUNT(H43:I43)=2),MAX(G43-H43-I43,0),"")</x:f>
      </x:c>
      <x:c r="K43" s="19" t="str">
        <x:f>IF(AND(ISNUMBER(G43),COUNT(H43:I43)=2),MAX(H43+I43-G43,0),"")</x:f>
      </x:c>
      <x:c r="L43" s="11"/>
      <x:c r="M43" s="10"/>
    </x:row>
    <x:row r="44" ht="28" customHeight="1">
      <x:c r="A44" s="10"/>
      <x:c r="B44" s="10"/>
      <x:c r="C44" s="10"/>
      <x:c r="D44" s="18"/>
      <x:c r="E44" s="18"/>
      <x:c r="F44" s="18"/>
      <x:c r="G44" s="19" t="str">
        <x:f>IF(AND(COUNT(D44:F44)=3,L44=1),D44*E44,"")</x:f>
      </x:c>
      <x:c r="H44" s="18"/>
      <x:c r="I44" s="18"/>
      <x:c r="J44" s="19" t="str">
        <x:f>IF(AND(ISNUMBER(G44),COUNT(H44:I44)=2),MAX(G44-H44-I44,0),"")</x:f>
      </x:c>
      <x:c r="K44" s="19" t="str">
        <x:f>IF(AND(ISNUMBER(G44),COUNT(H44:I44)=2),MAX(H44+I44-G44,0),"")</x:f>
      </x:c>
      <x:c r="L44" s="11"/>
      <x:c r="M44" s="10"/>
    </x:row>
    <x:row r="45" ht="28" customHeight="1">
      <x:c r="A45" s="10"/>
      <x:c r="B45" s="10"/>
      <x:c r="C45" s="10"/>
      <x:c r="D45" s="18"/>
      <x:c r="E45" s="18"/>
      <x:c r="F45" s="18"/>
      <x:c r="G45" s="19" t="str">
        <x:f>IF(AND(COUNT(D45:F45)=3,L45=1),D45*E45,"")</x:f>
      </x:c>
      <x:c r="H45" s="18"/>
      <x:c r="I45" s="18"/>
      <x:c r="J45" s="19" t="str">
        <x:f>IF(AND(ISNUMBER(G45),COUNT(H45:I45)=2),MAX(G45-H45-I45,0),"")</x:f>
      </x:c>
      <x:c r="K45" s="19" t="str">
        <x:f>IF(AND(ISNUMBER(G45),COUNT(H45:I45)=2),MAX(H45+I45-G45,0),"")</x:f>
      </x:c>
      <x:c r="L45" s="11"/>
      <x:c r="M45" s="10"/>
    </x:row>
    <x:row r="46" ht="28" customHeight="1">
      <x:c r="A46" s="10"/>
      <x:c r="B46" s="10"/>
      <x:c r="C46" s="10"/>
      <x:c r="D46" s="18"/>
      <x:c r="E46" s="18"/>
      <x:c r="F46" s="18"/>
      <x:c r="G46" s="19" t="str">
        <x:f>IF(AND(COUNT(D46:F46)=3,L46=1),D46*E46,"")</x:f>
      </x:c>
      <x:c r="H46" s="18"/>
      <x:c r="I46" s="18"/>
      <x:c r="J46" s="19" t="str">
        <x:f>IF(AND(ISNUMBER(G46),COUNT(H46:I46)=2),MAX(G46-H46-I46,0),"")</x:f>
      </x:c>
      <x:c r="K46" s="19" t="str">
        <x:f>IF(AND(ISNUMBER(G46),COUNT(H46:I46)=2),MAX(H46+I46-G46,0),"")</x:f>
      </x:c>
      <x:c r="L46" s="11"/>
      <x:c r="M46" s="10"/>
    </x:row>
    <x:row r="47" ht="28" customHeight="1">
      <x:c r="A47" s="10"/>
      <x:c r="B47" s="10"/>
      <x:c r="C47" s="10"/>
      <x:c r="D47" s="18"/>
      <x:c r="E47" s="18"/>
      <x:c r="F47" s="18"/>
      <x:c r="G47" s="19" t="str">
        <x:f>IF(AND(COUNT(D47:F47)=3,L47=1),D47*E47,"")</x:f>
      </x:c>
      <x:c r="H47" s="18"/>
      <x:c r="I47" s="18"/>
      <x:c r="J47" s="19" t="str">
        <x:f>IF(AND(ISNUMBER(G47),COUNT(H47:I47)=2),MAX(G47-H47-I47,0),"")</x:f>
      </x:c>
      <x:c r="K47" s="19" t="str">
        <x:f>IF(AND(ISNUMBER(G47),COUNT(H47:I47)=2),MAX(H47+I47-G47,0),"")</x:f>
      </x:c>
      <x:c r="L47" s="11"/>
      <x:c r="M47" s="10"/>
    </x:row>
    <x:row r="48" ht="28" customHeight="1">
      <x:c r="A48" s="10"/>
      <x:c r="B48" s="10"/>
      <x:c r="C48" s="10"/>
      <x:c r="D48" s="18"/>
      <x:c r="E48" s="18"/>
      <x:c r="F48" s="18"/>
      <x:c r="G48" s="19" t="str">
        <x:f>IF(AND(COUNT(D48:F48)=3,L48=1),D48*E48,"")</x:f>
      </x:c>
      <x:c r="H48" s="18"/>
      <x:c r="I48" s="18"/>
      <x:c r="J48" s="19" t="str">
        <x:f>IF(AND(ISNUMBER(G48),COUNT(H48:I48)=2),MAX(G48-H48-I48,0),"")</x:f>
      </x:c>
      <x:c r="K48" s="19" t="str">
        <x:f>IF(AND(ISNUMBER(G48),COUNT(H48:I48)=2),MAX(H48+I48-G48,0),"")</x:f>
      </x:c>
      <x:c r="L48" s="11"/>
      <x:c r="M48" s="10"/>
    </x:row>
    <x:row r="49" ht="28" customHeight="1">
      <x:c r="A49" s="10"/>
      <x:c r="B49" s="10"/>
      <x:c r="C49" s="10"/>
      <x:c r="D49" s="18"/>
      <x:c r="E49" s="18"/>
      <x:c r="F49" s="18"/>
      <x:c r="G49" s="19" t="str">
        <x:f>IF(AND(COUNT(D49:F49)=3,L49=1),D49*E49,"")</x:f>
      </x:c>
      <x:c r="H49" s="18"/>
      <x:c r="I49" s="18"/>
      <x:c r="J49" s="19" t="str">
        <x:f>IF(AND(ISNUMBER(G49),COUNT(H49:I49)=2),MAX(G49-H49-I49,0),"")</x:f>
      </x:c>
      <x:c r="K49" s="19" t="str">
        <x:f>IF(AND(ISNUMBER(G49),COUNT(H49:I49)=2),MAX(H49+I49-G49,0),"")</x:f>
      </x:c>
      <x:c r="L49" s="11"/>
      <x:c r="M49" s="10"/>
    </x:row>
    <x:row r="50" ht="28" customHeight="1">
      <x:c r="A50" s="10"/>
      <x:c r="B50" s="10"/>
      <x:c r="C50" s="10"/>
      <x:c r="D50" s="18"/>
      <x:c r="E50" s="18"/>
      <x:c r="F50" s="18"/>
      <x:c r="G50" s="19" t="str">
        <x:f>IF(AND(COUNT(D50:F50)=3,L50=1),D50*E50,"")</x:f>
      </x:c>
      <x:c r="H50" s="18"/>
      <x:c r="I50" s="18"/>
      <x:c r="J50" s="19" t="str">
        <x:f>IF(AND(ISNUMBER(G50),COUNT(H50:I50)=2),MAX(G50-H50-I50,0),"")</x:f>
      </x:c>
      <x:c r="K50" s="19" t="str">
        <x:f>IF(AND(ISNUMBER(G50),COUNT(H50:I50)=2),MAX(H50+I50-G50,0),"")</x:f>
      </x:c>
      <x:c r="L50" s="11"/>
      <x:c r="M50" s="10"/>
    </x:row>
    <x:row r="51" ht="28" customHeight="1">
      <x:c r="A51" s="10"/>
      <x:c r="B51" s="10"/>
      <x:c r="C51" s="10"/>
      <x:c r="D51" s="18"/>
      <x:c r="E51" s="18"/>
      <x:c r="F51" s="18"/>
      <x:c r="G51" s="19" t="str">
        <x:f>IF(AND(COUNT(D51:F51)=3,L51=1),D51*E51,"")</x:f>
      </x:c>
      <x:c r="H51" s="18"/>
      <x:c r="I51" s="18"/>
      <x:c r="J51" s="19" t="str">
        <x:f>IF(AND(ISNUMBER(G51),COUNT(H51:I51)=2),MAX(G51-H51-I51,0),"")</x:f>
      </x:c>
      <x:c r="K51" s="19" t="str">
        <x:f>IF(AND(ISNUMBER(G51),COUNT(H51:I51)=2),MAX(H51+I51-G51,0),"")</x:f>
      </x:c>
      <x:c r="L51" s="11"/>
      <x:c r="M51" s="10"/>
    </x:row>
    <x:row r="52" ht="28" customHeight="1">
      <x:c r="A52" s="10"/>
      <x:c r="B52" s="10"/>
      <x:c r="C52" s="10"/>
      <x:c r="D52" s="18"/>
      <x:c r="E52" s="18"/>
      <x:c r="F52" s="18"/>
      <x:c r="G52" s="19" t="str">
        <x:f>IF(AND(COUNT(D52:F52)=3,L52=1),D52*E52,"")</x:f>
      </x:c>
      <x:c r="H52" s="18"/>
      <x:c r="I52" s="18"/>
      <x:c r="J52" s="19" t="str">
        <x:f>IF(AND(ISNUMBER(G52),COUNT(H52:I52)=2),MAX(G52-H52-I52,0),"")</x:f>
      </x:c>
      <x:c r="K52" s="19" t="str">
        <x:f>IF(AND(ISNUMBER(G52),COUNT(H52:I52)=2),MAX(H52+I52-G52,0),"")</x:f>
      </x:c>
      <x:c r="L52" s="11"/>
      <x:c r="M52" s="10"/>
    </x:row>
    <x:row r="53" ht="28" customHeight="1">
      <x:c r="A53" s="10"/>
      <x:c r="B53" s="10"/>
      <x:c r="C53" s="10"/>
      <x:c r="D53" s="18"/>
      <x:c r="E53" s="18"/>
      <x:c r="F53" s="18"/>
      <x:c r="G53" s="19" t="str">
        <x:f>IF(AND(COUNT(D53:F53)=3,L53=1),D53*E53,"")</x:f>
      </x:c>
      <x:c r="H53" s="18"/>
      <x:c r="I53" s="18"/>
      <x:c r="J53" s="19" t="str">
        <x:f>IF(AND(ISNUMBER(G53),COUNT(H53:I53)=2),MAX(G53-H53-I53,0),"")</x:f>
      </x:c>
      <x:c r="K53" s="19" t="str">
        <x:f>IF(AND(ISNUMBER(G53),COUNT(H53:I53)=2),MAX(H53+I53-G53,0),"")</x:f>
      </x:c>
      <x:c r="L53" s="11"/>
      <x:c r="M53" s="10"/>
    </x:row>
    <x:row r="54" ht="28" customHeight="1">
      <x:c r="A54" s="10"/>
      <x:c r="B54" s="10"/>
      <x:c r="C54" s="10"/>
      <x:c r="D54" s="18"/>
      <x:c r="E54" s="18"/>
      <x:c r="F54" s="18"/>
      <x:c r="G54" s="19" t="str">
        <x:f>IF(AND(COUNT(D54:F54)=3,L54=1),D54*E54,"")</x:f>
      </x:c>
      <x:c r="H54" s="18"/>
      <x:c r="I54" s="18"/>
      <x:c r="J54" s="19" t="str">
        <x:f>IF(AND(ISNUMBER(G54),COUNT(H54:I54)=2),MAX(G54-H54-I54,0),"")</x:f>
      </x:c>
      <x:c r="K54" s="19" t="str">
        <x:f>IF(AND(ISNUMBER(G54),COUNT(H54:I54)=2),MAX(H54+I54-G54,0),"")</x:f>
      </x:c>
      <x:c r="L54" s="11"/>
      <x:c r="M54" s="10"/>
    </x:row>
    <x:row r="55" ht="28" customHeight="1">
      <x:c r="A55" s="10"/>
      <x:c r="B55" s="10"/>
      <x:c r="C55" s="10"/>
      <x:c r="D55" s="18"/>
      <x:c r="E55" s="18"/>
      <x:c r="F55" s="18"/>
      <x:c r="G55" s="19" t="str">
        <x:f>IF(AND(COUNT(D55:F55)=3,L55=1),D55*E55,"")</x:f>
      </x:c>
      <x:c r="H55" s="18"/>
      <x:c r="I55" s="18"/>
      <x:c r="J55" s="19" t="str">
        <x:f>IF(AND(ISNUMBER(G55),COUNT(H55:I55)=2),MAX(G55-H55-I55,0),"")</x:f>
      </x:c>
      <x:c r="K55" s="19" t="str">
        <x:f>IF(AND(ISNUMBER(G55),COUNT(H55:I55)=2),MAX(H55+I55-G55,0),"")</x:f>
      </x:c>
      <x:c r="L55" s="11"/>
      <x:c r="M55" s="10"/>
    </x:row>
    <x:row r="56" ht="28" customHeight="1">
      <x:c r="A56" s="10"/>
      <x:c r="B56" s="10"/>
      <x:c r="C56" s="10"/>
      <x:c r="D56" s="18"/>
      <x:c r="E56" s="18"/>
      <x:c r="F56" s="18"/>
      <x:c r="G56" s="19" t="str">
        <x:f>IF(AND(COUNT(D56:F56)=3,L56=1),D56*E56,"")</x:f>
      </x:c>
      <x:c r="H56" s="18"/>
      <x:c r="I56" s="18"/>
      <x:c r="J56" s="19" t="str">
        <x:f>IF(AND(ISNUMBER(G56),COUNT(H56:I56)=2),MAX(G56-H56-I56,0),"")</x:f>
      </x:c>
      <x:c r="K56" s="19" t="str">
        <x:f>IF(AND(ISNUMBER(G56),COUNT(H56:I56)=2),MAX(H56+I56-G56,0),"")</x:f>
      </x:c>
      <x:c r="L56" s="11"/>
      <x:c r="M56" s="10"/>
    </x:row>
    <x:row r="57" ht="28" customHeight="1">
      <x:c r="A57" s="10"/>
      <x:c r="B57" s="10"/>
      <x:c r="C57" s="10"/>
      <x:c r="D57" s="18"/>
      <x:c r="E57" s="18"/>
      <x:c r="F57" s="18"/>
      <x:c r="G57" s="19" t="str">
        <x:f>IF(AND(COUNT(D57:F57)=3,L57=1),D57*E57,"")</x:f>
      </x:c>
      <x:c r="H57" s="18"/>
      <x:c r="I57" s="18"/>
      <x:c r="J57" s="19" t="str">
        <x:f>IF(AND(ISNUMBER(G57),COUNT(H57:I57)=2),MAX(G57-H57-I57,0),"")</x:f>
      </x:c>
      <x:c r="K57" s="19" t="str">
        <x:f>IF(AND(ISNUMBER(G57),COUNT(H57:I57)=2),MAX(H57+I57-G57,0),"")</x:f>
      </x:c>
      <x:c r="L57" s="11"/>
      <x:c r="M57" s="10"/>
    </x:row>
    <x:row r="58" ht="28" customHeight="1">
      <x:c r="A58" s="10"/>
      <x:c r="B58" s="10"/>
      <x:c r="C58" s="10"/>
      <x:c r="D58" s="18"/>
      <x:c r="E58" s="18"/>
      <x:c r="F58" s="18"/>
      <x:c r="G58" s="19" t="str">
        <x:f>IF(AND(COUNT(D58:F58)=3,L58=1),D58*E58,"")</x:f>
      </x:c>
      <x:c r="H58" s="18"/>
      <x:c r="I58" s="18"/>
      <x:c r="J58" s="19" t="str">
        <x:f>IF(AND(ISNUMBER(G58),COUNT(H58:I58)=2),MAX(G58-H58-I58,0),"")</x:f>
      </x:c>
      <x:c r="K58" s="19" t="str">
        <x:f>IF(AND(ISNUMBER(G58),COUNT(H58:I58)=2),MAX(H58+I58-G58,0),"")</x:f>
      </x:c>
      <x:c r="L58" s="11"/>
      <x:c r="M58" s="10"/>
    </x:row>
    <x:row r="59" ht="28" customHeight="1">
      <x:c r="A59" s="10"/>
      <x:c r="B59" s="10"/>
      <x:c r="C59" s="10"/>
      <x:c r="D59" s="18"/>
      <x:c r="E59" s="18"/>
      <x:c r="F59" s="18"/>
      <x:c r="G59" s="19" t="str">
        <x:f>IF(AND(COUNT(D59:F59)=3,L59=1),D59*E59,"")</x:f>
      </x:c>
      <x:c r="H59" s="18"/>
      <x:c r="I59" s="18"/>
      <x:c r="J59" s="19" t="str">
        <x:f>IF(AND(ISNUMBER(G59),COUNT(H59:I59)=2),MAX(G59-H59-I59,0),"")</x:f>
      </x:c>
      <x:c r="K59" s="19" t="str">
        <x:f>IF(AND(ISNUMBER(G59),COUNT(H59:I59)=2),MAX(H59+I59-G59,0),"")</x:f>
      </x:c>
      <x:c r="L59" s="11"/>
      <x:c r="M59" s="10"/>
    </x:row>
    <x:row r="60" ht="28" customHeight="1">
      <x:c r="A60" s="10"/>
      <x:c r="B60" s="10"/>
      <x:c r="C60" s="10"/>
      <x:c r="D60" s="18"/>
      <x:c r="E60" s="18"/>
      <x:c r="F60" s="18"/>
      <x:c r="G60" s="19" t="str">
        <x:f>IF(AND(COUNT(D60:F60)=3,L60=1),D60*E60,"")</x:f>
      </x:c>
      <x:c r="H60" s="18"/>
      <x:c r="I60" s="18"/>
      <x:c r="J60" s="19" t="str">
        <x:f>IF(AND(ISNUMBER(G60),COUNT(H60:I60)=2),MAX(G60-H60-I60,0),"")</x:f>
      </x:c>
      <x:c r="K60" s="19" t="str">
        <x:f>IF(AND(ISNUMBER(G60),COUNT(H60:I60)=2),MAX(H60+I60-G60,0),"")</x:f>
      </x:c>
      <x:c r="L60" s="11"/>
      <x:c r="M60" s="10"/>
    </x:row>
    <x:row r="61" ht="28" customHeight="1">
      <x:c r="A61" s="10"/>
      <x:c r="B61" s="10"/>
      <x:c r="C61" s="10"/>
      <x:c r="D61" s="18"/>
      <x:c r="E61" s="18"/>
      <x:c r="F61" s="18"/>
      <x:c r="G61" s="19" t="str">
        <x:f>IF(AND(COUNT(D61:F61)=3,L61=1),D61*E61,"")</x:f>
      </x:c>
      <x:c r="H61" s="18"/>
      <x:c r="I61" s="18"/>
      <x:c r="J61" s="19" t="str">
        <x:f>IF(AND(ISNUMBER(G61),COUNT(H61:I61)=2),MAX(G61-H61-I61,0),"")</x:f>
      </x:c>
      <x:c r="K61" s="19" t="str">
        <x:f>IF(AND(ISNUMBER(G61),COUNT(H61:I61)=2),MAX(H61+I61-G61,0),"")</x:f>
      </x:c>
      <x:c r="L61" s="11"/>
      <x:c r="M61" s="10"/>
    </x:row>
    <x:row r="62" ht="28" customHeight="1">
      <x:c r="A62" s="10"/>
      <x:c r="B62" s="10"/>
      <x:c r="C62" s="10"/>
      <x:c r="D62" s="18"/>
      <x:c r="E62" s="18"/>
      <x:c r="F62" s="18"/>
      <x:c r="G62" s="19" t="str">
        <x:f>IF(AND(COUNT(D62:F62)=3,L62=1),D62*E62,"")</x:f>
      </x:c>
      <x:c r="H62" s="18"/>
      <x:c r="I62" s="18"/>
      <x:c r="J62" s="19" t="str">
        <x:f>IF(AND(ISNUMBER(G62),COUNT(H62:I62)=2),MAX(G62-H62-I62,0),"")</x:f>
      </x:c>
      <x:c r="K62" s="19" t="str">
        <x:f>IF(AND(ISNUMBER(G62),COUNT(H62:I62)=2),MAX(H62+I62-G62,0),"")</x:f>
      </x:c>
      <x:c r="L62" s="11"/>
      <x:c r="M62" s="10"/>
    </x:row>
    <x:row r="63" ht="28" customHeight="1">
      <x:c r="A63" s="10"/>
      <x:c r="B63" s="10"/>
      <x:c r="C63" s="10"/>
      <x:c r="D63" s="18"/>
      <x:c r="E63" s="18"/>
      <x:c r="F63" s="18"/>
      <x:c r="G63" s="19" t="str">
        <x:f>IF(AND(COUNT(D63:F63)=3,L63=1),D63*E63,"")</x:f>
      </x:c>
      <x:c r="H63" s="18"/>
      <x:c r="I63" s="18"/>
      <x:c r="J63" s="19" t="str">
        <x:f>IF(AND(ISNUMBER(G63),COUNT(H63:I63)=2),MAX(G63-H63-I63,0),"")</x:f>
      </x:c>
      <x:c r="K63" s="19" t="str">
        <x:f>IF(AND(ISNUMBER(G63),COUNT(H63:I63)=2),MAX(H63+I63-G63,0),"")</x:f>
      </x:c>
      <x:c r="L63" s="11"/>
      <x:c r="M63" s="10"/>
    </x:row>
    <x:row r="64" ht="28" customHeight="1">
      <x:c r="A64" s="10"/>
      <x:c r="B64" s="10"/>
      <x:c r="C64" s="10"/>
      <x:c r="D64" s="18"/>
      <x:c r="E64" s="18"/>
      <x:c r="F64" s="18"/>
      <x:c r="G64" s="19" t="str">
        <x:f>IF(AND(COUNT(D64:F64)=3,L64=1),D64*E64,"")</x:f>
      </x:c>
      <x:c r="H64" s="18"/>
      <x:c r="I64" s="18"/>
      <x:c r="J64" s="19" t="str">
        <x:f>IF(AND(ISNUMBER(G64),COUNT(H64:I64)=2),MAX(G64-H64-I64,0),"")</x:f>
      </x:c>
      <x:c r="K64" s="19" t="str">
        <x:f>IF(AND(ISNUMBER(G64),COUNT(H64:I64)=2),MAX(H64+I64-G64,0),"")</x:f>
      </x:c>
      <x:c r="L64" s="11"/>
      <x:c r="M64" s="10"/>
    </x:row>
    <x:row r="65" ht="28" customHeight="1">
      <x:c r="A65" s="10"/>
      <x:c r="B65" s="10"/>
      <x:c r="C65" s="10"/>
      <x:c r="D65" s="18"/>
      <x:c r="E65" s="18"/>
      <x:c r="F65" s="18"/>
      <x:c r="G65" s="19" t="str">
        <x:f>IF(AND(COUNT(D65:F65)=3,L65=1),D65*E65,"")</x:f>
      </x:c>
      <x:c r="H65" s="18"/>
      <x:c r="I65" s="18"/>
      <x:c r="J65" s="19" t="str">
        <x:f>IF(AND(ISNUMBER(G65),COUNT(H65:I65)=2),MAX(G65-H65-I65,0),"")</x:f>
      </x:c>
      <x:c r="K65" s="19" t="str">
        <x:f>IF(AND(ISNUMBER(G65),COUNT(H65:I65)=2),MAX(H65+I65-G65,0),"")</x:f>
      </x:c>
      <x:c r="L65" s="11"/>
      <x:c r="M65" s="10"/>
    </x:row>
    <x:row r="66" ht="28" customHeight="1">
      <x:c r="A66" s="10"/>
      <x:c r="B66" s="10"/>
      <x:c r="C66" s="10"/>
      <x:c r="D66" s="18"/>
      <x:c r="E66" s="18"/>
      <x:c r="F66" s="18"/>
      <x:c r="G66" s="19" t="str">
        <x:f>IF(AND(COUNT(D66:F66)=3,L66=1),D66*E66,"")</x:f>
      </x:c>
      <x:c r="H66" s="18"/>
      <x:c r="I66" s="18"/>
      <x:c r="J66" s="19" t="str">
        <x:f>IF(AND(ISNUMBER(G66),COUNT(H66:I66)=2),MAX(G66-H66-I66,0),"")</x:f>
      </x:c>
      <x:c r="K66" s="19" t="str">
        <x:f>IF(AND(ISNUMBER(G66),COUNT(H66:I66)=2),MAX(H66+I66-G66,0),"")</x:f>
      </x:c>
      <x:c r="L66" s="11"/>
      <x:c r="M66" s="10"/>
    </x:row>
    <x:row r="67" ht="28" customHeight="1">
      <x:c r="A67" s="10"/>
      <x:c r="B67" s="10"/>
      <x:c r="C67" s="10"/>
      <x:c r="D67" s="18"/>
      <x:c r="E67" s="18"/>
      <x:c r="F67" s="18"/>
      <x:c r="G67" s="19" t="str">
        <x:f>IF(AND(COUNT(D67:F67)=3,L67=1),D67*E67,"")</x:f>
      </x:c>
      <x:c r="H67" s="18"/>
      <x:c r="I67" s="18"/>
      <x:c r="J67" s="19" t="str">
        <x:f>IF(AND(ISNUMBER(G67),COUNT(H67:I67)=2),MAX(G67-H67-I67,0),"")</x:f>
      </x:c>
      <x:c r="K67" s="19" t="str">
        <x:f>IF(AND(ISNUMBER(G67),COUNT(H67:I67)=2),MAX(H67+I67-G67,0),"")</x:f>
      </x:c>
      <x:c r="L67" s="11"/>
      <x:c r="M67" s="10"/>
    </x:row>
    <x:row r="68" ht="28" customHeight="1">
      <x:c r="A68" s="10"/>
      <x:c r="B68" s="10"/>
      <x:c r="C68" s="10"/>
      <x:c r="D68" s="18"/>
      <x:c r="E68" s="18"/>
      <x:c r="F68" s="18"/>
      <x:c r="G68" s="19" t="str">
        <x:f>IF(AND(COUNT(D68:F68)=3,L68=1),D68*E68,"")</x:f>
      </x:c>
      <x:c r="H68" s="18"/>
      <x:c r="I68" s="18"/>
      <x:c r="J68" s="19" t="str">
        <x:f>IF(AND(ISNUMBER(G68),COUNT(H68:I68)=2),MAX(G68-H68-I68,0),"")</x:f>
      </x:c>
      <x:c r="K68" s="19" t="str">
        <x:f>IF(AND(ISNUMBER(G68),COUNT(H68:I68)=2),MAX(H68+I68-G68,0),"")</x:f>
      </x:c>
      <x:c r="L68" s="11"/>
      <x:c r="M68" s="10"/>
    </x:row>
    <x:row r="69" ht="28" customHeight="1">
      <x:c r="A69" s="10"/>
      <x:c r="B69" s="10"/>
      <x:c r="C69" s="10"/>
      <x:c r="D69" s="18"/>
      <x:c r="E69" s="18"/>
      <x:c r="F69" s="18"/>
      <x:c r="G69" s="19" t="str">
        <x:f>IF(AND(COUNT(D69:F69)=3,L69=1),D69*E69,"")</x:f>
      </x:c>
      <x:c r="H69" s="18"/>
      <x:c r="I69" s="18"/>
      <x:c r="J69" s="19" t="str">
        <x:f>IF(AND(ISNUMBER(G69),COUNT(H69:I69)=2),MAX(G69-H69-I69,0),"")</x:f>
      </x:c>
      <x:c r="K69" s="19" t="str">
        <x:f>IF(AND(ISNUMBER(G69),COUNT(H69:I69)=2),MAX(H69+I69-G69,0),"")</x:f>
      </x:c>
      <x:c r="L69" s="11"/>
      <x:c r="M69" s="10"/>
    </x:row>
    <x:row r="70" ht="28" customHeight="1">
      <x:c r="A70" s="10"/>
      <x:c r="B70" s="10"/>
      <x:c r="C70" s="10"/>
      <x:c r="D70" s="18"/>
      <x:c r="E70" s="18"/>
      <x:c r="F70" s="18"/>
      <x:c r="G70" s="19" t="str">
        <x:f>IF(AND(COUNT(D70:F70)=3,L70=1),D70*E70,"")</x:f>
      </x:c>
      <x:c r="H70" s="18"/>
      <x:c r="I70" s="18"/>
      <x:c r="J70" s="19" t="str">
        <x:f>IF(AND(ISNUMBER(G70),COUNT(H70:I70)=2),MAX(G70-H70-I70,0),"")</x:f>
      </x:c>
      <x:c r="K70" s="19" t="str">
        <x:f>IF(AND(ISNUMBER(G70),COUNT(H70:I70)=2),MAX(H70+I70-G70,0),"")</x:f>
      </x:c>
      <x:c r="L70" s="11"/>
      <x:c r="M70" s="10"/>
    </x:row>
    <x:row r="71" ht="28" customHeight="1">
      <x:c r="A71" s="10"/>
      <x:c r="B71" s="10"/>
      <x:c r="C71" s="10"/>
      <x:c r="D71" s="18"/>
      <x:c r="E71" s="18"/>
      <x:c r="F71" s="18"/>
      <x:c r="G71" s="19" t="str">
        <x:f>IF(AND(COUNT(D71:F71)=3,L71=1),D71*E71,"")</x:f>
      </x:c>
      <x:c r="H71" s="18"/>
      <x:c r="I71" s="18"/>
      <x:c r="J71" s="19" t="str">
        <x:f>IF(AND(ISNUMBER(G71),COUNT(H71:I71)=2),MAX(G71-H71-I71,0),"")</x:f>
      </x:c>
      <x:c r="K71" s="19" t="str">
        <x:f>IF(AND(ISNUMBER(G71),COUNT(H71:I71)=2),MAX(H71+I71-G71,0),"")</x:f>
      </x:c>
      <x:c r="L71" s="11"/>
      <x:c r="M71" s="10"/>
    </x:row>
    <x:row r="72" ht="28" customHeight="1">
      <x:c r="A72" s="10"/>
      <x:c r="B72" s="10"/>
      <x:c r="C72" s="10"/>
      <x:c r="D72" s="18"/>
      <x:c r="E72" s="18"/>
      <x:c r="F72" s="18"/>
      <x:c r="G72" s="19" t="str">
        <x:f>IF(AND(COUNT(D72:F72)=3,L72=1),D72*E72,"")</x:f>
      </x:c>
      <x:c r="H72" s="18"/>
      <x:c r="I72" s="18"/>
      <x:c r="J72" s="19" t="str">
        <x:f>IF(AND(ISNUMBER(G72),COUNT(H72:I72)=2),MAX(G72-H72-I72,0),"")</x:f>
      </x:c>
      <x:c r="K72" s="19" t="str">
        <x:f>IF(AND(ISNUMBER(G72),COUNT(H72:I72)=2),MAX(H72+I72-G72,0),"")</x:f>
      </x:c>
      <x:c r="L72" s="11"/>
      <x:c r="M72" s="10"/>
    </x:row>
    <x:row r="73" ht="28" customHeight="1">
      <x:c r="A73" s="10"/>
      <x:c r="B73" s="10"/>
      <x:c r="C73" s="10"/>
      <x:c r="D73" s="18"/>
      <x:c r="E73" s="18"/>
      <x:c r="F73" s="18"/>
      <x:c r="G73" s="19" t="str">
        <x:f>IF(AND(COUNT(D73:F73)=3,L73=1),D73*E73,"")</x:f>
      </x:c>
      <x:c r="H73" s="18"/>
      <x:c r="I73" s="18"/>
      <x:c r="J73" s="19" t="str">
        <x:f>IF(AND(ISNUMBER(G73),COUNT(H73:I73)=2),MAX(G73-H73-I73,0),"")</x:f>
      </x:c>
      <x:c r="K73" s="19" t="str">
        <x:f>IF(AND(ISNUMBER(G73),COUNT(H73:I73)=2),MAX(H73+I73-G73,0),"")</x:f>
      </x:c>
      <x:c r="L73" s="11"/>
      <x:c r="M73" s="10"/>
    </x:row>
    <x:row r="74" ht="28" customHeight="1">
      <x:c r="A74" s="10"/>
      <x:c r="B74" s="10"/>
      <x:c r="C74" s="10"/>
      <x:c r="D74" s="18"/>
      <x:c r="E74" s="18"/>
      <x:c r="F74" s="18"/>
      <x:c r="G74" s="19" t="str">
        <x:f>IF(AND(COUNT(D74:F74)=3,L74=1),D74*E74,"")</x:f>
      </x:c>
      <x:c r="H74" s="18"/>
      <x:c r="I74" s="18"/>
      <x:c r="J74" s="19" t="str">
        <x:f>IF(AND(ISNUMBER(G74),COUNT(H74:I74)=2),MAX(G74-H74-I74,0),"")</x:f>
      </x:c>
      <x:c r="K74" s="19" t="str">
        <x:f>IF(AND(ISNUMBER(G74),COUNT(H74:I74)=2),MAX(H74+I74-G74,0),"")</x:f>
      </x:c>
      <x:c r="L74" s="11"/>
      <x:c r="M74" s="10"/>
    </x:row>
    <x:row r="75" ht="28" customHeight="1">
      <x:c r="A75" s="10"/>
      <x:c r="B75" s="10"/>
      <x:c r="C75" s="10"/>
      <x:c r="D75" s="18"/>
      <x:c r="E75" s="18"/>
      <x:c r="F75" s="18"/>
      <x:c r="G75" s="19" t="str">
        <x:f>IF(AND(COUNT(D75:F75)=3,L75=1),D75*E75,"")</x:f>
      </x:c>
      <x:c r="H75" s="18"/>
      <x:c r="I75" s="18"/>
      <x:c r="J75" s="19" t="str">
        <x:f>IF(AND(ISNUMBER(G75),COUNT(H75:I75)=2),MAX(G75-H75-I75,0),"")</x:f>
      </x:c>
      <x:c r="K75" s="19" t="str">
        <x:f>IF(AND(ISNUMBER(G75),COUNT(H75:I75)=2),MAX(H75+I75-G75,0),"")</x:f>
      </x:c>
      <x:c r="L75" s="11"/>
      <x:c r="M75" s="10"/>
    </x:row>
    <x:row r="76" ht="28" customHeight="1">
      <x:c r="A76" s="10"/>
      <x:c r="B76" s="10"/>
      <x:c r="C76" s="10"/>
      <x:c r="D76" s="18"/>
      <x:c r="E76" s="18"/>
      <x:c r="F76" s="18"/>
      <x:c r="G76" s="19" t="str">
        <x:f>IF(AND(COUNT(D76:F76)=3,L76=1),D76*E76,"")</x:f>
      </x:c>
      <x:c r="H76" s="18"/>
      <x:c r="I76" s="18"/>
      <x:c r="J76" s="19" t="str">
        <x:f>IF(AND(ISNUMBER(G76),COUNT(H76:I76)=2),MAX(G76-H76-I76,0),"")</x:f>
      </x:c>
      <x:c r="K76" s="19" t="str">
        <x:f>IF(AND(ISNUMBER(G76),COUNT(H76:I76)=2),MAX(H76+I76-G76,0),"")</x:f>
      </x:c>
      <x:c r="L76" s="11"/>
      <x:c r="M76" s="10"/>
    </x:row>
    <x:row r="77" ht="28" customHeight="1">
      <x:c r="A77" s="10"/>
      <x:c r="B77" s="10"/>
      <x:c r="C77" s="10"/>
      <x:c r="D77" s="18"/>
      <x:c r="E77" s="18"/>
      <x:c r="F77" s="18"/>
      <x:c r="G77" s="19" t="str">
        <x:f>IF(AND(COUNT(D77:F77)=3,L77=1),D77*E77,"")</x:f>
      </x:c>
      <x:c r="H77" s="18"/>
      <x:c r="I77" s="18"/>
      <x:c r="J77" s="19" t="str">
        <x:f>IF(AND(ISNUMBER(G77),COUNT(H77:I77)=2),MAX(G77-H77-I77,0),"")</x:f>
      </x:c>
      <x:c r="K77" s="19" t="str">
        <x:f>IF(AND(ISNUMBER(G77),COUNT(H77:I77)=2),MAX(H77+I77-G77,0),"")</x:f>
      </x:c>
      <x:c r="L77" s="11"/>
      <x:c r="M77" s="10"/>
    </x:row>
    <x:row r="78" ht="28" customHeight="1">
      <x:c r="A78" s="10"/>
      <x:c r="B78" s="10"/>
      <x:c r="C78" s="10"/>
      <x:c r="D78" s="18"/>
      <x:c r="E78" s="18"/>
      <x:c r="F78" s="18"/>
      <x:c r="G78" s="19" t="str">
        <x:f>IF(AND(COUNT(D78:F78)=3,L78=1),D78*E78,"")</x:f>
      </x:c>
      <x:c r="H78" s="18"/>
      <x:c r="I78" s="18"/>
      <x:c r="J78" s="19" t="str">
        <x:f>IF(AND(ISNUMBER(G78),COUNT(H78:I78)=2),MAX(G78-H78-I78,0),"")</x:f>
      </x:c>
      <x:c r="K78" s="19" t="str">
        <x:f>IF(AND(ISNUMBER(G78),COUNT(H78:I78)=2),MAX(H78+I78-G78,0),"")</x:f>
      </x:c>
      <x:c r="L78" s="11"/>
      <x:c r="M78" s="10"/>
    </x:row>
    <x:row r="79" ht="28" customHeight="1">
      <x:c r="A79" s="10"/>
      <x:c r="B79" s="10"/>
      <x:c r="C79" s="10"/>
      <x:c r="D79" s="18"/>
      <x:c r="E79" s="18"/>
      <x:c r="F79" s="18"/>
      <x:c r="G79" s="19" t="str">
        <x:f>IF(AND(COUNT(D79:F79)=3,L79=1),D79*E79,"")</x:f>
      </x:c>
      <x:c r="H79" s="18"/>
      <x:c r="I79" s="18"/>
      <x:c r="J79" s="19" t="str">
        <x:f>IF(AND(ISNUMBER(G79),COUNT(H79:I79)=2),MAX(G79-H79-I79,0),"")</x:f>
      </x:c>
      <x:c r="K79" s="19" t="str">
        <x:f>IF(AND(ISNUMBER(G79),COUNT(H79:I79)=2),MAX(H79+I79-G79,0),"")</x:f>
      </x:c>
      <x:c r="L79" s="11"/>
      <x:c r="M79" s="10"/>
    </x:row>
    <x:row r="80" ht="28" customHeight="1">
      <x:c r="A80" s="10"/>
      <x:c r="B80" s="10"/>
      <x:c r="C80" s="10"/>
      <x:c r="D80" s="18"/>
      <x:c r="E80" s="18"/>
      <x:c r="F80" s="18"/>
      <x:c r="G80" s="19" t="str">
        <x:f>IF(AND(COUNT(D80:F80)=3,L80=1),D80*E80,"")</x:f>
      </x:c>
      <x:c r="H80" s="18"/>
      <x:c r="I80" s="18"/>
      <x:c r="J80" s="19" t="str">
        <x:f>IF(AND(ISNUMBER(G80),COUNT(H80:I80)=2),MAX(G80-H80-I80,0),"")</x:f>
      </x:c>
      <x:c r="K80" s="19" t="str">
        <x:f>IF(AND(ISNUMBER(G80),COUNT(H80:I80)=2),MAX(H80+I80-G80,0),"")</x:f>
      </x:c>
      <x:c r="L80" s="11"/>
      <x:c r="M80" s="10"/>
    </x:row>
    <x:row r="81" ht="28" customHeight="1">
      <x:c r="A81" s="10"/>
      <x:c r="B81" s="10"/>
      <x:c r="C81" s="10"/>
      <x:c r="D81" s="18"/>
      <x:c r="E81" s="18"/>
      <x:c r="F81" s="18"/>
      <x:c r="G81" s="19" t="str">
        <x:f>IF(AND(COUNT(D81:F81)=3,L81=1),D81*E81,"")</x:f>
      </x:c>
      <x:c r="H81" s="18"/>
      <x:c r="I81" s="18"/>
      <x:c r="J81" s="19" t="str">
        <x:f>IF(AND(ISNUMBER(G81),COUNT(H81:I81)=2),MAX(G81-H81-I81,0),"")</x:f>
      </x:c>
      <x:c r="K81" s="19" t="str">
        <x:f>IF(AND(ISNUMBER(G81),COUNT(H81:I81)=2),MAX(H81+I81-G81,0),"")</x:f>
      </x:c>
      <x:c r="L81" s="11"/>
      <x:c r="M81" s="10"/>
    </x:row>
    <x:row r="82" ht="28" customHeight="1">
      <x:c r="A82" s="10"/>
      <x:c r="B82" s="10"/>
      <x:c r="C82" s="10"/>
      <x:c r="D82" s="18"/>
      <x:c r="E82" s="18"/>
      <x:c r="F82" s="18"/>
      <x:c r="G82" s="19" t="str">
        <x:f>IF(AND(COUNT(D82:F82)=3,L82=1),D82*E82,"")</x:f>
      </x:c>
      <x:c r="H82" s="18"/>
      <x:c r="I82" s="18"/>
      <x:c r="J82" s="19" t="str">
        <x:f>IF(AND(ISNUMBER(G82),COUNT(H82:I82)=2),MAX(G82-H82-I82,0),"")</x:f>
      </x:c>
      <x:c r="K82" s="19" t="str">
        <x:f>IF(AND(ISNUMBER(G82),COUNT(H82:I82)=2),MAX(H82+I82-G82,0),"")</x:f>
      </x:c>
      <x:c r="L82" s="11"/>
      <x:c r="M82" s="10"/>
    </x:row>
    <x:row r="83" ht="28" customHeight="1">
      <x:c r="A83" s="10"/>
      <x:c r="B83" s="10"/>
      <x:c r="C83" s="10"/>
      <x:c r="D83" s="18"/>
      <x:c r="E83" s="18"/>
      <x:c r="F83" s="18"/>
      <x:c r="G83" s="19" t="str">
        <x:f>IF(AND(COUNT(D83:F83)=3,L83=1),D83*E83,"")</x:f>
      </x:c>
      <x:c r="H83" s="18"/>
      <x:c r="I83" s="18"/>
      <x:c r="J83" s="19" t="str">
        <x:f>IF(AND(ISNUMBER(G83),COUNT(H83:I83)=2),MAX(G83-H83-I83,0),"")</x:f>
      </x:c>
      <x:c r="K83" s="19" t="str">
        <x:f>IF(AND(ISNUMBER(G83),COUNT(H83:I83)=2),MAX(H83+I83-G83,0),"")</x:f>
      </x:c>
      <x:c r="L83" s="11"/>
      <x:c r="M83" s="10"/>
    </x:row>
    <x:row r="84" ht="28" customHeight="1">
      <x:c r="A84" s="10"/>
      <x:c r="B84" s="10"/>
      <x:c r="C84" s="10"/>
      <x:c r="D84" s="18"/>
      <x:c r="E84" s="18"/>
      <x:c r="F84" s="18"/>
      <x:c r="G84" s="19" t="str">
        <x:f>IF(AND(COUNT(D84:F84)=3,L84=1),D84*E84,"")</x:f>
      </x:c>
      <x:c r="H84" s="18"/>
      <x:c r="I84" s="18"/>
      <x:c r="J84" s="19" t="str">
        <x:f>IF(AND(ISNUMBER(G84),COUNT(H84:I84)=2),MAX(G84-H84-I84,0),"")</x:f>
      </x:c>
      <x:c r="K84" s="19" t="str">
        <x:f>IF(AND(ISNUMBER(G84),COUNT(H84:I84)=2),MAX(H84+I84-G84,0),"")</x:f>
      </x:c>
      <x:c r="L84" s="11"/>
      <x:c r="M84" s="10"/>
    </x:row>
    <x:row r="85" ht="28" customHeight="1">
      <x:c r="A85" s="10"/>
      <x:c r="B85" s="10"/>
      <x:c r="C85" s="10"/>
      <x:c r="D85" s="18"/>
      <x:c r="E85" s="18"/>
      <x:c r="F85" s="18"/>
      <x:c r="G85" s="19" t="str">
        <x:f>IF(AND(COUNT(D85:F85)=3,L85=1),D85*E85,"")</x:f>
      </x:c>
      <x:c r="H85" s="18"/>
      <x:c r="I85" s="18"/>
      <x:c r="J85" s="19" t="str">
        <x:f>IF(AND(ISNUMBER(G85),COUNT(H85:I85)=2),MAX(G85-H85-I85,0),"")</x:f>
      </x:c>
      <x:c r="K85" s="19" t="str">
        <x:f>IF(AND(ISNUMBER(G85),COUNT(H85:I85)=2),MAX(H85+I85-G85,0),"")</x:f>
      </x:c>
      <x:c r="L85" s="11"/>
      <x:c r="M85" s="10"/>
    </x:row>
    <x:row r="86" ht="28" customHeight="1">
      <x:c r="A86" s="10"/>
      <x:c r="B86" s="10"/>
      <x:c r="C86" s="10"/>
      <x:c r="D86" s="18"/>
      <x:c r="E86" s="18"/>
      <x:c r="F86" s="18"/>
      <x:c r="G86" s="19" t="str">
        <x:f>IF(AND(COUNT(D86:F86)=3,L86=1),D86*E86,"")</x:f>
      </x:c>
      <x:c r="H86" s="18"/>
      <x:c r="I86" s="18"/>
      <x:c r="J86" s="19" t="str">
        <x:f>IF(AND(ISNUMBER(G86),COUNT(H86:I86)=2),MAX(G86-H86-I86,0),"")</x:f>
      </x:c>
      <x:c r="K86" s="19" t="str">
        <x:f>IF(AND(ISNUMBER(G86),COUNT(H86:I86)=2),MAX(H86+I86-G86,0),"")</x:f>
      </x:c>
      <x:c r="L86" s="11"/>
      <x:c r="M86" s="10"/>
    </x:row>
    <x:row r="87" ht="28" customHeight="1">
      <x:c r="A87" s="10"/>
      <x:c r="B87" s="10"/>
      <x:c r="C87" s="10"/>
      <x:c r="D87" s="18"/>
      <x:c r="E87" s="18"/>
      <x:c r="F87" s="18"/>
      <x:c r="G87" s="19" t="str">
        <x:f>IF(AND(COUNT(D87:F87)=3,L87=1),D87*E87,"")</x:f>
      </x:c>
      <x:c r="H87" s="18"/>
      <x:c r="I87" s="18"/>
      <x:c r="J87" s="19" t="str">
        <x:f>IF(AND(ISNUMBER(G87),COUNT(H87:I87)=2),MAX(G87-H87-I87,0),"")</x:f>
      </x:c>
      <x:c r="K87" s="19" t="str">
        <x:f>IF(AND(ISNUMBER(G87),COUNT(H87:I87)=2),MAX(H87+I87-G87,0),"")</x:f>
      </x:c>
      <x:c r="L87" s="11"/>
      <x:c r="M87" s="10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 ht="28" customHeight="1">
      <x:c r="A90" s="2" t="str">
        <x:v>Түр коды: 1 — процент; 2 — бир өлшемге сум. Формула: база × ставка. Жеңиллик ҳәм аванс бөлек кемитиледи.</x:v>
      </x:c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28" customHeight="1">
      <x:c r="A92" s="2" t="str">
        <x:v>ҚҚС бөлек: шығыс ҚҚС − есапқа алынатуғын кирис ҚҚС ± тийисли дүзетиўлер.</x:v>
      </x:c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50" customHeight="1">
      <x:c r="A94" s="8" t="str">
        <x:v>Клиент коды</x:v>
      </x:c>
      <x:c r="B94" s="8" t="str">
        <x:v>Шығыс ҚҚС</x:v>
      </x:c>
      <x:c r="C94" s="8" t="str">
        <x:v>Кирис ҚҚС (есапқа алынатуғын)</x:v>
      </x:c>
      <x:c r="D94" s="8" t="str">
        <x:v>Дүзетиў (+/−)</x:v>
      </x:c>
      <x:c r="E94" s="8" t="str">
        <x:v>Нәтийже</x:v>
      </x:c>
      <x:c r="F94" s="8" t="str">
        <x:v>Тексерилди (0/1)</x:v>
      </x:c>
      <x:c r="G94" s="2"/>
      <x:c r="H94" s="2"/>
      <x:c r="I94" s="2"/>
      <x:c r="J94" s="2"/>
      <x:c r="K94" s="2"/>
      <x:c r="L94" s="2"/>
      <x:c r="M94" s="2"/>
    </x:row>
    <x:row r="95" ht="28" customHeight="1">
      <x:c r="A95" s="10"/>
      <x:c r="B95" s="10"/>
      <x:c r="C95" s="10"/>
      <x:c r="D95" s="10"/>
      <x:c r="E95" s="2" t="str">
        <x:f>IF(AND(COUNT(B95:D95)=3,F95=1),B95-C95+D95,"")</x:f>
      </x:c>
      <x:c r="F95" s="10"/>
      <x:c r="G95" s="2"/>
      <x:c r="H95" s="2"/>
      <x:c r="I95" s="2"/>
      <x:c r="J95" s="2"/>
      <x:c r="K95" s="2"/>
      <x:c r="L95" s="2"/>
      <x:c r="M95" s="2"/>
    </x:row>
    <x:row r="96" ht="28" customHeight="1">
      <x:c r="A96" s="10"/>
      <x:c r="B96" s="10"/>
      <x:c r="C96" s="10"/>
      <x:c r="D96" s="10"/>
      <x:c r="E96" s="2" t="str">
        <x:f>IF(AND(COUNT(B96:D96)=3,F96=1),B96-C96+D96,"")</x:f>
      </x:c>
      <x:c r="F96" s="10"/>
      <x:c r="G96" s="2"/>
      <x:c r="H96" s="2"/>
      <x:c r="I96" s="2"/>
      <x:c r="J96" s="2"/>
      <x:c r="K96" s="2"/>
      <x:c r="L96" s="2"/>
      <x:c r="M96" s="2"/>
    </x:row>
    <x:row r="97" ht="28" customHeight="1">
      <x:c r="A97" s="10"/>
      <x:c r="B97" s="10"/>
      <x:c r="C97" s="10"/>
      <x:c r="D97" s="10"/>
      <x:c r="E97" s="2" t="str">
        <x:f>IF(AND(COUNT(B97:D97)=3,F97=1),B97-C97+D97,"")</x:f>
      </x:c>
      <x:c r="F97" s="10"/>
      <x:c r="G97" s="2"/>
      <x:c r="H97" s="2"/>
      <x:c r="I97" s="2"/>
      <x:c r="J97" s="2"/>
      <x:c r="K97" s="2"/>
      <x:c r="L97" s="2"/>
      <x:c r="M97" s="2"/>
    </x:row>
    <x:row r="98" ht="28" customHeight="1">
      <x:c r="A98" s="10"/>
      <x:c r="B98" s="10"/>
      <x:c r="C98" s="10"/>
      <x:c r="D98" s="10"/>
      <x:c r="E98" s="2" t="str">
        <x:f>IF(AND(COUNT(B98:D98)=3,F98=1),B98-C98+D98,"")</x:f>
      </x:c>
      <x:c r="F98" s="10"/>
      <x:c r="G98" s="2"/>
      <x:c r="H98" s="2"/>
      <x:c r="I98" s="2"/>
      <x:c r="J98" s="2"/>
      <x:c r="K98" s="2"/>
      <x:c r="L98" s="2"/>
      <x:c r="M98" s="2"/>
    </x:row>
    <x:row r="99" ht="28" customHeight="1">
      <x:c r="A99" s="10"/>
      <x:c r="B99" s="10"/>
      <x:c r="C99" s="10"/>
      <x:c r="D99" s="10"/>
      <x:c r="E99" s="2" t="str">
        <x:f>IF(AND(COUNT(B99:D99)=3,F99=1),B99-C99+D99,"")</x:f>
      </x:c>
      <x:c r="F99" s="10"/>
      <x:c r="G99" s="2"/>
      <x:c r="H99" s="2"/>
      <x:c r="I99" s="2"/>
      <x:c r="J99" s="2"/>
      <x:c r="K99" s="2"/>
      <x:c r="L99" s="2"/>
      <x:c r="M99" s="2"/>
    </x:row>
    <x:row r="100" ht="28" customHeight="1">
      <x:c r="A100" s="10"/>
      <x:c r="B100" s="10"/>
      <x:c r="C100" s="10"/>
      <x:c r="D100" s="10"/>
      <x:c r="E100" s="2" t="str">
        <x:f>IF(AND(COUNT(B100:D100)=3,F100=1),B100-C100+D100,"")</x:f>
      </x:c>
      <x:c r="F100" s="10"/>
      <x:c r="G100" s="2"/>
      <x:c r="H100" s="2"/>
      <x:c r="I100" s="2"/>
      <x:c r="J100" s="2"/>
      <x:c r="K100" s="2"/>
      <x:c r="L100" s="2"/>
      <x:c r="M100" s="2"/>
    </x:row>
    <x:row r="101" ht="28" customHeight="1">
      <x:c r="A101" s="10"/>
      <x:c r="B101" s="10"/>
      <x:c r="C101" s="10"/>
      <x:c r="D101" s="10"/>
      <x:c r="E101" s="2" t="str">
        <x:f>IF(AND(COUNT(B101:D101)=3,F101=1),B101-C101+D101,"")</x:f>
      </x:c>
      <x:c r="F101" s="10"/>
      <x:c r="G101" s="2"/>
      <x:c r="H101" s="2"/>
      <x:c r="I101" s="2"/>
      <x:c r="J101" s="2"/>
      <x:c r="K101" s="2"/>
      <x:c r="L101" s="2"/>
      <x:c r="M101" s="2"/>
    </x:row>
    <x:row r="102" ht="28" customHeight="1">
      <x:c r="A102" s="10"/>
      <x:c r="B102" s="10"/>
      <x:c r="C102" s="10"/>
      <x:c r="D102" s="10"/>
      <x:c r="E102" s="2" t="str">
        <x:f>IF(AND(COUNT(B102:D102)=3,F102=1),B102-C102+D102,"")</x:f>
      </x:c>
      <x:c r="F102" s="10"/>
      <x:c r="G102" s="2"/>
      <x:c r="H102" s="2"/>
      <x:c r="I102" s="2"/>
      <x:c r="J102" s="2"/>
      <x:c r="K102" s="2"/>
      <x:c r="L102" s="2"/>
      <x:c r="M102" s="2"/>
    </x:row>
    <x:row r="103" ht="28" customHeight="1">
      <x:c r="A103" s="10"/>
      <x:c r="B103" s="10"/>
      <x:c r="C103" s="10"/>
      <x:c r="D103" s="10"/>
      <x:c r="E103" s="2" t="str">
        <x:f>IF(AND(COUNT(B103:D103)=3,F103=1),B103-C103+D103,"")</x:f>
      </x:c>
      <x:c r="F103" s="10"/>
      <x:c r="G103" s="2"/>
      <x:c r="H103" s="2"/>
      <x:c r="I103" s="2"/>
      <x:c r="J103" s="2"/>
      <x:c r="K103" s="2"/>
      <x:c r="L103" s="2"/>
      <x:c r="M103" s="2"/>
    </x:row>
    <x:row r="104" ht="28" customHeight="1">
      <x:c r="A104" s="10"/>
      <x:c r="B104" s="10"/>
      <x:c r="C104" s="10"/>
      <x:c r="D104" s="10"/>
      <x:c r="E104" s="2" t="str">
        <x:f>IF(AND(COUNT(B104:D104)=3,F104=1),B104-C104+D104,"")</x:f>
      </x:c>
      <x:c r="F104" s="10"/>
      <x:c r="G104" s="2"/>
      <x:c r="H104" s="2"/>
      <x:c r="I104" s="2"/>
      <x:c r="J104" s="2"/>
      <x:c r="K104" s="2"/>
      <x:c r="L104" s="2"/>
      <x:c r="M104" s="2"/>
    </x:row>
    <x:row r="105" ht="28" customHeight="1">
      <x:c r="A105" s="10"/>
      <x:c r="B105" s="10"/>
      <x:c r="C105" s="10"/>
      <x:c r="D105" s="10"/>
      <x:c r="E105" s="2" t="str">
        <x:f>IF(AND(COUNT(B105:D105)=3,F105=1),B105-C105+D105,"")</x:f>
      </x:c>
      <x:c r="F105" s="10"/>
      <x:c r="G105" s="2"/>
      <x:c r="H105" s="2"/>
      <x:c r="I105" s="2"/>
      <x:c r="J105" s="2"/>
      <x:c r="K105" s="2"/>
      <x:c r="L105" s="2"/>
      <x:c r="M105" s="2"/>
    </x:row>
    <x:row r="106" ht="28" customHeight="1">
      <x:c r="A106" s="10"/>
      <x:c r="B106" s="10"/>
      <x:c r="C106" s="10"/>
      <x:c r="D106" s="10"/>
      <x:c r="E106" s="2" t="str">
        <x:f>IF(AND(COUNT(B106:D106)=3,F106=1),B106-C106+D106,"")</x:f>
      </x:c>
      <x:c r="F106" s="10"/>
      <x:c r="G106" s="2"/>
      <x:c r="H106" s="2"/>
      <x:c r="I106" s="2"/>
      <x:c r="J106" s="2"/>
      <x:c r="K106" s="2"/>
      <x:c r="L106" s="2"/>
      <x:c r="M106" s="2"/>
    </x:row>
    <x:row r="107" ht="28" customHeight="1">
      <x:c r="A107" s="10"/>
      <x:c r="B107" s="10"/>
      <x:c r="C107" s="10"/>
      <x:c r="D107" s="10"/>
      <x:c r="E107" s="2" t="str">
        <x:f>IF(AND(COUNT(B107:D107)=3,F107=1),B107-C107+D107,"")</x:f>
      </x:c>
      <x:c r="F107" s="10"/>
      <x:c r="G107" s="2"/>
      <x:c r="H107" s="2"/>
      <x:c r="I107" s="2"/>
      <x:c r="J107" s="2"/>
      <x:c r="K107" s="2"/>
      <x:c r="L107" s="2"/>
      <x:c r="M107" s="2"/>
    </x:row>
    <x:row r="108" ht="28" customHeight="1">
      <x:c r="A108" s="10"/>
      <x:c r="B108" s="10"/>
      <x:c r="C108" s="10"/>
      <x:c r="D108" s="10"/>
      <x:c r="E108" s="2" t="str">
        <x:f>IF(AND(COUNT(B108:D108)=3,F108=1),B108-C108+D108,"")</x:f>
      </x:c>
      <x:c r="F108" s="10"/>
      <x:c r="G108" s="2"/>
      <x:c r="H108" s="2"/>
      <x:c r="I108" s="2"/>
      <x:c r="J108" s="2"/>
      <x:c r="K108" s="2"/>
      <x:c r="L108" s="2"/>
      <x:c r="M108" s="2"/>
    </x:row>
    <x:row r="109" ht="28" customHeight="1">
      <x:c r="A109" s="10"/>
      <x:c r="B109" s="10"/>
      <x:c r="C109" s="10"/>
      <x:c r="D109" s="10"/>
      <x:c r="E109" s="2" t="str">
        <x:f>IF(AND(COUNT(B109:D109)=3,F109=1),B109-C109+D109,"")</x:f>
      </x:c>
      <x:c r="F109" s="10"/>
      <x:c r="G109" s="2"/>
      <x:c r="H109" s="2"/>
      <x:c r="I109" s="2"/>
      <x:c r="J109" s="2"/>
      <x:c r="K109" s="2"/>
      <x:c r="L109" s="2"/>
      <x:c r="M109" s="2"/>
    </x:row>
    <x:row r="110" ht="28" customHeight="1">
      <x:c r="A110" s="10"/>
      <x:c r="B110" s="10"/>
      <x:c r="C110" s="10"/>
      <x:c r="D110" s="10"/>
      <x:c r="E110" s="2" t="str">
        <x:f>IF(AND(COUNT(B110:D110)=3,F110=1),B110-C110+D110,"")</x:f>
      </x:c>
      <x:c r="F110" s="10"/>
      <x:c r="G110" s="2"/>
      <x:c r="H110" s="2"/>
      <x:c r="I110" s="2"/>
      <x:c r="J110" s="2"/>
      <x:c r="K110" s="2"/>
      <x:c r="L110" s="2"/>
      <x:c r="M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28" customHeight="1">
      <x:c r="A112" s="2" t="str">
        <x:v>Терис ҚҚС нәтийжеси автомат қайтарыў емес: 274-баптағы тәртип ҳәм талаплар бөлек тексериледи.</x:v>
      </x:c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</x:sheetData>
  <x:dataValidations count="1">
    <x:dataValidation type="whole" operator="between" sqref="L8:L87">
      <x:formula1>0</x:formula1>
      <x:formula2>1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16" hidden="0" customWidth="1"/>
    <x:col min="2" max="2" width="4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  <x:col min="8" max="8" width="48" hidden="0" customWidth="1"/>
    <x:col min="9" max="9" width="6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САЛЫҚ ҚАҒЫЙДАЛАРЫ ҲӘМ ДЕРЕКЛЕР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 t="str">
        <x:v>Тексериў сәнеси: 08.10.2026. 2027-жыл қағыйдалары өзгерсе, календарь ҳәм профилди жаңалаң.</x:v>
      </x:c>
      <x:c r="B4" s="2"/>
      <x:c r="C4" s="2"/>
      <x:c r="D4" s="2"/>
      <x:c r="E4" s="2"/>
      <x:c r="F4" s="2"/>
      <x:c r="G4" s="2"/>
      <x:c r="H4" s="2"/>
      <x:c r="I4" s="2"/>
    </x:row>
    <x:row r="5" ht="28" customHeight="1">
      <x:c r="A5" s="2" t="str">
        <x:v>Жалпы салық кодекси: https://lex.uz/docs/4674893</x:v>
      </x:c>
      <x:c r="B5" s="2"/>
      <x:c r="C5" s="2"/>
      <x:c r="D5" s="2"/>
      <x:c r="E5" s="2"/>
      <x:c r="F5" s="2"/>
      <x:c r="G5" s="2"/>
      <x:c r="H5" s="2"/>
      <x:c r="I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50" customHeight="1">
      <x:c r="A7" s="8" t="str">
        <x:v>Код</x:v>
      </x:c>
      <x:c r="B7" s="8" t="str">
        <x:v>Салық / жумыс</x:v>
      </x:c>
      <x:c r="C7" s="8" t="str">
        <x:v>Дәўир коды</x:v>
      </x:c>
      <x:c r="D7" s="8" t="str">
        <x:v>Күн</x:v>
      </x:c>
      <x:c r="E7" s="8" t="str">
        <x:v>Профиль бағаны</x:v>
      </x:c>
      <x:c r="F7" s="8" t="str">
        <x:v>Кодекс бабы</x:v>
      </x:c>
      <x:c r="G7" s="8" t="str">
        <x:v>Қағыйда</x:v>
      </x:c>
      <x:c r="H7" s="8" t="str">
        <x:v>Қолланылыў шарты</x:v>
      </x:c>
      <x:c r="I7" s="8" t="str">
        <x:v>Рәсмий дерек</x:v>
      </x:c>
    </x:row>
    <x:row r="8" ht="56" customHeight="1">
      <x:c r="A8" s="13" t="n">
        <x:v>1</x:v>
      </x:c>
      <x:c r="B8" s="13" t="str">
        <x:v>ҚҚС есабаты</x:v>
      </x:c>
      <x:c r="C8" s="13" t="n">
        <x:v>1</x:v>
      </x:c>
      <x:c r="D8" s="13" t="n">
        <x:v>20</x:v>
      </x:c>
      <x:c r="E8" s="13" t="str">
        <x:v>F</x:v>
      </x:c>
      <x:c r="F8" s="13" t="str">
        <x:v>273</x:v>
      </x:c>
      <x:c r="G8" s="13" t="str">
        <x:v>Кейинги айдың 20-сы</x:v>
      </x:c>
      <x:c r="H8" s="13" t="str">
        <x:v>ҚҚС төлеўши</x:v>
      </x:c>
      <x:c r="I8" s="13" t="str">
        <x:v>https://api-portal.gov.uz/uploads/29/2026/04/30/88bbe199-7c07-6e65-edfe-d883ec2c121e_media_.pdf</x:v>
      </x:c>
    </x:row>
    <x:row r="9" ht="56" customHeight="1">
      <x:c r="A9" s="13" t="n">
        <x:v>2</x:v>
      </x:c>
      <x:c r="B9" s="13" t="str">
        <x:v>ҚҚС төлеми</x:v>
      </x:c>
      <x:c r="C9" s="13" t="n">
        <x:v>1</x:v>
      </x:c>
      <x:c r="D9" s="13" t="n">
        <x:v>20</x:v>
      </x:c>
      <x:c r="E9" s="13" t="str">
        <x:v>F</x:v>
      </x:c>
      <x:c r="F9" s="13" t="str">
        <x:v>273</x:v>
      </x:c>
      <x:c r="G9" s="13" t="str">
        <x:v>Кейинги айдың 20-сы</x:v>
      </x:c>
      <x:c r="H9" s="13" t="str">
        <x:v>Есапланған салық бойынша</x:v>
      </x:c>
      <x:c r="I9" s="13" t="str">
        <x:v>https://api-portal.gov.uz/uploads/29/2026/04/30/88bbe199-7c07-6e65-edfe-d883ec2c121e_media_.pdf</x:v>
      </x:c>
    </x:row>
    <x:row r="10" ht="56" customHeight="1">
      <x:c r="A10" s="13" t="n">
        <x:v>3</x:v>
      </x:c>
      <x:c r="B10" s="13" t="str">
        <x:v>Айланба салығы есабаты</x:v>
      </x:c>
      <x:c r="C10" s="13" t="n">
        <x:v>1</x:v>
      </x:c>
      <x:c r="D10" s="13" t="n">
        <x:v>15</x:v>
      </x:c>
      <x:c r="E10" s="13" t="str">
        <x:v>G</x:v>
      </x:c>
      <x:c r="F10" s="13" t="str">
        <x:v>470</x:v>
      </x:c>
      <x:c r="G10" s="13" t="str">
        <x:v>Кейинги айдың 15-и</x:v>
      </x:c>
      <x:c r="H10" s="13" t="str">
        <x:v>Айланба салығы төлеўши</x:v>
      </x:c>
      <x:c r="I10" s="13" t="str">
        <x:v>https://gov.uz/ru/soliq/news/view/130905</x:v>
      </x:c>
    </x:row>
    <x:row r="11" ht="56" customHeight="1">
      <x:c r="A11" s="13" t="n">
        <x:v>4</x:v>
      </x:c>
      <x:c r="B11" s="13" t="str">
        <x:v>Айланба салығы төлеми</x:v>
      </x:c>
      <x:c r="C11" s="13" t="n">
        <x:v>1</x:v>
      </x:c>
      <x:c r="D11" s="13" t="n">
        <x:v>15</x:v>
      </x:c>
      <x:c r="E11" s="13" t="str">
        <x:v>G</x:v>
      </x:c>
      <x:c r="F11" s="13" t="str">
        <x:v>470</x:v>
      </x:c>
      <x:c r="G11" s="13" t="str">
        <x:v>Кейинги айдың 15-и</x:v>
      </x:c>
      <x:c r="H11" s="13" t="str">
        <x:v>Салық суммасы бойынша</x:v>
      </x:c>
      <x:c r="I11" s="13" t="str">
        <x:v>https://api-portal.gov.uz/uploads/29/2026/04/30/88bbe199-7c07-6e65-edfe-d883ec2c121e_media_.pdf</x:v>
      </x:c>
    </x:row>
    <x:row r="12" ht="56" customHeight="1">
      <x:c r="A12" s="13" t="n">
        <x:v>5</x:v>
      </x:c>
      <x:c r="B12" s="13" t="str">
        <x:v>Дәрамат салығы есабаты</x:v>
      </x:c>
      <x:c r="C12" s="13" t="n">
        <x:v>1</x:v>
      </x:c>
      <x:c r="D12" s="13" t="n">
        <x:v>15</x:v>
      </x:c>
      <x:c r="E12" s="13" t="str">
        <x:v>I</x:v>
      </x:c>
      <x:c r="F12" s="13" t="str">
        <x:v>389</x:v>
      </x:c>
      <x:c r="G12" s="13" t="str">
        <x:v>Кейинги айдың 15-и</x:v>
      </x:c>
      <x:c r="H12" s="13" t="str">
        <x:v>Салық агенти</x:v>
      </x:c>
      <x:c r="I12" s="13" t="str">
        <x:v>https://api-portal.gov.uz/uploads/29/2026/04/30/88bbe199-7c07-6e65-edfe-d883ec2c121e_media_.pdf</x:v>
      </x:c>
    </x:row>
    <x:row r="13" ht="56" customHeight="1">
      <x:c r="A13" s="13" t="n">
        <x:v>6</x:v>
      </x:c>
      <x:c r="B13" s="13" t="str">
        <x:v>Социаллық салық есабаты</x:v>
      </x:c>
      <x:c r="C13" s="13" t="n">
        <x:v>1</x:v>
      </x:c>
      <x:c r="D13" s="13" t="n">
        <x:v>15</x:v>
      </x:c>
      <x:c r="E13" s="13" t="str">
        <x:v>I</x:v>
      </x:c>
      <x:c r="F13" s="13" t="str">
        <x:v>407</x:v>
      </x:c>
      <x:c r="G13" s="13" t="str">
        <x:v>Кейинги айдың 15-и</x:v>
      </x:c>
      <x:c r="H13" s="13" t="str">
        <x:v>Айлық салықлары тийисли</x:v>
      </x:c>
      <x:c r="I13" s="13" t="str">
        <x:v>https://api-portal.gov.uz/uploads/29/2026/04/30/88bbe199-7c07-6e65-edfe-d883ec2c121e_media_.pdf</x:v>
      </x:c>
    </x:row>
    <x:row r="14" ht="56" customHeight="1">
      <x:c r="A14" s="13" t="n">
        <x:v>7</x:v>
      </x:c>
      <x:c r="B14" s="13" t="str">
        <x:v>Социаллық салық төлеми</x:v>
      </x:c>
      <x:c r="C14" s="13" t="n">
        <x:v>1</x:v>
      </x:c>
      <x:c r="D14" s="13" t="n">
        <x:v>15</x:v>
      </x:c>
      <x:c r="E14" s="13" t="str">
        <x:v>I</x:v>
      </x:c>
      <x:c r="F14" s="13" t="str">
        <x:v>407</x:v>
      </x:c>
      <x:c r="G14" s="13" t="str">
        <x:v>Кейинги айдың 15-и</x:v>
      </x:c>
      <x:c r="H14" s="13" t="str">
        <x:v>Салық суммасы бойынша</x:v>
      </x:c>
      <x:c r="I14" s="13" t="str">
        <x:v>https://api-portal.gov.uz/uploads/29/2026/04/30/88bbe199-7c07-6e65-edfe-d883ec2c121e_media_.pdf</x:v>
      </x:c>
    </x:row>
    <x:row r="15" ht="56" customHeight="1">
      <x:c r="A15" s="13" t="n">
        <x:v>8</x:v>
      </x:c>
      <x:c r="B15" s="13" t="str">
        <x:v>Акциз есабаты ҳәм төлемин тексериў</x:v>
      </x:c>
      <x:c r="C15" s="13" t="n">
        <x:v>1</x:v>
      </x:c>
      <x:c r="D15" s="13" t="n">
        <x:v>10</x:v>
      </x:c>
      <x:c r="E15" s="13" t="str">
        <x:v>N</x:v>
      </x:c>
      <x:c r="F15" s="13" t="str">
        <x:v>292–293</x:v>
      </x:c>
      <x:c r="G15" s="13" t="str">
        <x:v>Кейинги айдың 10-ы</x:v>
      </x:c>
      <x:c r="H15" s="13" t="str">
        <x:v>Акциз төлеўши</x:v>
      </x:c>
      <x:c r="I15" s="13" t="str">
        <x:v>https://api-portal.gov.uz/uploads/29/2026/04/30/88bbe199-7c07-6e65-edfe-d883ec2c121e_media_.pdf</x:v>
      </x:c>
    </x:row>
    <x:row r="16" ht="56" customHeight="1">
      <x:c r="A16" s="13" t="n">
        <x:v>9</x:v>
      </x:c>
      <x:c r="B16" s="13" t="str">
        <x:v>Дивиденд ҳәм процент салығы есабаты</x:v>
      </x:c>
      <x:c r="C16" s="13" t="n">
        <x:v>1</x:v>
      </x:c>
      <x:c r="D16" s="13" t="n">
        <x:v>20</x:v>
      </x:c>
      <x:c r="E16" s="13" t="str">
        <x:v>O</x:v>
      </x:c>
      <x:c r="F16" s="13" t="str">
        <x:v>345</x:v>
      </x:c>
      <x:c r="G16" s="13" t="str">
        <x:v>Кейинги айдың 20-сы</x:v>
      </x:c>
      <x:c r="H16" s="13" t="str">
        <x:v>Дивиденд / процент есапланған болса</x:v>
      </x:c>
      <x:c r="I16" s="13" t="str">
        <x:v>https://api-portal.gov.uz/uploads/29/2026/02/04/f962d50e-1f33-c7cc-b645-a93ff2e63a37_media_.pdf</x:v>
      </x:c>
    </x:row>
    <x:row r="17" ht="56" customHeight="1">
      <x:c r="A17" s="13" t="n">
        <x:v>10</x:v>
      </x:c>
      <x:c r="B17" s="13" t="str">
        <x:v>Норезидент дәраматы салығы есабаты</x:v>
      </x:c>
      <x:c r="C17" s="13" t="n">
        <x:v>1</x:v>
      </x:c>
      <x:c r="D17" s="13" t="n">
        <x:v>20</x:v>
      </x:c>
      <x:c r="E17" s="13" t="str">
        <x:v>P</x:v>
      </x:c>
      <x:c r="F17" s="13" t="str">
        <x:v>355</x:v>
      </x:c>
      <x:c r="G17" s="13" t="str">
        <x:v>Кейинги айдың 20-сы</x:v>
      </x:c>
      <x:c r="H17" s="13" t="str">
        <x:v>Тийисли төлемлер болса</x:v>
      </x:c>
      <x:c r="I17" s="13" t="str">
        <x:v>https://api-portal.gov.uz/uploads/29/2026/02/04/f962d50e-1f33-c7cc-b645-a93ff2e63a37_media_.pdf</x:v>
      </x:c>
    </x:row>
    <x:row r="18" ht="56" customHeight="1">
      <x:c r="A18" s="13" t="n">
        <x:v>11</x:v>
      </x:c>
      <x:c r="B18" s="13" t="str">
        <x:v>Жер қойнаўынан пайдаланыў есабаты</x:v>
      </x:c>
      <x:c r="C18" s="13" t="n">
        <x:v>1</x:v>
      </x:c>
      <x:c r="D18" s="13" t="n">
        <x:v>20</x:v>
      </x:c>
      <x:c r="E18" s="13" t="str">
        <x:v>Q</x:v>
      </x:c>
      <x:c r="F18" s="13" t="str">
        <x:v>454</x:v>
      </x:c>
      <x:c r="G18" s="13" t="str">
        <x:v>Кейинги айдың 20-сы</x:v>
      </x:c>
      <x:c r="H18" s="13" t="str">
        <x:v>Жер қойнауы ресурсы бойынша</x:v>
      </x:c>
      <x:c r="I18" s="13" t="str">
        <x:v>https://api-portal.gov.uz/uploads/29/2026/02/04/f962d50e-1f33-c7cc-b645-a93ff2e63a37_media_.pdf</x:v>
      </x:c>
    </x:row>
    <x:row r="19" ht="56" customHeight="1">
      <x:c r="A19" s="13" t="n">
        <x:v>12</x:v>
      </x:c>
      <x:c r="B19" s="13" t="str">
        <x:v>Пайда салығы авансы</x:v>
      </x:c>
      <x:c r="C19" s="13" t="n">
        <x:v>0</x:v>
      </x:c>
      <x:c r="D19" s="13" t="n">
        <x:v>23</x:v>
      </x:c>
      <x:c r="E19" s="13" t="str">
        <x:v>M</x:v>
      </x:c>
      <x:c r="F19" s="13" t="str">
        <x:v>340</x:v>
      </x:c>
      <x:c r="G19" s="13" t="str">
        <x:v>Ағымдағы айдың 23-и</x:v>
      </x:c>
      <x:c r="H19" s="13" t="str">
        <x:v>20 млрд сум шеги ҳәм басқа шартларды тексериў</x:v>
      </x:c>
      <x:c r="I19" s="13" t="str">
        <x:v>https://gov.uz/ru/soliq/news/view/223938</x:v>
      </x:c>
    </x:row>
    <x:row r="20" ht="56" customHeight="1">
      <x:c r="A20" s="13" t="n">
        <x:v>13</x:v>
      </x:c>
      <x:c r="B20" s="13" t="str">
        <x:v>Мүлк салығы айлық авансы</x:v>
      </x:c>
      <x:c r="C20" s="13" t="n">
        <x:v>0</x:v>
      </x:c>
      <x:c r="D20" s="13" t="n">
        <x:v>10</x:v>
      </x:c>
      <x:c r="E20" s="13" t="str">
        <x:v>J</x:v>
      </x:c>
      <x:c r="F20" s="13" t="str">
        <x:v>417</x:v>
      </x:c>
      <x:c r="G20" s="13" t="str">
        <x:v>Ағымдағы айдың 10-ы</x:v>
      </x:c>
      <x:c r="H20" s="13" t="str">
        <x:v>Айланба төлеўшилерден басқа; 1/12</x:v>
      </x:c>
      <x:c r="I20" s="13" t="str">
        <x:v>https://api-portal.gov.uz/uploads/29/2026/04/30/88bbe199-7c07-6e65-edfe-d883ec2c121e_media_.pdf</x:v>
      </x:c>
    </x:row>
    <x:row r="21" ht="56" customHeight="1">
      <x:c r="A21" s="13" t="n">
        <x:v>14</x:v>
      </x:c>
      <x:c r="B21" s="13" t="str">
        <x:v>Жер салығы айлық төлеми</x:v>
      </x:c>
      <x:c r="C21" s="13" t="n">
        <x:v>0</x:v>
      </x:c>
      <x:c r="D21" s="13" t="n">
        <x:v>10</x:v>
      </x:c>
      <x:c r="E21" s="13" t="str">
        <x:v>K</x:v>
      </x:c>
      <x:c r="F21" s="13" t="str">
        <x:v>432</x:v>
      </x:c>
      <x:c r="G21" s="13" t="str">
        <x:v>Ағымдағы айдың 10-ы</x:v>
      </x:c>
      <x:c r="H21" s="13" t="str">
        <x:v>Аўыл хожалығы емес жер; айланба емес; 1/12</x:v>
      </x:c>
      <x:c r="I21" s="13" t="str">
        <x:v>https://api-portal.gov.uz/uploads/29/2026/04/30/88bbe199-7c07-6e65-edfe-d883ec2c121e_media_.pdf</x:v>
      </x:c>
    </x:row>
    <x:row r="22" ht="56" customHeight="1">
      <x:c r="A22" s="13" t="n">
        <x:v>15</x:v>
      </x:c>
      <x:c r="B22" s="13" t="str">
        <x:v>Суў салығы айлық авансы</x:v>
      </x:c>
      <x:c r="C22" s="13" t="n">
        <x:v>0</x:v>
      </x:c>
      <x:c r="D22" s="13" t="n">
        <x:v>20</x:v>
      </x:c>
      <x:c r="E22" s="13" t="str">
        <x:v>V</x:v>
      </x:c>
      <x:c r="F22" s="13" t="str">
        <x:v>448</x:v>
      </x:c>
      <x:c r="G22" s="13" t="str">
        <x:v>Ағымдағы айдың 20-сы</x:v>
      </x:c>
      <x:c r="H22" s="13" t="str">
        <x:v>Айланба емес; жыллық салық &gt;200 БҲМ; 1/12</x:v>
      </x:c>
      <x:c r="I22" s="13" t="str">
        <x:v>https://api-portal.gov.uz/uploads/29/2026/04/30/88bbe199-7c07-6e65-edfe-d883ec2c121e_media_.pdf</x:v>
      </x:c>
    </x:row>
    <x:row r="23" ht="56" customHeight="1">
      <x:c r="A23" s="13" t="n">
        <x:v>16</x:v>
      </x:c>
      <x:c r="B23" s="13" t="str">
        <x:v>Пайда салығы квартал есабаты</x:v>
      </x:c>
      <x:c r="C23" s="13" t="n">
        <x:v>3</x:v>
      </x:c>
      <x:c r="D23" s="13" t="n">
        <x:v>20</x:v>
      </x:c>
      <x:c r="E23" s="13" t="str">
        <x:v>H</x:v>
      </x:c>
      <x:c r="F23" s="13" t="str">
        <x:v>339–340</x:v>
      </x:c>
      <x:c r="G23" s="13" t="str">
        <x:v>Кварталдан кейинги айдың 20-сы</x:v>
      </x:c>
      <x:c r="H23" s="13" t="str">
        <x:v>I–III квартал; кәдиги юридикалық шахс</x:v>
      </x:c>
      <x:c r="I23" s="13" t="str">
        <x:v>https://api-portal.gov.uz/uploads/29/2026/04/30/88bbe199-7c07-6e65-edfe-d883ec2c121e_media_.pdf</x:v>
      </x:c>
    </x:row>
    <x:row r="24" ht="56" customHeight="1">
      <x:c r="A24" s="13" t="n">
        <x:v>17</x:v>
      </x:c>
      <x:c r="B24" s="13" t="str">
        <x:v>Пайда салығы жыллық есабаты</x:v>
      </x:c>
      <x:c r="C24" s="13" t="n">
        <x:v>12</x:v>
      </x:c>
      <x:c r="D24" s="13" t="n">
        <x:v>1</x:v>
      </x:c>
      <x:c r="E24" s="13" t="str">
        <x:v>H</x:v>
      </x:c>
      <x:c r="F24" s="13" t="str">
        <x:v>339–340</x:v>
      </x:c>
      <x:c r="G24" s="13" t="str">
        <x:v>Кейинги жылдың 1-марты</x:v>
      </x:c>
      <x:c r="H24" s="13" t="str">
        <x:v>Жыллық жуўмақ</x:v>
      </x:c>
      <x:c r="I24" s="13" t="str">
        <x:v>https://gov.uz/ru/soliq/news/view/126187</x:v>
      </x:c>
    </x:row>
    <x:row r="25" ht="56" customHeight="1">
      <x:c r="A25" s="13" t="n">
        <x:v>18</x:v>
      </x:c>
      <x:c r="B25" s="13" t="str">
        <x:v>Айланба салығы жыллық есабаты</x:v>
      </x:c>
      <x:c r="C25" s="13" t="n">
        <x:v>12</x:v>
      </x:c>
      <x:c r="D25" s="13" t="n">
        <x:v>15</x:v>
      </x:c>
      <x:c r="E25" s="13" t="str">
        <x:v>G</x:v>
      </x:c>
      <x:c r="F25" s="13" t="str">
        <x:v>470</x:v>
      </x:c>
      <x:c r="G25" s="13" t="str">
        <x:v>Кейинги жылдың 15-февралы</x:v>
      </x:c>
      <x:c r="H25" s="13" t="str">
        <x:v>Жыллық жуўмақ</x:v>
      </x:c>
      <x:c r="I25" s="13" t="str">
        <x:v>https://api-portal.gov.uz/uploads/29/2026/02/04/f962d50e-1f33-c7cc-b645-a93ff2e63a37_media_.pdf</x:v>
      </x:c>
    </x:row>
    <x:row r="26" ht="56" customHeight="1">
      <x:c r="A26" s="13" t="n">
        <x:v>19</x:v>
      </x:c>
      <x:c r="B26" s="13" t="str">
        <x:v>Айлық салықлары жыллық есабаты</x:v>
      </x:c>
      <x:c r="C26" s="13" t="n">
        <x:v>12</x:v>
      </x:c>
      <x:c r="D26" s="13" t="n">
        <x:v>15</x:v>
      </x:c>
      <x:c r="E26" s="13" t="str">
        <x:v>I</x:v>
      </x:c>
      <x:c r="F26" s="13" t="str">
        <x:v>389; 407</x:v>
      </x:c>
      <x:c r="G26" s="13" t="str">
        <x:v>Кейинги жылдың 15-февралы</x:v>
      </x:c>
      <x:c r="H26" s="13" t="str">
        <x:v>Дәрамат ҳәм социаллық салық</x:v>
      </x:c>
      <x:c r="I26" s="13" t="str">
        <x:v>https://api-portal.gov.uz/uploads/29/2026/02/04/f962d50e-1f33-c7cc-b645-a93ff2e63a37_media_.pdf</x:v>
      </x:c>
    </x:row>
    <x:row r="27" ht="56" customHeight="1">
      <x:c r="A27" s="13" t="n">
        <x:v>20</x:v>
      </x:c>
      <x:c r="B27" s="13" t="str">
        <x:v>Жер салығы жыллық есабаты</x:v>
      </x:c>
      <x:c r="C27" s="13" t="n">
        <x:v>12</x:v>
      </x:c>
      <x:c r="D27" s="13" t="n">
        <x:v>20</x:v>
      </x:c>
      <x:c r="E27" s="13" t="str">
        <x:v>K</x:v>
      </x:c>
      <x:c r="F27" s="13" t="str">
        <x:v>431</x:v>
      </x:c>
      <x:c r="G27" s="13" t="str">
        <x:v>Ағымдағы жылдың 20-январы</x:v>
      </x:c>
      <x:c r="H27" s="13" t="str">
        <x:v>Аўыл хожалығы емес жер</x:v>
      </x:c>
      <x:c r="I27" s="13" t="str">
        <x:v>https://t.me/s/soliqnews/16921</x:v>
      </x:c>
    </x:row>
    <x:row r="28" ht="56" customHeight="1">
      <x:c r="A28" s="13" t="n">
        <x:v>21</x:v>
      </x:c>
      <x:c r="B28" s="13" t="str">
        <x:v>Суў салығы аванс мағлыўматнамасы</x:v>
      </x:c>
      <x:c r="C28" s="13" t="n">
        <x:v>12</x:v>
      </x:c>
      <x:c r="D28" s="13" t="n">
        <x:v>20</x:v>
      </x:c>
      <x:c r="E28" s="13" t="str">
        <x:v>L</x:v>
      </x:c>
      <x:c r="F28" s="13" t="str">
        <x:v>448</x:v>
      </x:c>
      <x:c r="G28" s="13" t="str">
        <x:v>Ағымдағы жылдың 20-январы</x:v>
      </x:c>
      <x:c r="H28" s="13" t="str">
        <x:v>Күтилип атырған суў көлеми бойынша</x:v>
      </x:c>
      <x:c r="I28" s="13" t="str">
        <x:v>https://t.me/s/soliqnews/16299</x:v>
      </x:c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8" customHeight="1">
      <x:c r="A31" s="2" t="str">
        <x:v>81-бап: автомат есабатты ҳүжжетлер менен салыстырыў; айырма болса 5 күн ишинде, рәсмий мүддеттен кешиктирмей дүзетиў.</x:v>
      </x:c>
      <x:c r="B31" s="2"/>
      <x:c r="C31" s="2"/>
      <x:c r="D31" s="2"/>
      <x:c r="E31" s="2"/>
      <x:c r="F31" s="2"/>
      <x:c r="G31" s="2"/>
      <x:c r="H31" s="2"/>
      <x:c r="I31" s="2"/>
    </x:row>
    <x:row r="32" ht="28" customHeight="1">
      <x:c r="A32" s="2" t="str">
        <x:v>https://lex.uz/docs/7944527</x:v>
      </x:c>
      <x:c r="B32" s="2"/>
      <x:c r="C32" s="2"/>
      <x:c r="D32" s="2"/>
      <x:c r="E32" s="2"/>
      <x:c r="F32" s="2"/>
      <x:c r="G32" s="2"/>
      <x:c r="H32" s="2"/>
      <x:c r="I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8" customHeight="1">
      <x:c r="A34" s="2" t="str">
        <x:v>5-бап: дем алыс / жумыс емес күнге түскен соңғы мүддет кейинги жумыс күнине көшеди. Календардағы рәсмий сәнени растаң.</x:v>
      </x:c>
      <x:c r="B34" s="2"/>
      <x:c r="C34" s="2"/>
      <x:c r="D34" s="2"/>
      <x:c r="E34" s="2"/>
      <x:c r="F34" s="2"/>
      <x:c r="G34" s="2"/>
      <x:c r="H34" s="2"/>
      <x:c r="I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8" customHeight="1">
      <x:c r="A36" s="2" t="str">
        <x:v>Дәрамат салығы ҳәм ИНПС төлеми — дәрамат төлеў ўақыясына байланыслы; тек айлық есабат күни менен шекленбең.</x:v>
      </x:c>
      <x:c r="B36" s="2"/>
      <x:c r="C36" s="2"/>
      <x:c r="D36" s="2"/>
      <x:c r="E36" s="2"/>
      <x:c r="F36" s="2"/>
      <x:c r="G36" s="2"/>
      <x:c r="H36" s="2"/>
      <x:c r="I36" s="2"/>
    </x:row>
    <x:row r="37" ht="28" customHeight="1">
      <x:c r="A37" s="2" t="str">
        <x:v>Дерек: 390-бап; ИНПС низамы 3577. Төлем күнлерин клиент ҳүжжетлеринен киргизиң.</x:v>
      </x:c>
      <x:c r="B37" s="2"/>
      <x:c r="C37" s="2"/>
      <x:c r="D37" s="2"/>
      <x:c r="E37" s="2"/>
      <x:c r="F37" s="2"/>
      <x:c r="G37" s="2"/>
      <x:c r="H37" s="2"/>
      <x:c r="I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8" customHeight="1">
      <x:c r="A39" s="2" t="str">
        <x:v>Мүлк / суў жыллық есабаты, кварталлық төлем, аўыл хожалығы, арнаўлы режимлер ҳәм жеңилликлер клиент бойынша бөлек тексериледи.</x:v>
      </x:c>
      <x:c r="B39" s="2"/>
      <x:c r="C39" s="2"/>
      <x:c r="D39" s="2"/>
      <x:c r="E39" s="2"/>
      <x:c r="F39" s="2"/>
      <x:c r="G39" s="2"/>
      <x:c r="H39" s="2"/>
      <x:c r="I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8" customHeight="1">
      <x:c r="A41" s="2" t="str">
        <x:v>Финанслық, статистика есабатлары ҳәм ИНПС — Салық кодексинен тыс нормативлерге де байланыслы. Мүддетин бөлек растаң.</x:v>
      </x:c>
      <x:c r="B41" s="2"/>
      <x:c r="C41" s="2"/>
      <x:c r="D41" s="2"/>
      <x:c r="E41" s="2"/>
      <x:c r="F41" s="2"/>
      <x:c r="G41" s="2"/>
      <x:c r="H41" s="2"/>
      <x:c r="I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16" hidden="0" customWidth="1"/>
    <x:col min="2" max="2" width="49" hidden="0" customWidth="1"/>
    <x:col min="3" max="3" width="16" hidden="0" customWidth="1"/>
    <x:col min="4" max="4" width="50" hidden="0" customWidth="1"/>
  </x:cols>
  <x:sheetData>
    <x:row r="1" ht="28" customHeight="1">
      <x:c r="A1" s="2"/>
      <x:c r="B1" s="2"/>
      <x:c r="C1" s="2"/>
      <x:c r="D1" s="2"/>
    </x:row>
    <x:row r="2" ht="28" customHeight="1">
      <x:c r="A2" s="3" t="str">
        <x:v>ҚАРАҚАЛПАҚША СӨЗЛИК ҲӘМ КОДЛАР</x:v>
      </x:c>
      <x:c r="B2" s="2"/>
      <x:c r="C2" s="2"/>
      <x:c r="D2" s="2"/>
    </x:row>
    <x:row r="3" ht="28" customHeight="1">
      <x:c r="A3" s="2"/>
      <x:c r="B3" s="2"/>
      <x:c r="C3" s="2"/>
      <x:c r="D3" s="2"/>
    </x:row>
    <x:row r="4" ht="28" customHeight="1">
      <x:c r="A4" s="2"/>
      <x:c r="B4" s="2"/>
      <x:c r="C4" s="2"/>
      <x:c r="D4" s="2"/>
    </x:row>
    <x:row r="5" ht="28" customHeight="1">
      <x:c r="A5" s="2"/>
      <x:c r="B5" s="2"/>
      <x:c r="C5" s="2"/>
      <x:c r="D5" s="2"/>
    </x:row>
    <x:row r="6" ht="28" customHeight="1">
      <x:c r="A6" s="2"/>
      <x:c r="B6" s="2"/>
      <x:c r="C6" s="2"/>
      <x:c r="D6" s="2"/>
    </x:row>
    <x:row r="7" ht="50" customHeight="1">
      <x:c r="A7" s="8" t="str">
        <x:v>Жумыс коды</x:v>
      </x:c>
      <x:c r="B7" s="8" t="str">
        <x:v>Жумыс аты</x:v>
      </x:c>
      <x:c r="C7" s="8" t="str">
        <x:v>Бағыт</x:v>
      </x:c>
      <x:c r="D7" s="8" t="str">
        <x:v>Салық / түсиник</x:v>
      </x:c>
    </x:row>
    <x:row r="8" ht="37" customHeight="1">
      <x:c r="A8" s="13" t="n">
        <x:v>1</x:v>
      </x:c>
      <x:c r="B8" s="13" t="str">
        <x:v>ҚҚС есабаты</x:v>
      </x:c>
      <x:c r="C8" s="13" t="str">
        <x:v>Салық</x:v>
      </x:c>
      <x:c r="D8" s="13" t="str">
        <x:v>ҚҚС</x:v>
      </x:c>
    </x:row>
    <x:row r="9" ht="37" customHeight="1">
      <x:c r="A9" s="13" t="n">
        <x:v>2</x:v>
      </x:c>
      <x:c r="B9" s="13" t="str">
        <x:v>Айланба салығы есабаты</x:v>
      </x:c>
      <x:c r="C9" s="13" t="str">
        <x:v>Салық</x:v>
      </x:c>
      <x:c r="D9" s="13" t="str">
        <x:v>Айланбадан алынатуғын салық</x:v>
      </x:c>
    </x:row>
    <x:row r="10" ht="37" customHeight="1">
      <x:c r="A10" s="13" t="n">
        <x:v>3</x:v>
      </x:c>
      <x:c r="B10" s="13" t="str">
        <x:v>Пайда салығы есабаты</x:v>
      </x:c>
      <x:c r="C10" s="13" t="str">
        <x:v>Салық</x:v>
      </x:c>
      <x:c r="D10" s="13" t="str">
        <x:v>Пайда салығы</x:v>
      </x:c>
    </x:row>
    <x:row r="11" ht="37" customHeight="1">
      <x:c r="A11" s="13" t="n">
        <x:v>4</x:v>
      </x:c>
      <x:c r="B11" s="13" t="str">
        <x:v>Дәрамат салығы есабаты</x:v>
      </x:c>
      <x:c r="C11" s="13" t="str">
        <x:v>Салық</x:v>
      </x:c>
      <x:c r="D11" s="13" t="str">
        <x:v>Жеке шахслардың дәрамат салығы</x:v>
      </x:c>
    </x:row>
    <x:row r="12" ht="37" customHeight="1">
      <x:c r="A12" s="13" t="n">
        <x:v>5</x:v>
      </x:c>
      <x:c r="B12" s="13" t="str">
        <x:v>Социаллық салық есабаты</x:v>
      </x:c>
      <x:c r="C12" s="13" t="str">
        <x:v>Салық</x:v>
      </x:c>
      <x:c r="D12" s="13" t="str">
        <x:v>Социаллық салық</x:v>
      </x:c>
    </x:row>
    <x:row r="13" ht="37" customHeight="1">
      <x:c r="A13" s="13" t="n">
        <x:v>6</x:v>
      </x:c>
      <x:c r="B13" s="13" t="str">
        <x:v>Мүлк салығы есабаты</x:v>
      </x:c>
      <x:c r="C13" s="13" t="str">
        <x:v>Салық</x:v>
      </x:c>
      <x:c r="D13" s="13" t="str">
        <x:v>Мүлк салығы</x:v>
      </x:c>
    </x:row>
    <x:row r="14" ht="37" customHeight="1">
      <x:c r="A14" s="13" t="n">
        <x:v>7</x:v>
      </x:c>
      <x:c r="B14" s="13" t="str">
        <x:v>Жер салығы есабаты</x:v>
      </x:c>
      <x:c r="C14" s="13" t="str">
        <x:v>Салық</x:v>
      </x:c>
      <x:c r="D14" s="13" t="str">
        <x:v>Жер салығы</x:v>
      </x:c>
    </x:row>
    <x:row r="15" ht="37" customHeight="1">
      <x:c r="A15" s="13" t="n">
        <x:v>8</x:v>
      </x:c>
      <x:c r="B15" s="13" t="str">
        <x:v>Суў салығы есабаты</x:v>
      </x:c>
      <x:c r="C15" s="13" t="str">
        <x:v>Салық</x:v>
      </x:c>
      <x:c r="D15" s="13" t="str">
        <x:v>Суў ресурсларынан пайдаланыў салығы</x:v>
      </x:c>
    </x:row>
    <x:row r="16" ht="37" customHeight="1">
      <x:c r="A16" s="13" t="n">
        <x:v>9</x:v>
      </x:c>
      <x:c r="B16" s="13" t="str">
        <x:v>Акциз есабаты</x:v>
      </x:c>
      <x:c r="C16" s="13" t="str">
        <x:v>Салық</x:v>
      </x:c>
      <x:c r="D16" s="13" t="str">
        <x:v>Акциз салығы</x:v>
      </x:c>
    </x:row>
    <x:row r="17" ht="37" customHeight="1">
      <x:c r="A17" s="13" t="n">
        <x:v>10</x:v>
      </x:c>
      <x:c r="B17" s="13" t="str">
        <x:v>ИНПС мағлыўматы</x:v>
      </x:c>
      <x:c r="C17" s="13" t="str">
        <x:v>Есабат</x:v>
      </x:c>
      <x:c r="D17" s="13" t="str">
        <x:v>ИНПС</x:v>
      </x:c>
    </x:row>
    <x:row r="18" ht="37" customHeight="1">
      <x:c r="A18" s="13" t="n">
        <x:v>11</x:v>
      </x:c>
      <x:c r="B18" s="13" t="str">
        <x:v>Бухгалтериялық баланс (Ф-1)</x:v>
      </x:c>
      <x:c r="C18" s="13" t="str">
        <x:v>Есабат</x:v>
      </x:c>
      <x:c r="D18" s="13" t="str">
        <x:v>Салыққа байланыссыз</x:v>
      </x:c>
    </x:row>
    <x:row r="19" ht="37" customHeight="1">
      <x:c r="A19" s="13" t="n">
        <x:v>12</x:v>
      </x:c>
      <x:c r="B19" s="13" t="str">
        <x:v>Финанслық нәтийжелер (Ф-2)</x:v>
      </x:c>
      <x:c r="C19" s="13" t="str">
        <x:v>Есабат</x:v>
      </x:c>
      <x:c r="D19" s="13" t="str">
        <x:v>Салыққа байланыссыз</x:v>
      </x:c>
    </x:row>
    <x:row r="20" ht="37" customHeight="1">
      <x:c r="A20" s="13" t="n">
        <x:v>13</x:v>
      </x:c>
      <x:c r="B20" s="13" t="str">
        <x:v>Статистика есабаты</x:v>
      </x:c>
      <x:c r="C20" s="13" t="str">
        <x:v>Есабат</x:v>
      </x:c>
      <x:c r="D20" s="13" t="str">
        <x:v>Салыққа байланыссыз</x:v>
      </x:c>
    </x:row>
    <x:row r="21" ht="37" customHeight="1">
      <x:c r="A21" s="13" t="n">
        <x:v>14</x:v>
      </x:c>
      <x:c r="B21" s="13" t="str">
        <x:v>Қайта есабат тапсырыў</x:v>
      </x:c>
      <x:c r="C21" s="13" t="str">
        <x:v>Салық</x:v>
      </x:c>
      <x:c r="D21" s="13" t="str">
        <x:v>Тийисли салық</x:v>
      </x:c>
    </x:row>
    <x:row r="22" ht="37" customHeight="1">
      <x:c r="A22" s="13" t="n">
        <x:v>15</x:v>
      </x:c>
      <x:c r="B22" s="13" t="str">
        <x:v>Автокамерал хабарын тексериў</x:v>
      </x:c>
      <x:c r="C22" s="13" t="str">
        <x:v>Салық</x:v>
      </x:c>
      <x:c r="D22" s="13" t="str">
        <x:v>Тийисли салық</x:v>
      </x:c>
    </x:row>
    <x:row r="23" ht="37" customHeight="1">
      <x:c r="A23" s="13" t="n">
        <x:v>16</x:v>
      </x:c>
      <x:c r="B23" s="13" t="str">
        <x:v>Камерал сораўға жуўап таярлаў</x:v>
      </x:c>
      <x:c r="C23" s="13" t="str">
        <x:v>Салық</x:v>
      </x:c>
      <x:c r="D23" s="13" t="str">
        <x:v>Тийисли салық</x:v>
      </x:c>
    </x:row>
    <x:row r="24" ht="37" customHeight="1">
      <x:c r="A24" s="13" t="n">
        <x:v>17</x:v>
      </x:c>
      <x:c r="B24" s="13" t="str">
        <x:v>Пул өткериў / төлем тапсырмасы</x:v>
      </x:c>
      <x:c r="C24" s="13" t="str">
        <x:v>Банк</x:v>
      </x:c>
      <x:c r="D24" s="13" t="str">
        <x:v>Тийисли емес</x:v>
      </x:c>
    </x:row>
    <x:row r="25" ht="37" customHeight="1">
      <x:c r="A25" s="13" t="n">
        <x:v>18</x:v>
      </x:c>
      <x:c r="B25" s="13" t="str">
        <x:v>Шәртнама таярлаў / бериў</x:v>
      </x:c>
      <x:c r="C25" s="13" t="str">
        <x:v>Ҳүжжет</x:v>
      </x:c>
      <x:c r="D25" s="13" t="str">
        <x:v>Тийисли емес</x:v>
      </x:c>
    </x:row>
    <x:row r="26" ht="37" customHeight="1">
      <x:c r="A26" s="13" t="n">
        <x:v>19</x:v>
      </x:c>
      <x:c r="B26" s="13" t="str">
        <x:v>Исенимнама таярлаў / бериў</x:v>
      </x:c>
      <x:c r="C26" s="13" t="str">
        <x:v>Ҳүжжет</x:v>
      </x:c>
      <x:c r="D26" s="13" t="str">
        <x:v>Тийисли емес</x:v>
      </x:c>
    </x:row>
    <x:row r="27" ht="37" customHeight="1">
      <x:c r="A27" s="13" t="n">
        <x:v>20</x:v>
      </x:c>
      <x:c r="B27" s="13" t="str">
        <x:v>Тапсырықнама таярлаў / бериў</x:v>
      </x:c>
      <x:c r="C27" s="13" t="str">
        <x:v>Ҳүжжет</x:v>
      </x:c>
      <x:c r="D27" s="13" t="str">
        <x:v>Тийисли емес</x:v>
      </x:c>
    </x:row>
    <x:row r="28" ht="37" customHeight="1">
      <x:c r="A28" s="13" t="n">
        <x:v>21</x:v>
      </x:c>
      <x:c r="B28" s="13" t="str">
        <x:v>Чек басыў</x:v>
      </x:c>
      <x:c r="C28" s="13" t="str">
        <x:v>ККМ</x:v>
      </x:c>
      <x:c r="D28" s="13" t="str">
        <x:v>Тийисли емес</x:v>
      </x:c>
    </x:row>
    <x:row r="29" ht="37" customHeight="1">
      <x:c r="A29" s="13" t="n">
        <x:v>22</x:v>
      </x:c>
      <x:c r="B29" s="13" t="str">
        <x:v>Чекти тексериў / дүзетиў сораўы</x:v>
      </x:c>
      <x:c r="C29" s="13" t="str">
        <x:v>ККМ</x:v>
      </x:c>
      <x:c r="D29" s="13" t="str">
        <x:v>Тийисли емес</x:v>
      </x:c>
    </x:row>
    <x:row r="30" ht="37" customHeight="1">
      <x:c r="A30" s="13" t="n">
        <x:v>23</x:v>
      </x:c>
      <x:c r="B30" s="13" t="str">
        <x:v>Электрон есап-фактура</x:v>
      </x:c>
      <x:c r="C30" s="13" t="str">
        <x:v>Ҳүжжет</x:v>
      </x:c>
      <x:c r="D30" s="13" t="str">
        <x:v>Тийисли емес</x:v>
      </x:c>
    </x:row>
    <x:row r="31" ht="37" customHeight="1">
      <x:c r="A31" s="13" t="n">
        <x:v>24</x:v>
      </x:c>
      <x:c r="B31" s="13" t="str">
        <x:v>1С ке ҳүжжет киритиў</x:v>
      </x:c>
      <x:c r="C31" s="13" t="str">
        <x:v>1С</x:v>
      </x:c>
      <x:c r="D31" s="13" t="str">
        <x:v>Тийисли емес</x:v>
      </x:c>
    </x:row>
    <x:row r="32" ht="37" customHeight="1">
      <x:c r="A32" s="13" t="n">
        <x:v>25</x:v>
      </x:c>
      <x:c r="B32" s="13" t="str">
        <x:v>Банк операциялары</x:v>
      </x:c>
      <x:c r="C32" s="13" t="str">
        <x:v>1С</x:v>
      </x:c>
      <x:c r="D32" s="13" t="str">
        <x:v>Тийисли емес</x:v>
      </x:c>
    </x:row>
    <x:row r="33" ht="37" customHeight="1">
      <x:c r="A33" s="13" t="n">
        <x:v>26</x:v>
      </x:c>
      <x:c r="B33" s="13" t="str">
        <x:v>Қойма / товар есабы</x:v>
      </x:c>
      <x:c r="C33" s="13" t="str">
        <x:v>1С</x:v>
      </x:c>
      <x:c r="D33" s="13" t="str">
        <x:v>Тийисли емес</x:v>
      </x:c>
    </x:row>
    <x:row r="34" ht="37" customHeight="1">
      <x:c r="A34" s="13" t="n">
        <x:v>27</x:v>
      </x:c>
      <x:c r="B34" s="13" t="str">
        <x:v>Айлық есаплаў</x:v>
      </x:c>
      <x:c r="C34" s="13" t="str">
        <x:v>1С</x:v>
      </x:c>
      <x:c r="D34" s="13" t="str">
        <x:v>Тийисли емес</x:v>
      </x:c>
    </x:row>
    <x:row r="35" ht="37" customHeight="1">
      <x:c r="A35" s="13" t="n">
        <x:v>28</x:v>
      </x:c>
      <x:c r="B35" s="13" t="str">
        <x:v>Дебитор / кредитор салыстырыў</x:v>
      </x:c>
      <x:c r="C35" s="13" t="str">
        <x:v>1С</x:v>
      </x:c>
      <x:c r="D35" s="13" t="str">
        <x:v>Тийисли емес</x:v>
      </x:c>
    </x:row>
    <x:row r="36" ht="37" customHeight="1">
      <x:c r="A36" s="13" t="n">
        <x:v>29</x:v>
      </x:c>
      <x:c r="B36" s="13" t="str">
        <x:v>Клиент қоңыраўына жуўап</x:v>
      </x:c>
      <x:c r="C36" s="13" t="str">
        <x:v>Байланыс</x:v>
      </x:c>
      <x:c r="D36" s="13" t="str">
        <x:v>Тийисли емес</x:v>
      </x:c>
    </x:row>
    <x:row r="37" ht="37" customHeight="1">
      <x:c r="A37" s="13" t="n">
        <x:v>30</x:v>
      </x:c>
      <x:c r="B37" s="13" t="str">
        <x:v>Салықшы менен телефонда сөйлесиў</x:v>
      </x:c>
      <x:c r="C37" s="13" t="str">
        <x:v>Байланыс</x:v>
      </x:c>
      <x:c r="D37" s="13" t="str">
        <x:v>Тийисли салық</x:v>
      </x:c>
    </x:row>
    <x:row r="38" ht="37" customHeight="1">
      <x:c r="A38" s="13" t="n">
        <x:v>31</x:v>
      </x:c>
      <x:c r="B38" s="13" t="str">
        <x:v>Хабарлама / онлайн сораўға жуўап</x:v>
      </x:c>
      <x:c r="C38" s="13" t="str">
        <x:v>Байланыс</x:v>
      </x:c>
      <x:c r="D38" s="13" t="str">
        <x:v>Тийисли емес</x:v>
      </x:c>
    </x:row>
    <x:row r="39" ht="37" customHeight="1">
      <x:c r="A39" s="13" t="n">
        <x:v>32</x:v>
      </x:c>
      <x:c r="B39" s="13" t="str">
        <x:v>Басшының қосымша илтимасы</x:v>
      </x:c>
      <x:c r="C39" s="13" t="str">
        <x:v>Клиент илтимасы</x:v>
      </x:c>
      <x:c r="D39" s="13" t="str">
        <x:v>Тийисли емес</x:v>
      </x:c>
    </x:row>
    <x:row r="40" ht="37" customHeight="1">
      <x:c r="A40" s="13" t="n">
        <x:v>33</x:v>
      </x:c>
      <x:c r="B40" s="13" t="str">
        <x:v>Жумыстан тыс тапсырма</x:v>
      </x:c>
      <x:c r="C40" s="13" t="str">
        <x:v>Клиент илтимасы</x:v>
      </x:c>
      <x:c r="D40" s="13" t="str">
        <x:v>Тийисли емес</x:v>
      </x:c>
    </x:row>
    <x:row r="41" ht="37" customHeight="1">
      <x:c r="A41" s="13" t="n">
        <x:v>34</x:v>
      </x:c>
      <x:c r="B41" s="13" t="str">
        <x:v>Шұғыл сораў</x:v>
      </x:c>
      <x:c r="C41" s="13" t="str">
        <x:v>Клиент илтимасы</x:v>
      </x:c>
      <x:c r="D41" s="13" t="str">
        <x:v>Тийисли емес</x:v>
      </x:c>
    </x:row>
    <x:row r="42" ht="37" customHeight="1">
      <x:c r="A42" s="13" t="n">
        <x:v>35</x:v>
      </x:c>
      <x:c r="B42" s="13" t="str">
        <x:v>Басқа жумыс</x:v>
      </x:c>
      <x:c r="C42" s="13" t="str">
        <x:v>Басқа</x:v>
      </x:c>
      <x:c r="D42" s="13" t="str">
        <x:v>Тийисли емес</x:v>
      </x:c>
    </x:row>
    <x:row r="43" ht="28" customHeight="1">
      <x:c r="A43" s="2"/>
      <x:c r="B43" s="2"/>
      <x:c r="C43" s="2"/>
      <x:c r="D43" s="2"/>
    </x:row>
    <x:row r="44" ht="28" customHeight="1">
      <x:c r="A44" s="2"/>
      <x:c r="B44" s="2"/>
      <x:c r="C44" s="2"/>
      <x:c r="D44" s="2"/>
    </x:row>
    <x:row r="45" ht="28" customHeight="1">
      <x:c r="A45" s="2" t="n">
        <x:v>0</x:v>
      </x:c>
      <x:c r="B45" s="2" t="str">
        <x:v>Кешигиў жоқ</x:v>
      </x:c>
      <x:c r="C45" s="2"/>
      <x:c r="D45" s="2"/>
    </x:row>
    <x:row r="46" ht="28" customHeight="1">
      <x:c r="A46" s="2" t="n">
        <x:v>1</x:v>
      </x:c>
      <x:c r="B46" s="2" t="str">
        <x:v>Клиенттен ҳүжжет күтиў</x:v>
      </x:c>
      <x:c r="C46" s="2"/>
      <x:c r="D46" s="2"/>
    </x:row>
    <x:row r="47" ht="28" customHeight="1">
      <x:c r="A47" s="2" t="n">
        <x:v>2</x:v>
      </x:c>
      <x:c r="B47" s="2" t="str">
        <x:v>Клиенттен жуўап күтиў</x:v>
      </x:c>
      <x:c r="C47" s="2"/>
      <x:c r="D47" s="2"/>
    </x:row>
    <x:row r="48" ht="28" customHeight="1">
      <x:c r="A48" s="2" t="n">
        <x:v>3</x:v>
      </x:c>
      <x:c r="B48" s="2" t="str">
        <x:v>Техникалық ақаў</x:v>
      </x:c>
      <x:c r="C48" s="2"/>
      <x:c r="D48" s="2"/>
    </x:row>
    <x:row r="49" ht="28" customHeight="1">
      <x:c r="A49" s="2" t="n">
        <x:v>4</x:v>
      </x:c>
      <x:c r="B49" s="2" t="str">
        <x:v>Ўақыт жетпеди</x:v>
      </x:c>
      <x:c r="C49" s="2"/>
      <x:c r="D49" s="2"/>
    </x:row>
    <x:row r="50" ht="28" customHeight="1">
      <x:c r="A50" s="2" t="n">
        <x:v>5</x:v>
      </x:c>
      <x:c r="B50" s="2" t="str">
        <x:v>Басшы жәрдеми керек</x:v>
      </x:c>
      <x:c r="C50" s="2"/>
      <x:c r="D50" s="2"/>
    </x:row>
    <x:row r="51" ht="28" customHeight="1">
      <x:c r="A51" s="2"/>
      <x:c r="B51" s="2"/>
      <x:c r="C51" s="2"/>
      <x:c r="D51" s="2"/>
    </x:row>
    <x:row r="52" ht="28" customHeight="1">
      <x:c r="A52" s="2"/>
      <x:c r="B52" s="2"/>
      <x:c r="C52" s="2"/>
      <x:c r="D52" s="2"/>
    </x:row>
    <x:row r="53" ht="28" customHeight="1">
      <x:c r="A53" s="2" t="n">
        <x:v>1</x:v>
      </x:c>
      <x:c r="B53" s="2" t="str">
        <x:v>АЛЕКСАНДР</x:v>
      </x:c>
      <x:c r="C53" s="2"/>
      <x:c r="D53" s="2"/>
    </x:row>
    <x:row r="54" ht="28" customHeight="1">
      <x:c r="A54" s="2" t="n">
        <x:v>2</x:v>
      </x:c>
      <x:c r="B54" s="2" t="str">
        <x:v>САЛАМАТ</x:v>
      </x:c>
      <x:c r="C54" s="2"/>
      <x:c r="D54" s="2"/>
    </x:row>
    <x:row r="55" ht="28" customHeight="1">
      <x:c r="A55" s="2" t="n">
        <x:v>3</x:v>
      </x:c>
      <x:c r="B55" s="2" t="str">
        <x:v>ОРАЛБАЙ</x:v>
      </x:c>
      <x:c r="C55" s="2"/>
      <x:c r="D55" s="2"/>
    </x:row>
    <x:row r="56" ht="28" customHeight="1">
      <x:c r="A56" s="2" t="n">
        <x:v>4</x:v>
      </x:c>
      <x:c r="B56" s="2" t="str">
        <x:v>ЭЛДАР</x:v>
      </x:c>
      <x:c r="C56" s="2"/>
      <x:c r="D56" s="2"/>
    </x:row>
    <x:row r="57" ht="28" customHeight="1">
      <x:c r="A57" s="2"/>
      <x:c r="B57" s="2"/>
      <x:c r="C57" s="2"/>
      <x:c r="D57" s="2"/>
    </x:row>
    <x:row r="58" ht="28" customHeight="1">
      <x:c r="A58" s="2" t="str">
        <x:v>Реже — орынлаў керек жумыс. Есабат — орынланған жумыс. Мүддет — соңғы күн.</x:v>
      </x:c>
      <x:c r="B58" s="2"/>
      <x:c r="C58" s="2"/>
      <x:c r="D58" s="2"/>
    </x:row>
    <x:row r="59" ht="28" customHeight="1">
      <x:c r="A59" s="2"/>
      <x:c r="B59" s="2"/>
      <x:c r="C59" s="2"/>
      <x:c r="D59" s="2"/>
    </x:row>
    <x:row r="60" ht="28" customHeight="1">
      <x:c r="A60" s="2" t="str">
        <x:v>Квартал — үш ай. Аванс — алдын ала төлем. Қалдық — қалған сумма / жумыс.</x:v>
      </x:c>
      <x:c r="B60" s="2"/>
      <x:c r="C60" s="2"/>
      <x:c r="D60" s="2"/>
    </x:row>
    <x:row r="61" ht="28" customHeight="1">
      <x:c r="A61" s="2"/>
      <x:c r="B61" s="2"/>
      <x:c r="C61" s="2"/>
      <x:c r="D61" s="2"/>
    </x:row>
    <x:row r="62" ht="28" customHeight="1">
      <x:c r="A62" s="2" t="str">
        <x:v>Дебитор — сизге қарыздар. Кредитор — сиз қарыз болған тәреп. Салық базасы — салық есаплаўға тийкар.</x:v>
      </x:c>
      <x:c r="B62" s="2"/>
      <x:c r="C62" s="2"/>
      <x:c r="D62" s="2"/>
    </x:row>
    <x:row r="63" ht="28" customHeight="1">
      <x:c r="A63" s="2"/>
      <x:c r="B63" s="2"/>
      <x:c r="C63" s="2"/>
      <x:c r="D63" s="2"/>
    </x:row>
    <x:row r="64" ht="28" customHeight="1">
      <x:c r="A64" s="2"/>
      <x:c r="B64" s="2"/>
      <x:c r="C64" s="2"/>
      <x:c r="D64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8" hidden="0" customWidth="1"/>
    <x:col min="2" max="2" width="88" hidden="0" customWidth="1"/>
    <x:col min="3" max="3" width="48" hidden="0" customWidth="1"/>
    <x:col min="4" max="4" width="16" hidden="0" customWidth="1"/>
  </x:cols>
  <x:sheetData>
    <x:row r="1" ht="28" customHeight="1">
      <x:c r="A1" s="2"/>
      <x:c r="B1" s="2"/>
      <x:c r="C1" s="2"/>
      <x:c r="D1" s="2"/>
    </x:row>
    <x:row r="2" ht="28" customHeight="1">
      <x:c r="A2" s="3" t="str">
        <x:v>ҚОЛЛАНЫЎ ТӘРТИБИ</x:v>
      </x:c>
      <x:c r="B2" s="2"/>
      <x:c r="C2" s="2"/>
      <x:c r="D2" s="2"/>
    </x:row>
    <x:row r="3" ht="28" customHeight="1">
      <x:c r="A3" s="2"/>
      <x:c r="B3" s="2"/>
      <x:c r="C3" s="2"/>
      <x:c r="D3" s="2"/>
    </x:row>
    <x:row r="4" ht="28" customHeight="1">
      <x:c r="A4" s="2"/>
      <x:c r="B4" s="2"/>
      <x:c r="C4" s="2"/>
      <x:c r="D4" s="2"/>
    </x:row>
    <x:row r="5" ht="28" customHeight="1">
      <x:c r="A5" s="2"/>
      <x:c r="B5" s="2"/>
      <x:c r="C5" s="2"/>
      <x:c r="D5" s="2"/>
    </x:row>
    <x:row r="6" ht="28" customHeight="1">
      <x:c r="A6" s="2"/>
      <x:c r="B6" s="2"/>
      <x:c r="C6" s="2"/>
      <x:c r="D6" s="2"/>
    </x:row>
    <x:row r="7" ht="50" customHeight="1">
      <x:c r="A7" s="8" t="str">
        <x:v>Қәдем</x:v>
      </x:c>
      <x:c r="B7" s="8" t="str">
        <x:v>Не исленеди</x:v>
      </x:c>
      <x:c r="C7" s="8" t="str">
        <x:v>Нәтийже</x:v>
      </x:c>
      <x:c r="D7" s="2"/>
    </x:row>
    <x:row r="8" ht="65" customHeight="1">
      <x:c r="A8" s="13" t="n">
        <x:v>1</x:v>
      </x:c>
      <x:c r="B8" s="13" t="str">
        <x:v>Клиентлер: салық мәртебесин шахсий кабинеттен тексерип, F:S ҳәм V қа 1 яки 0 киргизиң.</x:v>
      </x:c>
      <x:c r="C8" s="13" t="str">
        <x:v>Белгисиз уяшықларды анықлаў</x:v>
      </x:c>
      <x:c r="D8" s="2"/>
    </x:row>
    <x:row r="9" ht="65" customHeight="1">
      <x:c r="A9" s="13" t="n">
        <x:v>2</x:v>
      </x:c>
      <x:c r="B9" s="13" t="str">
        <x:v>Ҳәр клиент толық тексерилгенде T қа 1 ҳәм U ға сәнени киргизиң.</x:v>
      </x:c>
      <x:c r="C9" s="13" t="str">
        <x:v>Салық тапсырмасы саны автомат есапланады</x:v>
      </x:c>
      <x:c r="D9" s="2"/>
    </x:row>
    <x:row r="10" ht="65" customHeight="1">
      <x:c r="A10" s="13" t="n">
        <x:v>3</x:v>
      </x:c>
      <x:c r="B10" s="13" t="str">
        <x:v>Салық календары: рәсмий мүддетти F қа, расталғанын G ға 1 киргизиң.</x:v>
      </x:c>
      <x:c r="C10" s="13" t="str">
        <x:v>Байрам ҳәм өзгерислер есапқа алынады</x:v>
      </x:c>
      <x:c r="D10" s="2"/>
    </x:row>
    <x:row r="11" ht="65" customHeight="1">
      <x:c r="A11" s="13" t="n">
        <x:v>4</x:v>
      </x:c>
      <x:c r="B11" s="13" t="str">
        <x:v>Күнлик реже: тапсырманың C сәнесин, J минутын ҳәм ишки жумыс I санын киргизиң.</x:v>
      </x:c>
      <x:c r="C11" s="13" t="str">
        <x:v>Ҳәпте, ай, квартал, жыл режеси жаңаланады</x:v>
      </x:c>
      <x:c r="D11" s="2"/>
    </x:row>
    <x:row r="12" ht="65" customHeight="1">
      <x:c r="A12" s="13" t="n">
        <x:v>5</x:v>
      </x:c>
      <x:c r="B12" s="13" t="str">
        <x:v>Күнлик есабат: A сәне, B клиент, C тапсырма коды, F:J санларын киргизиң.</x:v>
      </x:c>
      <x:c r="C12" s="13" t="str">
        <x:v>Орынланыў ҳәм ўақыт есапланады</x:v>
      </x:c>
      <x:c r="D12" s="2"/>
    </x:row>
    <x:row r="13" ht="65" customHeight="1">
      <x:c r="A13" s="13" t="n">
        <x:v>6</x:v>
      </x:c>
      <x:c r="B13" s="13" t="str">
        <x:v>Жумыс болмаған көрсеткішке 0 жазың. Толтырылмаған көрсеткішти бос қалдырың.</x:v>
      </x:c>
      <x:c r="C13" s="13" t="str">
        <x:v>Нөл ҳәм жетиспеген мағлыўмат ажыратылады</x:v>
      </x:c>
      <x:c r="D13" s="2"/>
    </x:row>
    <x:row r="14" ht="65" customHeight="1">
      <x:c r="A14" s="13" t="n">
        <x:v>7</x:v>
      </x:c>
      <x:c r="B14" s="13" t="str">
        <x:v>Бир тапсырмаға бир клиенттиң бирдей нәтийжесин еки мәрте киргизбең.</x:v>
      </x:c>
      <x:c r="C14" s="13" t="str">
        <x:v>Қайта есаплаўдың алды алынады</x:v>
      </x:c>
      <x:c r="D14" s="2"/>
    </x:row>
    <x:row r="15" ht="65" customHeight="1">
      <x:c r="A15" s="13" t="n">
        <x:v>8</x:v>
      </x:c>
      <x:c r="B15" s="13" t="str">
        <x:v>Клиент бойынша тапсырмаларда сәне ҳәм реже санын киргизиң.</x:v>
      </x:c>
      <x:c r="C15" s="13" t="str">
        <x:v>Қосымша ҳәм арнаўлы мәжбүриятлар қамтылады</x:v>
      </x:c>
      <x:c r="D15" s="2"/>
    </x:row>
    <x:row r="16" ht="65" customHeight="1">
      <x:c r="A16" s="13" t="n">
        <x:v>9</x:v>
      </x:c>
      <x:c r="B16" s="13" t="str">
        <x:v>Салық есаплаў: нақты база, ставка, жеңиллик, авансты киргизип растаң.</x:v>
      </x:c>
      <x:c r="C16" s="13" t="str">
        <x:v>Нақты мағлыўматтан салық суммасы шығады</x:v>
      </x:c>
      <x:c r="D16" s="2"/>
    </x:row>
    <x:row r="17" ht="65" customHeight="1">
      <x:c r="A17" s="13" t="n">
        <x:v>10</x:v>
      </x:c>
      <x:c r="B17" s="13" t="str">
        <x:v>2027-жыл қағыйдалары қабылланғанда дереклер ҳәм мүддетлерди қайта тексериң.</x:v>
      </x:c>
      <x:c r="C17" s="13" t="str">
        <x:v>Келеси жыл режесин жаңалаў</x:v>
      </x:c>
      <x:c r="D17" s="2"/>
    </x:row>
    <x:row r="18" ht="28" customHeight="1">
      <x:c r="A18" s="2"/>
      <x:c r="B18" s="2"/>
      <x:c r="C18" s="2"/>
      <x:c r="D18" s="2"/>
    </x:row>
    <x:row r="19" ht="28" customHeight="1">
      <x:c r="A19" s="2"/>
      <x:c r="B19" s="2"/>
      <x:c r="C19" s="2"/>
      <x:c r="D19" s="2"/>
    </x:row>
    <x:row r="20" ht="28" customHeight="1">
      <x:c r="A20" s="2" t="str">
        <x:v>Бастапқы клиентлер: сиз берген бухгалтерия файлы. Орынланған жумыслар ойдан толтырылмаған.</x:v>
      </x:c>
      <x:c r="B20" s="2"/>
      <x:c r="C20" s="2"/>
      <x:c r="D20" s="2"/>
    </x:row>
    <x:row r="21" ht="28" customHeight="1">
      <x:c r="A21" s="2"/>
      <x:c r="B21" s="2"/>
      <x:c r="C21" s="2"/>
      <x:c r="D21" s="2"/>
    </x:row>
    <x:row r="22" ht="28" customHeight="1">
      <x:c r="A22" s="2" t="str">
        <x:v>Өлшем: есабат / чек / қоңыраў — дана; айлық — хызметкер; қойма — операция; қарыз салыстырыў — контрагент.</x:v>
      </x:c>
      <x:c r="B22" s="2"/>
      <x:c r="C22" s="2"/>
      <x:c r="D22" s="2"/>
    </x:row>
    <x:row r="23" ht="28" customHeight="1">
      <x:c r="A23" s="2"/>
      <x:c r="B23" s="2"/>
      <x:c r="C23" s="2"/>
      <x:c r="D23" s="2"/>
    </x:row>
    <x:row r="24" ht="28" customHeight="1">
      <x:c r="A24" s="2" t="str">
        <x:v>Салық есабаты ҳәм төлем тапсырмасын орынланған деп тек қабылланыў / банк нәтийжеси расталғанда киргизиң.</x:v>
      </x:c>
      <x:c r="B24" s="2"/>
      <x:c r="C24" s="2"/>
      <x:c r="D24" s="2"/>
    </x:row>
    <x:row r="25" ht="28" customHeight="1">
      <x:c r="A25" s="2"/>
      <x:c r="B25" s="2"/>
      <x:c r="C25" s="2"/>
      <x:c r="D25" s="2"/>
    </x:row>
    <x:row r="26" ht="28" customHeight="1">
      <x:c r="A26" s="2" t="str">
        <x:v>Растаў тек күнлик есабат жолын толтырыў емес. Квитанция, төлем ямаса тийисли ҳүжжет K бағанында көрсетиледи.</x:v>
      </x:c>
      <x:c r="B26" s="2"/>
      <x:c r="C26" s="2"/>
      <x:c r="D26" s="2"/>
    </x:row>
    <x:row r="27" ht="28" customHeight="1">
      <x:c r="A27" s="2"/>
      <x:c r="B27" s="2"/>
      <x:c r="C27" s="2"/>
      <x:c r="D27" s="2"/>
    </x:row>
    <x:row r="28" ht="28" customHeight="1">
      <x:c r="A28" s="2" t="str">
        <x:v>Қосымша саны реже орынланыўына қосылмайды. 500 есабат қатары бар; көбейтсеңиз, формула диапазонларын кеңейтиң.</x:v>
      </x:c>
      <x:c r="B28" s="2"/>
      <x:c r="C28" s="2"/>
      <x:c r="D28" s="2"/>
    </x:row>
    <x:row r="29" ht="28" customHeight="1">
      <x:c r="A29" s="2"/>
      <x:c r="B29" s="2"/>
      <x:c r="C29" s="2"/>
      <x:c r="D29" s="2"/>
    </x:row>
    <x:row r="30" ht="28" customHeight="1">
      <x:c r="A30" s="2"/>
      <x:c r="B30" s="2"/>
      <x:c r="C30" s="2"/>
      <x:c r="D30" s="2"/>
    </x:row>
    <x:row r="31" ht="28" customHeight="1">
      <x:c r="A31" s="2"/>
      <x:c r="B31" s="2"/>
      <x:c r="C31" s="2"/>
      <x:c r="D31" s="2"/>
    </x:row>
    <x:row r="32" ht="28" customHeight="1">
      <x:c r="A32" s="2"/>
      <x:c r="B32" s="2"/>
      <x:c r="C32" s="2"/>
      <x:c r="D32" s="2"/>
    </x:row>
    <x:row r="33" ht="28" customHeight="1">
      <x:c r="A33" s="2"/>
      <x:c r="B33" s="2"/>
      <x:c r="C33" s="2"/>
      <x:c r="D33" s="2"/>
    </x:row>
  </x:sheetData>
  <x:pageMargins left="0.7" right="0.7" top="0.75" bottom="0.75" header="0.3" footer="0.3"/>
</x:worksheet>
</file>